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商品名稱</t>
        </is>
      </c>
      <c r="C1" t="inlineStr">
        <is>
          <t>商品圖片</t>
        </is>
      </c>
      <c r="D1" t="inlineStr">
        <is>
          <t>型號名稱</t>
        </is>
      </c>
      <c r="E1" t="inlineStr">
        <is>
          <t>商品型號ID</t>
        </is>
      </c>
      <c r="F1" t="inlineStr">
        <is>
          <t>型號圖片</t>
        </is>
      </c>
    </row>
    <row r="2">
      <c r="A2" t="inlineStr">
        <is>
          <t>16790492139</t>
        </is>
      </c>
      <c r="B2" t="inlineStr">
        <is>
          <t>隔日到貨🔥 純色棉襪 3雙110 女襪S6 長襪 棉襪 白長襪 中筒襪 襪子 白色襪子 女生襪子 女長襪 襪子女</t>
        </is>
      </c>
      <c r="C2">
        <f>IMAGE("https://cf.shopee.tw/file/sg-11134201-22110-jlxqugahyckvec_tn")</f>
        <v/>
      </c>
      <c r="D2" t="inlineStr">
        <is>
          <t>純白</t>
        </is>
      </c>
      <c r="E2" t="inlineStr">
        <is>
          <t>98491202820</t>
        </is>
      </c>
      <c r="F2">
        <f>IMAGE("https://cf.shopee.tw/file/sg-11134201-22110-h65h9t9x1ckva6_tn")</f>
        <v/>
      </c>
    </row>
    <row r="3">
      <c r="A3" t="inlineStr">
        <is>
          <t>16790492139</t>
        </is>
      </c>
      <c r="B3" t="inlineStr">
        <is>
          <t>隔日到貨🔥 純色棉襪 3雙110 女襪S6 長襪 棉襪 白長襪 中筒襪 襪子 白色襪子 女生襪子 女長襪 襪子女</t>
        </is>
      </c>
      <c r="C3">
        <f>IMAGE("https://cf.shopee.tw/file/sg-11134201-22110-jlxqugahyckvec_tn")</f>
        <v/>
      </c>
      <c r="D3" t="inlineStr">
        <is>
          <t>奶白</t>
        </is>
      </c>
      <c r="E3" t="inlineStr">
        <is>
          <t>98491202821</t>
        </is>
      </c>
      <c r="F3">
        <f>IMAGE("https://cf.shopee.tw/file/sg-11134201-22110-b58tq4dy1ckv79_tn")</f>
        <v/>
      </c>
    </row>
    <row r="4">
      <c r="A4" t="inlineStr">
        <is>
          <t>16790492139</t>
        </is>
      </c>
      <c r="B4" t="inlineStr">
        <is>
          <t>隔日到貨🔥 純色棉襪 3雙110 女襪S6 長襪 棉襪 白長襪 中筒襪 襪子 白色襪子 女生襪子 女長襪 襪子女</t>
        </is>
      </c>
      <c r="C4">
        <f>IMAGE("https://cf.shopee.tw/file/sg-11134201-22110-jlxqugahyckvec_tn")</f>
        <v/>
      </c>
      <c r="D4" t="inlineStr">
        <is>
          <t>黑色</t>
        </is>
      </c>
      <c r="E4" t="inlineStr">
        <is>
          <t>98491202818</t>
        </is>
      </c>
      <c r="F4">
        <f>IMAGE("https://cf.shopee.tw/file/sg-11134201-22110-8sgemquiyckv65_tn")</f>
        <v/>
      </c>
    </row>
    <row r="5">
      <c r="A5" t="inlineStr">
        <is>
          <t>16790492139</t>
        </is>
      </c>
      <c r="B5" t="inlineStr">
        <is>
          <t>隔日到貨🔥 純色棉襪 3雙110 女襪S6 長襪 棉襪 白長襪 中筒襪 襪子 白色襪子 女生襪子 女長襪 襪子女</t>
        </is>
      </c>
      <c r="C5">
        <f>IMAGE("https://cf.shopee.tw/file/sg-11134201-22110-jlxqugahyckvec_tn")</f>
        <v/>
      </c>
      <c r="D5" t="inlineStr">
        <is>
          <t>淺卡其</t>
        </is>
      </c>
      <c r="E5" t="inlineStr">
        <is>
          <t>98491202822</t>
        </is>
      </c>
      <c r="F5">
        <f>IMAGE("https://cf.shopee.tw/file/sg-11134201-22110-z76gpqhy1ckve9_tn")</f>
        <v/>
      </c>
    </row>
    <row r="6">
      <c r="A6" t="inlineStr">
        <is>
          <t>16790492139</t>
        </is>
      </c>
      <c r="B6" t="inlineStr">
        <is>
          <t>隔日到貨🔥 純色棉襪 3雙110 女襪S6 長襪 棉襪 白長襪 中筒襪 襪子 白色襪子 女生襪子 女長襪 襪子女</t>
        </is>
      </c>
      <c r="C6">
        <f>IMAGE("https://cf.shopee.tw/file/sg-11134201-22110-jlxqugahyckvec_tn")</f>
        <v/>
      </c>
      <c r="D6" t="inlineStr">
        <is>
          <t>深卡其</t>
        </is>
      </c>
      <c r="E6" t="inlineStr">
        <is>
          <t>98491202823</t>
        </is>
      </c>
      <c r="F6">
        <f>IMAGE("https://cf.shopee.tw/file/sg-11134201-22110-7fhxs7ly1ckv80_tn")</f>
        <v/>
      </c>
    </row>
    <row r="7">
      <c r="A7" t="inlineStr">
        <is>
          <t>16790492139</t>
        </is>
      </c>
      <c r="B7" t="inlineStr">
        <is>
          <t>隔日到貨🔥 純色棉襪 3雙110 女襪S6 長襪 棉襪 白長襪 中筒襪 襪子 白色襪子 女生襪子 女長襪 襪子女</t>
        </is>
      </c>
      <c r="C7">
        <f>IMAGE("https://cf.shopee.tw/file/sg-11134201-22110-jlxqugahyckvec_tn")</f>
        <v/>
      </c>
      <c r="D7" t="inlineStr">
        <is>
          <t>咖啡</t>
        </is>
      </c>
      <c r="E7" t="inlineStr">
        <is>
          <t>98491202819</t>
        </is>
      </c>
      <c r="F7">
        <f>IMAGE("https://cf.shopee.tw/file/sg-11134201-22110-8j91kd5x1ckvc0_tn")</f>
        <v/>
      </c>
    </row>
    <row r="8">
      <c r="A8" t="inlineStr">
        <is>
          <t>22641058481</t>
        </is>
      </c>
      <c r="B8" t="inlineStr">
        <is>
          <t>隔日到貨🔥 3雙110 純色堆堆襪 白襪 S38 長襪 純色 棉襪 女生襪子 中筒襪 襪子 襪子女 女襪 白長襪 素色</t>
        </is>
      </c>
      <c r="C8">
        <f>IMAGE("https://cf.shopee.tw/file/tw-11134207-7qukz-lgqlbzptw1t5d0_tn")</f>
        <v/>
      </c>
      <c r="D8" t="inlineStr">
        <is>
          <t>黑色,均碼 22 - 25 公分</t>
        </is>
      </c>
      <c r="E8" t="inlineStr">
        <is>
          <t>221554066001</t>
        </is>
      </c>
      <c r="F8">
        <f>IMAGE("https://cf.shopee.tw/file/tw-11134207-7qul7-lg6qvxquj76y1b_tn")</f>
        <v/>
      </c>
    </row>
    <row r="9">
      <c r="A9" t="inlineStr">
        <is>
          <t>22641058481</t>
        </is>
      </c>
      <c r="B9" t="inlineStr">
        <is>
          <t>隔日到貨🔥 3雙110 純色堆堆襪 白襪 S38 長襪 純色 棉襪 女生襪子 中筒襪 襪子 襪子女 女襪 白長襪 素色</t>
        </is>
      </c>
      <c r="C9">
        <f>IMAGE("https://cf.shopee.tw/file/tw-11134207-7qukz-lgqlbzptw1t5d0_tn")</f>
        <v/>
      </c>
      <c r="D9" t="inlineStr">
        <is>
          <t>白色,均碼 22 - 25 公分</t>
        </is>
      </c>
      <c r="E9" t="inlineStr">
        <is>
          <t>221554066002</t>
        </is>
      </c>
      <c r="F9">
        <f>IMAGE("https://cf.shopee.tw/file/tw-11134207-7qul0-lg6qw1nssxkx1d_tn")</f>
        <v/>
      </c>
    </row>
    <row r="10">
      <c r="A10" t="inlineStr">
        <is>
          <t>22641058481</t>
        </is>
      </c>
      <c r="B10" t="inlineStr">
        <is>
          <t>隔日到貨🔥 3雙110 純色堆堆襪 白襪 S38 長襪 純色 棉襪 女生襪子 中筒襪 襪子 襪子女 女襪 白長襪 素色</t>
        </is>
      </c>
      <c r="C10">
        <f>IMAGE("https://cf.shopee.tw/file/tw-11134207-7qukz-lgqlbzptw1t5d0_tn")</f>
        <v/>
      </c>
      <c r="D10" t="inlineStr">
        <is>
          <t>淺卡其,均碼 22 - 25 公分</t>
        </is>
      </c>
      <c r="E10" t="inlineStr">
        <is>
          <t>221554066003</t>
        </is>
      </c>
      <c r="F10">
        <f>IMAGE("https://cf.shopee.tw/file/tw-11134207-7qul4-lg6qw8z43ls1e8_tn")</f>
        <v/>
      </c>
    </row>
    <row r="11">
      <c r="A11" t="inlineStr">
        <is>
          <t>22641058481</t>
        </is>
      </c>
      <c r="B11" t="inlineStr">
        <is>
          <t>隔日到貨🔥 3雙110 純色堆堆襪 白襪 S38 長襪 純色 棉襪 女生襪子 中筒襪 襪子 襪子女 女襪 白長襪 素色</t>
        </is>
      </c>
      <c r="C11">
        <f>IMAGE("https://cf.shopee.tw/file/tw-11134207-7qukz-lgqlbzptw1t5d0_tn")</f>
        <v/>
      </c>
      <c r="D11" t="inlineStr">
        <is>
          <t>深卡其,均碼 22 - 25 公分</t>
        </is>
      </c>
      <c r="E11" t="inlineStr">
        <is>
          <t>221554065998</t>
        </is>
      </c>
      <c r="F11">
        <f>IMAGE("https://cf.shopee.tw/file/tw-11134207-7qul8-lg6qwc7ddh62ec_tn")</f>
        <v/>
      </c>
    </row>
    <row r="12">
      <c r="A12" t="inlineStr">
        <is>
          <t>22641058481</t>
        </is>
      </c>
      <c r="B12" t="inlineStr">
        <is>
          <t>隔日到貨🔥 3雙110 純色堆堆襪 白襪 S38 長襪 純色 棉襪 女生襪子 中筒襪 襪子 襪子女 女襪 白長襪 素色</t>
        </is>
      </c>
      <c r="C12">
        <f>IMAGE("https://cf.shopee.tw/file/tw-11134207-7qukz-lgqlbzptw1t5d0_tn")</f>
        <v/>
      </c>
      <c r="D12" t="inlineStr">
        <is>
          <t>奶白,均碼 22 - 25 公分</t>
        </is>
      </c>
      <c r="E12" t="inlineStr">
        <is>
          <t>221554065999</t>
        </is>
      </c>
      <c r="F12">
        <f>IMAGE("https://cf.shopee.tw/file/tw-11134207-7qul4-lg6qwo8hrnk1de_tn")</f>
        <v/>
      </c>
    </row>
    <row r="13">
      <c r="A13" t="inlineStr">
        <is>
          <t>22641058481</t>
        </is>
      </c>
      <c r="B13" t="inlineStr">
        <is>
          <t>隔日到貨🔥 3雙110 純色堆堆襪 白襪 S38 長襪 純色 棉襪 女生襪子 中筒襪 襪子 襪子女 女襪 白長襪 素色</t>
        </is>
      </c>
      <c r="C13">
        <f>IMAGE("https://cf.shopee.tw/file/tw-11134207-7qukz-lgqlbzptw1t5d0_tn")</f>
        <v/>
      </c>
      <c r="D13" t="inlineStr">
        <is>
          <t>咖啡色,均碼 22 - 25 公分</t>
        </is>
      </c>
      <c r="E13" t="inlineStr">
        <is>
          <t>221554066000</t>
        </is>
      </c>
      <c r="F13">
        <f>IMAGE("https://cf.shopee.tw/file/tw-11134207-7qul3-lg6qwh7g1yju15_tn")</f>
        <v/>
      </c>
    </row>
    <row r="14">
      <c r="A14" t="inlineStr">
        <is>
          <t>22225458491</t>
        </is>
      </c>
      <c r="B14" t="inlineStr">
        <is>
          <t>隔日到貨🔥 隱形素色短襪 後跟止滑 S27 女船襪 淺口襪 襪子 短襪 襪子女 女襪 平口襪 棉襪 女生襪子 素色短襪</t>
        </is>
      </c>
      <c r="C14">
        <f>IMAGE("https://cf.shopee.tw/file/tw-11134207-23020-e1e653vpfonv39_tn")</f>
        <v/>
      </c>
      <c r="D14" t="inlineStr">
        <is>
          <t>黑色</t>
        </is>
      </c>
      <c r="E14" t="inlineStr">
        <is>
          <t>203883743527</t>
        </is>
      </c>
      <c r="F14">
        <f>IMAGE("https://cf.shopee.tw/file/tw-11134207-23020-9sn41vnsfonvde_tn")</f>
        <v/>
      </c>
    </row>
    <row r="15">
      <c r="A15" t="inlineStr">
        <is>
          <t>22225458491</t>
        </is>
      </c>
      <c r="B15" t="inlineStr">
        <is>
          <t>隔日到貨🔥 隱形素色短襪 後跟止滑 S27 女船襪 淺口襪 襪子 短襪 襪子女 女襪 平口襪 棉襪 女生襪子 素色短襪</t>
        </is>
      </c>
      <c r="C15">
        <f>IMAGE("https://cf.shopee.tw/file/tw-11134207-23020-e1e653vpfonv39_tn")</f>
        <v/>
      </c>
      <c r="D15" t="inlineStr">
        <is>
          <t>米白色</t>
        </is>
      </c>
      <c r="E15" t="inlineStr">
        <is>
          <t>203883743532</t>
        </is>
      </c>
      <c r="F15">
        <f>IMAGE("https://cf.shopee.tw/file/tw-11134207-23020-cclhi2qsfonvef_tn")</f>
        <v/>
      </c>
    </row>
    <row r="16">
      <c r="A16" t="inlineStr">
        <is>
          <t>22225458491</t>
        </is>
      </c>
      <c r="B16" t="inlineStr">
        <is>
          <t>隔日到貨🔥 隱形素色短襪 後跟止滑 S27 女船襪 淺口襪 襪子 短襪 襪子女 女襪 平口襪 棉襪 女生襪子 素色短襪</t>
        </is>
      </c>
      <c r="C16">
        <f>IMAGE("https://cf.shopee.tw/file/tw-11134207-23020-e1e653vpfonv39_tn")</f>
        <v/>
      </c>
      <c r="D16" t="inlineStr">
        <is>
          <t>橘紅</t>
        </is>
      </c>
      <c r="E16" t="inlineStr">
        <is>
          <t>203883743533</t>
        </is>
      </c>
      <c r="F16">
        <f>IMAGE("https://cf.shopee.tw/file/tw-11134207-23020-sccjbfusfonv8a_tn")</f>
        <v/>
      </c>
    </row>
    <row r="17">
      <c r="A17" t="inlineStr">
        <is>
          <t>22225458491</t>
        </is>
      </c>
      <c r="B17" t="inlineStr">
        <is>
          <t>隔日到貨🔥 隱形素色短襪 後跟止滑 S27 女船襪 淺口襪 襪子 短襪 襪子女 女襪 平口襪 棉襪 女生襪子 素色短襪</t>
        </is>
      </c>
      <c r="C17">
        <f>IMAGE("https://cf.shopee.tw/file/tw-11134207-23020-e1e653vpfonv39_tn")</f>
        <v/>
      </c>
      <c r="D17" t="inlineStr">
        <is>
          <t>淺咖</t>
        </is>
      </c>
      <c r="E17" t="inlineStr">
        <is>
          <t>203883743534</t>
        </is>
      </c>
      <c r="F17">
        <f>IMAGE("https://cf.shopee.tw/file/tw-11134207-23020-cg14sd9sfonv18_tn")</f>
        <v/>
      </c>
    </row>
    <row r="18">
      <c r="A18" t="inlineStr">
        <is>
          <t>22225458491</t>
        </is>
      </c>
      <c r="B18" t="inlineStr">
        <is>
          <t>隔日到貨🔥 隱形素色短襪 後跟止滑 S27 女船襪 淺口襪 襪子 短襪 襪子女 女襪 平口襪 棉襪 女生襪子 素色短襪</t>
        </is>
      </c>
      <c r="C18">
        <f>IMAGE("https://cf.shopee.tw/file/tw-11134207-23020-e1e653vpfonv39_tn")</f>
        <v/>
      </c>
      <c r="D18" t="inlineStr">
        <is>
          <t>深咖</t>
        </is>
      </c>
      <c r="E18" t="inlineStr">
        <is>
          <t>203883743535</t>
        </is>
      </c>
      <c r="F18">
        <f>IMAGE("https://cf.shopee.tw/file/tw-11134207-23020-91t2h8ctfonv2d_tn")</f>
        <v/>
      </c>
    </row>
    <row r="19">
      <c r="A19" t="inlineStr">
        <is>
          <t>22225458491</t>
        </is>
      </c>
      <c r="B19" t="inlineStr">
        <is>
          <t>隔日到貨🔥 隱形素色短襪 後跟止滑 S27 女船襪 淺口襪 襪子 短襪 襪子女 女襪 平口襪 棉襪 女生襪子 素色短襪</t>
        </is>
      </c>
      <c r="C19">
        <f>IMAGE("https://cf.shopee.tw/file/tw-11134207-23020-e1e653vpfonv39_tn")</f>
        <v/>
      </c>
      <c r="D19" t="inlineStr">
        <is>
          <t>橡皮紅</t>
        </is>
      </c>
      <c r="E19" t="inlineStr">
        <is>
          <t>203883743536</t>
        </is>
      </c>
      <c r="F19">
        <f>IMAGE("https://cf.shopee.tw/file/tw-11134207-23020-g887emktfonv6c_tn")</f>
        <v/>
      </c>
    </row>
    <row r="20">
      <c r="A20" t="inlineStr">
        <is>
          <t>22225458491</t>
        </is>
      </c>
      <c r="B20" t="inlineStr">
        <is>
          <t>隔日到貨🔥 隱形素色短襪 後跟止滑 S27 女船襪 淺口襪 襪子 短襪 襪子女 女襪 平口襪 棉襪 女生襪子 素色短襪</t>
        </is>
      </c>
      <c r="C20">
        <f>IMAGE("https://cf.shopee.tw/file/tw-11134207-23020-e1e653vpfonv39_tn")</f>
        <v/>
      </c>
      <c r="D20" t="inlineStr">
        <is>
          <t>薑黃</t>
        </is>
      </c>
      <c r="E20" t="inlineStr">
        <is>
          <t>203883743528</t>
        </is>
      </c>
      <c r="F20">
        <f>IMAGE("https://cf.shopee.tw/file/tw-11134207-23020-sk7zmhntfonv42_tn")</f>
        <v/>
      </c>
    </row>
    <row r="21">
      <c r="A21" t="inlineStr">
        <is>
          <t>22225458491</t>
        </is>
      </c>
      <c r="B21" t="inlineStr">
        <is>
          <t>隔日到貨🔥 隱形素色短襪 後跟止滑 S27 女船襪 淺口襪 襪子 短襪 襪子女 女襪 平口襪 棉襪 女生襪子 素色短襪</t>
        </is>
      </c>
      <c r="C21">
        <f>IMAGE("https://cf.shopee.tw/file/tw-11134207-23020-e1e653vpfonv39_tn")</f>
        <v/>
      </c>
      <c r="D21" t="inlineStr">
        <is>
          <t>牛仔藍</t>
        </is>
      </c>
      <c r="E21" t="inlineStr">
        <is>
          <t>203883743529</t>
        </is>
      </c>
      <c r="F21">
        <f>IMAGE("https://cf.shopee.tw/file/tw-11134207-23020-wr3omfqtfonv9c_tn")</f>
        <v/>
      </c>
    </row>
    <row r="22">
      <c r="A22" t="inlineStr">
        <is>
          <t>22225458491</t>
        </is>
      </c>
      <c r="B22" t="inlineStr">
        <is>
          <t>隔日到貨🔥 隱形素色短襪 後跟止滑 S27 女船襪 淺口襪 襪子 短襪 襪子女 女襪 平口襪 棉襪 女生襪子 素色短襪</t>
        </is>
      </c>
      <c r="C22">
        <f>IMAGE("https://cf.shopee.tw/file/tw-11134207-23020-e1e653vpfonv39_tn")</f>
        <v/>
      </c>
      <c r="D22" t="inlineStr">
        <is>
          <t>淺灰</t>
        </is>
      </c>
      <c r="E22" t="inlineStr">
        <is>
          <t>203883743530</t>
        </is>
      </c>
      <c r="F22">
        <f>IMAGE("https://cf.shopee.tw/file/tw-11134207-23020-1u8hobttfonvcb_tn")</f>
        <v/>
      </c>
    </row>
    <row r="23">
      <c r="A23" t="inlineStr">
        <is>
          <t>22225458491</t>
        </is>
      </c>
      <c r="B23" t="inlineStr">
        <is>
          <t>隔日到貨🔥 隱形素色短襪 後跟止滑 S27 女船襪 淺口襪 襪子 短襪 襪子女 女襪 平口襪 棉襪 女生襪子 素色短襪</t>
        </is>
      </c>
      <c r="C23">
        <f>IMAGE("https://cf.shopee.tw/file/tw-11134207-23020-e1e653vpfonv39_tn")</f>
        <v/>
      </c>
      <c r="D23" t="inlineStr">
        <is>
          <t>深灰</t>
        </is>
      </c>
      <c r="E23" t="inlineStr">
        <is>
          <t>203883743531</t>
        </is>
      </c>
      <c r="F23">
        <f>IMAGE("https://cf.shopee.tw/file/tw-11134207-23020-ohx4v53tfonv8e_tn")</f>
        <v/>
      </c>
    </row>
    <row r="24">
      <c r="A24" t="inlineStr">
        <is>
          <t>28418542578</t>
        </is>
      </c>
      <c r="B24" t="inlineStr">
        <is>
          <t>隔日到貨🔥 ins 純色腳底hello短襪 S7 日系襪子 短襪 船襪 笑臉 純色 中筒襪 襪子 女襪 短襪 韓妞必備</t>
        </is>
      </c>
      <c r="C24">
        <f>IMAGE("https://cf.shopee.tw/file/tw-11134207-7rasa-m2yw79zg7be39a_tn")</f>
        <v/>
      </c>
      <c r="D24" t="inlineStr">
        <is>
          <t>黑色</t>
        </is>
      </c>
      <c r="E24" t="inlineStr">
        <is>
          <t>108519702357</t>
        </is>
      </c>
      <c r="F24">
        <f>IMAGE("https://cf.shopee.tw/file/tw-11134207-7rasg-m2yy8dru1g1733_tn")</f>
        <v/>
      </c>
    </row>
    <row r="25">
      <c r="A25" t="inlineStr">
        <is>
          <t>28418542578</t>
        </is>
      </c>
      <c r="B25" t="inlineStr">
        <is>
          <t>隔日到貨🔥 ins 純色腳底hello短襪 S7 日系襪子 短襪 船襪 笑臉 純色 中筒襪 襪子 女襪 短襪 韓妞必備</t>
        </is>
      </c>
      <c r="C25">
        <f>IMAGE("https://cf.shopee.tw/file/tw-11134207-7rasa-m2yw79zg7be39a_tn")</f>
        <v/>
      </c>
      <c r="D25" t="inlineStr">
        <is>
          <t>奶白</t>
        </is>
      </c>
      <c r="E25" t="inlineStr">
        <is>
          <t>108519702358</t>
        </is>
      </c>
      <c r="F25">
        <f>IMAGE("https://cf.shopee.tw/file/tw-11134207-7ras8-m2yy8drugwa3ff_tn")</f>
        <v/>
      </c>
    </row>
    <row r="26">
      <c r="A26" t="inlineStr">
        <is>
          <t>28418542578</t>
        </is>
      </c>
      <c r="B26" t="inlineStr">
        <is>
          <t>隔日到貨🔥 ins 純色腳底hello短襪 S7 日系襪子 短襪 船襪 笑臉 純色 中筒襪 襪子 女襪 短襪 韓妞必備</t>
        </is>
      </c>
      <c r="C26">
        <f>IMAGE("https://cf.shopee.tw/file/tw-11134207-7rasa-m2yw79zg7be39a_tn")</f>
        <v/>
      </c>
      <c r="D26" t="inlineStr">
        <is>
          <t>藍色</t>
        </is>
      </c>
      <c r="E26" t="inlineStr">
        <is>
          <t>108519702359</t>
        </is>
      </c>
      <c r="F26">
        <f>IMAGE("https://cf.shopee.tw/file/tw-11134207-7ras8-m2yy8druxr4b0c_tn")</f>
        <v/>
      </c>
    </row>
    <row r="27">
      <c r="A27" t="inlineStr">
        <is>
          <t>28418542578</t>
        </is>
      </c>
      <c r="B27" t="inlineStr">
        <is>
          <t>隔日到貨🔥 ins 純色腳底hello短襪 S7 日系襪子 短襪 船襪 笑臉 純色 中筒襪 襪子 女襪 短襪 韓妞必備</t>
        </is>
      </c>
      <c r="C27">
        <f>IMAGE("https://cf.shopee.tw/file/tw-11134207-7rasa-m2yw79zg7be39a_tn")</f>
        <v/>
      </c>
      <c r="D27" t="inlineStr">
        <is>
          <t>黃色</t>
        </is>
      </c>
      <c r="E27" t="inlineStr">
        <is>
          <t>108519702360</t>
        </is>
      </c>
      <c r="F27">
        <f>IMAGE("https://cf.shopee.tw/file/tw-11134207-7rasc-m2yy8dru2umj9d_tn")</f>
        <v/>
      </c>
    </row>
    <row r="28">
      <c r="A28" t="inlineStr">
        <is>
          <t>28418542578</t>
        </is>
      </c>
      <c r="B28" t="inlineStr">
        <is>
          <t>隔日到貨🔥 ins 純色腳底hello短襪 S7 日系襪子 短襪 船襪 笑臉 純色 中筒襪 襪子 女襪 短襪 韓妞必備</t>
        </is>
      </c>
      <c r="C28">
        <f>IMAGE("https://cf.shopee.tw/file/tw-11134207-7rasa-m2yw79zg7be39a_tn")</f>
        <v/>
      </c>
      <c r="D28" t="inlineStr">
        <is>
          <t>米色</t>
        </is>
      </c>
      <c r="E28" t="inlineStr">
        <is>
          <t>108519702361</t>
        </is>
      </c>
      <c r="F28">
        <f>IMAGE("https://cf.shopee.tw/file/tw-11134207-7ras8-m2yy8drufhqj98_tn")</f>
        <v/>
      </c>
    </row>
    <row r="29">
      <c r="A29" t="inlineStr">
        <is>
          <t>28418542578</t>
        </is>
      </c>
      <c r="B29" t="inlineStr">
        <is>
          <t>隔日到貨🔥 ins 純色腳底hello短襪 S7 日系襪子 短襪 船襪 笑臉 純色 中筒襪 襪子 女襪 短襪 韓妞必備</t>
        </is>
      </c>
      <c r="C29">
        <f>IMAGE("https://cf.shopee.tw/file/tw-11134207-7rasa-m2yw79zg7be39a_tn")</f>
        <v/>
      </c>
      <c r="D29" t="inlineStr">
        <is>
          <t>淺紫</t>
        </is>
      </c>
      <c r="E29" t="inlineStr">
        <is>
          <t>108519702362</t>
        </is>
      </c>
      <c r="F29">
        <f>IMAGE("https://cf.shopee.tw/file/tw-11134207-7rasa-m2yy8drvd7d70e_tn")</f>
        <v/>
      </c>
    </row>
    <row r="30">
      <c r="A30" t="inlineStr">
        <is>
          <t>28418542578</t>
        </is>
      </c>
      <c r="B30" t="inlineStr">
        <is>
          <t>隔日到貨🔥 ins 純色腳底hello短襪 S7 日系襪子 短襪 船襪 笑臉 純色 中筒襪 襪子 女襪 短襪 韓妞必備</t>
        </is>
      </c>
      <c r="C30">
        <f>IMAGE("https://cf.shopee.tw/file/tw-11134207-7rasa-m2yw79zg7be39a_tn")</f>
        <v/>
      </c>
      <c r="D30" t="inlineStr">
        <is>
          <t>粉色</t>
        </is>
      </c>
      <c r="E30" t="inlineStr">
        <is>
          <t>108519702363</t>
        </is>
      </c>
      <c r="F30">
        <f>IMAGE("https://cf.shopee.tw/file/tw-11134207-7rasi-m2yy8druwcizda_tn")</f>
        <v/>
      </c>
    </row>
    <row r="31">
      <c r="A31" t="inlineStr">
        <is>
          <t>28418542578</t>
        </is>
      </c>
      <c r="B31" t="inlineStr">
        <is>
          <t>隔日到貨🔥 ins 純色腳底hello短襪 S7 日系襪子 短襪 船襪 笑臉 純色 中筒襪 襪子 女襪 短襪 韓妞必備</t>
        </is>
      </c>
      <c r="C31">
        <f>IMAGE("https://cf.shopee.tw/file/tw-11134207-7rasa-m2yw79zg7be39a_tn")</f>
        <v/>
      </c>
      <c r="D31" t="inlineStr">
        <is>
          <t>果綠</t>
        </is>
      </c>
      <c r="E31" t="inlineStr">
        <is>
          <t>108519702364</t>
        </is>
      </c>
      <c r="F31">
        <f>IMAGE("https://cf.shopee.tw/file/tw-11134207-7rasg-m2yybgw1e9pg06_tn")</f>
        <v/>
      </c>
    </row>
    <row r="32">
      <c r="A32" t="inlineStr">
        <is>
          <t>25083569908</t>
        </is>
      </c>
      <c r="B32" t="inlineStr">
        <is>
          <t>隔日到貨🔥 韓國 冰冰襪 S26 襪子 長襪 素色襪子 涼感襪 中筒襪 短襪 素色長襪 堆堆襪 女襪 女生襪子 襪子女</t>
        </is>
      </c>
      <c r="C32">
        <f>IMAGE("https://cf.shopee.tw/file/tw-11134207-7r98v-lxsyosm1deee4b_tn")</f>
        <v/>
      </c>
      <c r="D32" t="inlineStr">
        <is>
          <t>黑</t>
        </is>
      </c>
      <c r="E32" t="inlineStr">
        <is>
          <t>223005368643</t>
        </is>
      </c>
      <c r="F32">
        <f>IMAGE("https://cf.shopee.tw/file/tw-11134207-7r98o-lxsyosm0zcpy6f_tn")</f>
        <v/>
      </c>
    </row>
    <row r="33">
      <c r="A33" t="inlineStr">
        <is>
          <t>25083569908</t>
        </is>
      </c>
      <c r="B33" t="inlineStr">
        <is>
          <t>隔日到貨🔥 韓國 冰冰襪 S26 襪子 長襪 素色襪子 涼感襪 中筒襪 短襪 素色長襪 堆堆襪 女襪 女生襪子 襪子女</t>
        </is>
      </c>
      <c r="C33">
        <f>IMAGE("https://cf.shopee.tw/file/tw-11134207-7r98v-lxsyosm1deee4b_tn")</f>
        <v/>
      </c>
      <c r="D33" t="inlineStr">
        <is>
          <t>白</t>
        </is>
      </c>
      <c r="E33" t="inlineStr">
        <is>
          <t>223005368644</t>
        </is>
      </c>
      <c r="F33">
        <f>IMAGE("https://cf.shopee.tw/file/tw-11134207-7r98q-lxsyosm1u97qe7_tn")</f>
        <v/>
      </c>
    </row>
    <row r="34">
      <c r="A34" t="inlineStr">
        <is>
          <t>25083569908</t>
        </is>
      </c>
      <c r="B34" t="inlineStr">
        <is>
          <t>隔日到貨🔥 韓國 冰冰襪 S26 襪子 長襪 素色襪子 涼感襪 中筒襪 短襪 素色長襪 堆堆襪 女襪 女生襪子 襪子女</t>
        </is>
      </c>
      <c r="C34">
        <f>IMAGE("https://cf.shopee.tw/file/tw-11134207-7r98v-lxsyosm1deee4b_tn")</f>
        <v/>
      </c>
      <c r="D34" t="inlineStr">
        <is>
          <t>抹茶綠</t>
        </is>
      </c>
      <c r="E34" t="inlineStr">
        <is>
          <t>223005368645</t>
        </is>
      </c>
      <c r="F34">
        <f>IMAGE("https://cf.shopee.tw/file/tw-11134207-7r98q-lxsyosm2p5pi41_tn")</f>
        <v/>
      </c>
    </row>
    <row r="35">
      <c r="A35" t="inlineStr">
        <is>
          <t>25083569908</t>
        </is>
      </c>
      <c r="B35" t="inlineStr">
        <is>
          <t>隔日到貨🔥 韓國 冰冰襪 S26 襪子 長襪 素色襪子 涼感襪 中筒襪 短襪 素色長襪 堆堆襪 女襪 女生襪子 襪子女</t>
        </is>
      </c>
      <c r="C35">
        <f>IMAGE("https://cf.shopee.tw/file/tw-11134207-7r98v-lxsyosm1deee4b_tn")</f>
        <v/>
      </c>
      <c r="D35" t="inlineStr">
        <is>
          <t>酒紅</t>
        </is>
      </c>
      <c r="E35" t="inlineStr">
        <is>
          <t>223005368646</t>
        </is>
      </c>
      <c r="F35">
        <f>IMAGE("https://cf.shopee.tw/file/tw-11134207-7r98u-lxsyosm29pgm54_tn")</f>
        <v/>
      </c>
    </row>
    <row r="36">
      <c r="A36" t="inlineStr">
        <is>
          <t>25083569908</t>
        </is>
      </c>
      <c r="B36" t="inlineStr">
        <is>
          <t>隔日到貨🔥 韓國 冰冰襪 S26 襪子 長襪 素色襪子 涼感襪 中筒襪 短襪 素色長襪 堆堆襪 女襪 女生襪子 襪子女</t>
        </is>
      </c>
      <c r="C36">
        <f>IMAGE("https://cf.shopee.tw/file/tw-11134207-7r98v-lxsyosm1deee4b_tn")</f>
        <v/>
      </c>
      <c r="D36" t="inlineStr">
        <is>
          <t>淺紫</t>
        </is>
      </c>
      <c r="E36" t="inlineStr">
        <is>
          <t>223005368647</t>
        </is>
      </c>
      <c r="F36">
        <f>IMAGE("https://cf.shopee.tw/file/tw-11134207-7r98x-lxsyosm1x25s96_tn")</f>
        <v/>
      </c>
    </row>
    <row r="37">
      <c r="A37" t="inlineStr">
        <is>
          <t>25083569908</t>
        </is>
      </c>
      <c r="B37" t="inlineStr">
        <is>
          <t>隔日到貨🔥 韓國 冰冰襪 S26 襪子 長襪 素色襪子 涼感襪 中筒襪 短襪 素色長襪 堆堆襪 女襪 女生襪子 襪子女</t>
        </is>
      </c>
      <c r="C37">
        <f>IMAGE("https://cf.shopee.tw/file/tw-11134207-7r98v-lxsyosm1deee4b_tn")</f>
        <v/>
      </c>
      <c r="D37" t="inlineStr">
        <is>
          <t>薑黃</t>
        </is>
      </c>
      <c r="E37" t="inlineStr">
        <is>
          <t>223005368648</t>
        </is>
      </c>
      <c r="F37">
        <f>IMAGE("https://cf.shopee.tw/file/tw-11134207-7r990-lxsyosm125o033_tn")</f>
        <v/>
      </c>
    </row>
    <row r="38">
      <c r="A38" t="inlineStr">
        <is>
          <t>25083569908</t>
        </is>
      </c>
      <c r="B38" t="inlineStr">
        <is>
          <t>隔日到貨🔥 韓國 冰冰襪 S26 襪子 長襪 素色襪子 涼感襪 中筒襪 短襪 素色長襪 堆堆襪 女襪 女生襪子 襪子女</t>
        </is>
      </c>
      <c r="C38">
        <f>IMAGE("https://cf.shopee.tw/file/tw-11134207-7r98v-lxsyosm1deee4b_tn")</f>
        <v/>
      </c>
      <c r="D38" t="inlineStr">
        <is>
          <t>膚色</t>
        </is>
      </c>
      <c r="E38" t="inlineStr">
        <is>
          <t>223005368649</t>
        </is>
      </c>
      <c r="F38">
        <f>IMAGE("https://cf.shopee.tw/file/tw-11134207-7r992-lxsyosm10r3kd0_tn")</f>
        <v/>
      </c>
    </row>
    <row r="39">
      <c r="A39" t="inlineStr">
        <is>
          <t>25083569908</t>
        </is>
      </c>
      <c r="B39" t="inlineStr">
        <is>
          <t>隔日到貨🔥 韓國 冰冰襪 S26 襪子 長襪 素色襪子 涼感襪 中筒襪 短襪 素色長襪 堆堆襪 女襪 女生襪子 襪子女</t>
        </is>
      </c>
      <c r="C39">
        <f>IMAGE("https://cf.shopee.tw/file/tw-11134207-7r98v-lxsyosm1deee4b_tn")</f>
        <v/>
      </c>
      <c r="D39" t="inlineStr">
        <is>
          <t>淺灰</t>
        </is>
      </c>
      <c r="E39" t="inlineStr">
        <is>
          <t>223005368650</t>
        </is>
      </c>
      <c r="F39">
        <f>IMAGE("https://cf.shopee.tw/file/tw-11134207-7r98t-lxsyosm1vnlcd4_tn")</f>
        <v/>
      </c>
    </row>
    <row r="40">
      <c r="A40" t="inlineStr">
        <is>
          <t>25083569908</t>
        </is>
      </c>
      <c r="B40" t="inlineStr">
        <is>
          <t>隔日到貨🔥 韓國 冰冰襪 S26 襪子 長襪 素色襪子 涼感襪 中筒襪 短襪 素色長襪 堆堆襪 女襪 女生襪子 襪子女</t>
        </is>
      </c>
      <c r="C40">
        <f>IMAGE("https://cf.shopee.tw/file/tw-11134207-7r98v-lxsyosm1deee4b_tn")</f>
        <v/>
      </c>
      <c r="D40" t="inlineStr">
        <is>
          <t>奶白</t>
        </is>
      </c>
      <c r="E40" t="inlineStr">
        <is>
          <t>223005368651</t>
        </is>
      </c>
      <c r="F40">
        <f>IMAGE("https://cf.shopee.tw/file/tw-11134207-7r98p-lxsyosm1esyu94_tn")</f>
        <v/>
      </c>
    </row>
    <row r="41">
      <c r="A41" t="inlineStr">
        <is>
          <t>25083569908</t>
        </is>
      </c>
      <c r="B41" t="inlineStr">
        <is>
          <t>隔日到貨🔥 韓國 冰冰襪 S26 襪子 長襪 素色襪子 涼感襪 中筒襪 短襪 素色長襪 堆堆襪 女襪 女生襪子 襪子女</t>
        </is>
      </c>
      <c r="C41">
        <f>IMAGE("https://cf.shopee.tw/file/tw-11134207-7r98v-lxsyosm1deee4b_tn")</f>
        <v/>
      </c>
      <c r="D41" t="inlineStr">
        <is>
          <t>霧藍</t>
        </is>
      </c>
      <c r="E41" t="inlineStr">
        <is>
          <t>223005368652</t>
        </is>
      </c>
      <c r="F41">
        <f>IMAGE("https://cf.shopee.tw/file/tw-11134207-7r98z-lxsywiki6ofa36_tn")</f>
        <v/>
      </c>
    </row>
    <row r="42">
      <c r="A42" t="inlineStr">
        <is>
          <t>25083569908</t>
        </is>
      </c>
      <c r="B42" t="inlineStr">
        <is>
          <t>隔日到貨🔥 韓國 冰冰襪 S26 襪子 長襪 素色襪子 涼感襪 中筒襪 短襪 素色長襪 堆堆襪 女襪 女生襪子 襪子女</t>
        </is>
      </c>
      <c r="C42">
        <f>IMAGE("https://cf.shopee.tw/file/tw-11134207-7r98v-lxsyosm1deee4b_tn")</f>
        <v/>
      </c>
      <c r="D42" t="inlineStr">
        <is>
          <t>深灰</t>
        </is>
      </c>
      <c r="E42" t="inlineStr">
        <is>
          <t>223005368653</t>
        </is>
      </c>
      <c r="F42">
        <f>IMAGE("https://cf.shopee.tw/file/tw-11134207-7r98p-lxsywiki82zqd7_tn")</f>
        <v/>
      </c>
    </row>
    <row r="43">
      <c r="A43" t="inlineStr">
        <is>
          <t>26355282562</t>
        </is>
      </c>
      <c r="B43" t="inlineStr">
        <is>
          <t>隔日到貨🔥 純色棉襪 S26 女襪 長襪 棉襪 白長襪 中筒襪 襪子 女生襪子 女長襪 襪子女 無骨襪</t>
        </is>
      </c>
      <c r="C43">
        <f>IMAGE("https://cf.shopee.tw/file/tw-11134207-7r98u-lxtu6nbvg6y8ab_tn")</f>
        <v/>
      </c>
      <c r="D43" t="inlineStr">
        <is>
          <t>黑</t>
        </is>
      </c>
      <c r="E43" t="inlineStr">
        <is>
          <t>118404736521</t>
        </is>
      </c>
      <c r="F43">
        <f>IMAGE("https://cf.shopee.tw/file/tw-11134207-7r98x-lxp0zyzmp3xs45_tn")</f>
        <v/>
      </c>
    </row>
    <row r="44">
      <c r="A44" t="inlineStr">
        <is>
          <t>26355282562</t>
        </is>
      </c>
      <c r="B44" t="inlineStr">
        <is>
          <t>隔日到貨🔥 純色棉襪 S26 女襪 長襪 棉襪 白長襪 中筒襪 襪子 女生襪子 女長襪 襪子女 無骨襪</t>
        </is>
      </c>
      <c r="C44">
        <f>IMAGE("https://cf.shopee.tw/file/tw-11134207-7r98u-lxtu6nbvg6y8ab_tn")</f>
        <v/>
      </c>
      <c r="D44" t="inlineStr">
        <is>
          <t>白</t>
        </is>
      </c>
      <c r="E44" t="inlineStr">
        <is>
          <t>118404736522</t>
        </is>
      </c>
      <c r="F44">
        <f>IMAGE("https://cf.shopee.tw/file/tw-11134207-7r98v-lxp0zyzmp44ma3_tn")</f>
        <v/>
      </c>
    </row>
    <row r="45">
      <c r="A45" t="inlineStr">
        <is>
          <t>26355282562</t>
        </is>
      </c>
      <c r="B45" t="inlineStr">
        <is>
          <t>隔日到貨🔥 純色棉襪 S26 女襪 長襪 棉襪 白長襪 中筒襪 襪子 女生襪子 女長襪 襪子女 無骨襪</t>
        </is>
      </c>
      <c r="C45">
        <f>IMAGE("https://cf.shopee.tw/file/tw-11134207-7r98u-lxtu6nbvg6y8ab_tn")</f>
        <v/>
      </c>
      <c r="D45" t="inlineStr">
        <is>
          <t>淺藍</t>
        </is>
      </c>
      <c r="E45" t="inlineStr">
        <is>
          <t>118404736523</t>
        </is>
      </c>
      <c r="F45">
        <f>IMAGE("https://cf.shopee.tw/file/tw-11134207-7r98o-lxp0zyzwopbk58_tn")</f>
        <v/>
      </c>
    </row>
    <row r="46">
      <c r="A46" t="inlineStr">
        <is>
          <t>26355282562</t>
        </is>
      </c>
      <c r="B46" t="inlineStr">
        <is>
          <t>隔日到貨🔥 純色棉襪 S26 女襪 長襪 棉襪 白長襪 中筒襪 襪子 女生襪子 女長襪 襪子女 無骨襪</t>
        </is>
      </c>
      <c r="C46">
        <f>IMAGE("https://cf.shopee.tw/file/tw-11134207-7r98u-lxtu6nbvg6y8ab_tn")</f>
        <v/>
      </c>
      <c r="D46" t="inlineStr">
        <is>
          <t>淺灰</t>
        </is>
      </c>
      <c r="E46" t="inlineStr">
        <is>
          <t>118404736524</t>
        </is>
      </c>
      <c r="F46">
        <f>IMAGE("https://cf.shopee.tw/file/tw-11134207-7r98x-lxp0zyzx45kg38_tn")</f>
        <v/>
      </c>
    </row>
    <row r="47">
      <c r="A47" t="inlineStr">
        <is>
          <t>26355282562</t>
        </is>
      </c>
      <c r="B47" t="inlineStr">
        <is>
          <t>隔日到貨🔥 純色棉襪 S26 女襪 長襪 棉襪 白長襪 中筒襪 襪子 女生襪子 女長襪 襪子女 無骨襪</t>
        </is>
      </c>
      <c r="C47">
        <f>IMAGE("https://cf.shopee.tw/file/tw-11134207-7r98u-lxtu6nbvg6y8ab_tn")</f>
        <v/>
      </c>
      <c r="D47" t="inlineStr">
        <is>
          <t>淺綠</t>
        </is>
      </c>
      <c r="E47" t="inlineStr">
        <is>
          <t>118404736525</t>
        </is>
      </c>
      <c r="F47">
        <f>IMAGE("https://cf.shopee.tw/file/tw-11134207-7r990-lxp0zyzwopie87_tn")</f>
        <v/>
      </c>
    </row>
    <row r="48">
      <c r="A48" t="inlineStr">
        <is>
          <t>26355282562</t>
        </is>
      </c>
      <c r="B48" t="inlineStr">
        <is>
          <t>隔日到貨🔥 純色棉襪 S26 女襪 長襪 棉襪 白長襪 中筒襪 襪子 女生襪子 女長襪 襪子女 無骨襪</t>
        </is>
      </c>
      <c r="C48">
        <f>IMAGE("https://cf.shopee.tw/file/tw-11134207-7r98u-lxtu6nbvg6y8ab_tn")</f>
        <v/>
      </c>
      <c r="D48" t="inlineStr">
        <is>
          <t>淺粉</t>
        </is>
      </c>
      <c r="E48" t="inlineStr">
        <is>
          <t>118404736526</t>
        </is>
      </c>
      <c r="F48">
        <f>IMAGE("https://cf.shopee.tw/file/tw-11134207-7r98x-lxp0zyzx45raef_tn")</f>
        <v/>
      </c>
    </row>
    <row r="49">
      <c r="A49" t="inlineStr">
        <is>
          <t>26355282562</t>
        </is>
      </c>
      <c r="B49" t="inlineStr">
        <is>
          <t>隔日到貨🔥 純色棉襪 S26 女襪 長襪 棉襪 白長襪 中筒襪 襪子 女生襪子 女長襪 襪子女 無骨襪</t>
        </is>
      </c>
      <c r="C49">
        <f>IMAGE("https://cf.shopee.tw/file/tw-11134207-7r98u-lxtu6nbvg6y8ab_tn")</f>
        <v/>
      </c>
      <c r="D49" t="inlineStr">
        <is>
          <t>淺卡其</t>
        </is>
      </c>
      <c r="E49" t="inlineStr">
        <is>
          <t>118404736527</t>
        </is>
      </c>
      <c r="F49">
        <f>IMAGE("https://cf.shopee.tw/file/tw-11134207-7r98q-lxp0zyzxjltcea_tn")</f>
        <v/>
      </c>
    </row>
    <row r="50">
      <c r="A50" t="inlineStr">
        <is>
          <t>26355282562</t>
        </is>
      </c>
      <c r="B50" t="inlineStr">
        <is>
          <t>隔日到貨🔥 純色棉襪 S26 女襪 長襪 棉襪 白長襪 中筒襪 襪子 女生襪子 女長襪 襪子女 無骨襪</t>
        </is>
      </c>
      <c r="C50">
        <f>IMAGE("https://cf.shopee.tw/file/tw-11134207-7r98u-lxtu6nbvg6y8ab_tn")</f>
        <v/>
      </c>
      <c r="D50" t="inlineStr">
        <is>
          <t>奶白</t>
        </is>
      </c>
      <c r="E50" t="inlineStr">
        <is>
          <t>118404736528</t>
        </is>
      </c>
      <c r="F50">
        <f>IMAGE("https://cf.shopee.tw/file/tw-11134207-7r992-lxp0zyzxjm06a6_tn")</f>
        <v/>
      </c>
    </row>
    <row r="51">
      <c r="A51" t="inlineStr">
        <is>
          <t>26355282562</t>
        </is>
      </c>
      <c r="B51" t="inlineStr">
        <is>
          <t>隔日到貨🔥 純色棉襪 S26 女襪 長襪 棉襪 白長襪 中筒襪 襪子 女生襪子 女長襪 襪子女 無骨襪</t>
        </is>
      </c>
      <c r="C51">
        <f>IMAGE("https://cf.shopee.tw/file/tw-11134207-7r98u-lxtu6nbvg6y8ab_tn")</f>
        <v/>
      </c>
      <c r="D51" t="inlineStr">
        <is>
          <t>奶黃</t>
        </is>
      </c>
      <c r="E51" t="inlineStr">
        <is>
          <t>118404736529</t>
        </is>
      </c>
      <c r="F51">
        <f>IMAGE("https://cf.shopee.tw/file/tw-11134207-7r992-lxp0zyzxz228a7_tn")</f>
        <v/>
      </c>
    </row>
    <row r="52">
      <c r="A52" t="inlineStr">
        <is>
          <t>26355282562</t>
        </is>
      </c>
      <c r="B52" t="inlineStr">
        <is>
          <t>隔日到貨🔥 純色棉襪 S26 女襪 長襪 棉襪 白長襪 中筒襪 襪子 女生襪子 女長襪 襪子女 無骨襪</t>
        </is>
      </c>
      <c r="C52">
        <f>IMAGE("https://cf.shopee.tw/file/tw-11134207-7r98u-lxtu6nbvg6y8ab_tn")</f>
        <v/>
      </c>
      <c r="D52" t="inlineStr">
        <is>
          <t>淺紫</t>
        </is>
      </c>
      <c r="E52" t="inlineStr">
        <is>
          <t>118404736530</t>
        </is>
      </c>
      <c r="F52">
        <f>IMAGE("https://cf.shopee.tw/file/tw-11134207-7r991-lxp35r80w8c047_tn")</f>
        <v/>
      </c>
    </row>
    <row r="53">
      <c r="A53" t="inlineStr">
        <is>
          <t>25977533355</t>
        </is>
      </c>
      <c r="B53" t="inlineStr">
        <is>
          <t>隔日到貨🔥 ins 馬卡龍色系 字母刺繡襪 S43 短襪 中筒襪 襪子 韓風 熱銷 女襪 長襪 情侶襪 可愛襪</t>
        </is>
      </c>
      <c r="C53">
        <f>IMAGE("https://cf.shopee.tw/file/tw-11134207-7r98o-luq9n6w1kq2e7a_tn")</f>
        <v/>
      </c>
      <c r="D53" t="inlineStr">
        <is>
          <t>冰藍</t>
        </is>
      </c>
      <c r="E53" t="inlineStr">
        <is>
          <t>69767835670</t>
        </is>
      </c>
      <c r="F53">
        <f>IMAGE("https://cf.shopee.tw/file/tw-11134207-7r98u-luq9n6w22zm393_tn")</f>
        <v/>
      </c>
    </row>
    <row r="54">
      <c r="A54" t="inlineStr">
        <is>
          <t>25977533355</t>
        </is>
      </c>
      <c r="B54" t="inlineStr">
        <is>
          <t>隔日到貨🔥 ins 馬卡龍色系 字母刺繡襪 S43 短襪 中筒襪 襪子 韓風 熱銷 女襪 長襪 情侶襪 可愛襪</t>
        </is>
      </c>
      <c r="C54">
        <f>IMAGE("https://cf.shopee.tw/file/tw-11134207-7r98o-luq9n6w1kq2e7a_tn")</f>
        <v/>
      </c>
      <c r="D54" t="inlineStr">
        <is>
          <t>豆綠</t>
        </is>
      </c>
      <c r="E54" t="inlineStr">
        <is>
          <t>69767835671</t>
        </is>
      </c>
      <c r="F54">
        <f>IMAGE("https://cf.shopee.tw/file/tw-11134207-7r98u-luq9n6w1m4sr01_tn")</f>
        <v/>
      </c>
    </row>
    <row r="55">
      <c r="A55" t="inlineStr">
        <is>
          <t>25977533355</t>
        </is>
      </c>
      <c r="B55" t="inlineStr">
        <is>
          <t>隔日到貨🔥 ins 馬卡龍色系 字母刺繡襪 S43 短襪 中筒襪 襪子 韓風 熱銷 女襪 長襪 情侶襪 可愛襪</t>
        </is>
      </c>
      <c r="C55">
        <f>IMAGE("https://cf.shopee.tw/file/tw-11134207-7r98o-luq9n6w1kq2e7a_tn")</f>
        <v/>
      </c>
      <c r="D55" t="inlineStr">
        <is>
          <t>皮粉</t>
        </is>
      </c>
      <c r="E55" t="inlineStr">
        <is>
          <t>69417605152</t>
        </is>
      </c>
      <c r="F55">
        <f>IMAGE("https://cf.shopee.tw/file/tw-11134207-7r990-luq9n6w2ifuz32_tn")</f>
        <v/>
      </c>
    </row>
    <row r="56">
      <c r="A56" t="inlineStr">
        <is>
          <t>25977533355</t>
        </is>
      </c>
      <c r="B56" t="inlineStr">
        <is>
          <t>隔日到貨🔥 ins 馬卡龍色系 字母刺繡襪 S43 短襪 中筒襪 襪子 韓風 熱銷 女襪 長襪 情侶襪 可愛襪</t>
        </is>
      </c>
      <c r="C56">
        <f>IMAGE("https://cf.shopee.tw/file/tw-11134207-7r98o-luq9n6w1kq2e7a_tn")</f>
        <v/>
      </c>
      <c r="D56" t="inlineStr">
        <is>
          <t>黑色</t>
        </is>
      </c>
      <c r="E56" t="inlineStr">
        <is>
          <t>69417605153</t>
        </is>
      </c>
      <c r="F56">
        <f>IMAGE("https://cf.shopee.tw/file/tw-11134207-7r98z-luq9n6wc16ff37_tn")</f>
        <v/>
      </c>
    </row>
    <row r="57">
      <c r="A57" t="inlineStr">
        <is>
          <t>25977533355</t>
        </is>
      </c>
      <c r="B57" t="inlineStr">
        <is>
          <t>隔日到貨🔥 ins 馬卡龍色系 字母刺繡襪 S43 短襪 中筒襪 襪子 韓風 熱銷 女襪 長襪 情侶襪 可愛襪</t>
        </is>
      </c>
      <c r="C57">
        <f>IMAGE("https://cf.shopee.tw/file/tw-11134207-7r98o-luq9n6w1kq2e7a_tn")</f>
        <v/>
      </c>
      <c r="D57" t="inlineStr">
        <is>
          <t>白色</t>
        </is>
      </c>
      <c r="E57" t="inlineStr">
        <is>
          <t>69417605154</t>
        </is>
      </c>
      <c r="F57">
        <f>IMAGE("https://cf.shopee.tw/file/tw-11134207-7r98t-luq9n6w1m4mu7f_tn")</f>
        <v/>
      </c>
    </row>
    <row r="58">
      <c r="A58" t="inlineStr">
        <is>
          <t>25977533355</t>
        </is>
      </c>
      <c r="B58" t="inlineStr">
        <is>
          <t>隔日到貨🔥 ins 馬卡龍色系 字母刺繡襪 S43 短襪 中筒襪 襪子 韓風 熱銷 女襪 長襪 情侶襪 可愛襪</t>
        </is>
      </c>
      <c r="C58">
        <f>IMAGE("https://cf.shopee.tw/file/tw-11134207-7r98o-luq9n6w1kq2e7a_tn")</f>
        <v/>
      </c>
      <c r="D58" t="inlineStr">
        <is>
          <t>膚色</t>
        </is>
      </c>
      <c r="E58" t="inlineStr">
        <is>
          <t>69417605155</t>
        </is>
      </c>
      <c r="F58">
        <f>IMAGE("https://cf.shopee.tw/file/tw-11134207-7r98t-lyunay9ar57ia0_tn")</f>
        <v/>
      </c>
    </row>
    <row r="59">
      <c r="A59" t="inlineStr">
        <is>
          <t>25977533355</t>
        </is>
      </c>
      <c r="B59" t="inlineStr">
        <is>
          <t>隔日到貨🔥 ins 馬卡龍色系 字母刺繡襪 S43 短襪 中筒襪 襪子 韓風 熱銷 女襪 長襪 情侶襪 可愛襪</t>
        </is>
      </c>
      <c r="C59">
        <f>IMAGE("https://cf.shopee.tw/file/tw-11134207-7r98o-luq9n6w1kq2e7a_tn")</f>
        <v/>
      </c>
      <c r="D59" t="inlineStr">
        <is>
          <t>淺灰</t>
        </is>
      </c>
      <c r="E59" t="inlineStr">
        <is>
          <t>69417605156</t>
        </is>
      </c>
      <c r="F59">
        <f>IMAGE("https://cf.shopee.tw/file/tw-11134207-7r98o-luq9n6wc2kty4b_tn")</f>
        <v/>
      </c>
    </row>
    <row r="60">
      <c r="A60" t="inlineStr">
        <is>
          <t>25977533355</t>
        </is>
      </c>
      <c r="B60" t="inlineStr">
        <is>
          <t>隔日到貨🔥 ins 馬卡龍色系 字母刺繡襪 S43 短襪 中筒襪 襪子 韓風 熱銷 女襪 長襪 情侶襪 可愛襪</t>
        </is>
      </c>
      <c r="C60">
        <f>IMAGE("https://cf.shopee.tw/file/tw-11134207-7r98o-luq9n6w1kq2e7a_tn")</f>
        <v/>
      </c>
      <c r="D60" t="inlineStr">
        <is>
          <t>奶白</t>
        </is>
      </c>
      <c r="E60" t="inlineStr">
        <is>
          <t>69417605157</t>
        </is>
      </c>
      <c r="F60">
        <f>IMAGE("https://cf.shopee.tw/file/tw-11134207-7r98y-luq9n6wblq6j1e_tn")</f>
        <v/>
      </c>
    </row>
    <row r="61">
      <c r="A61" t="inlineStr">
        <is>
          <t>25977533355</t>
        </is>
      </c>
      <c r="B61" t="inlineStr">
        <is>
          <t>隔日到貨🔥 ins 馬卡龍色系 字母刺繡襪 S43 短襪 中筒襪 襪子 韓風 熱銷 女襪 長襪 情侶襪 可愛襪</t>
        </is>
      </c>
      <c r="C61">
        <f>IMAGE("https://cf.shopee.tw/file/tw-11134207-7r98o-luq9n6w1kq2e7a_tn")</f>
        <v/>
      </c>
      <c r="D61" t="inlineStr">
        <is>
          <t>米色</t>
        </is>
      </c>
      <c r="E61" t="inlineStr">
        <is>
          <t>205304921358</t>
        </is>
      </c>
      <c r="F61">
        <f>IMAGE("https://cf.shopee.tw/file/tw-11134207-7r98v-lyuncmagv4l029_tn")</f>
        <v/>
      </c>
    </row>
    <row r="62">
      <c r="A62" t="inlineStr">
        <is>
          <t>24527185955</t>
        </is>
      </c>
      <c r="B62" t="inlineStr">
        <is>
          <t>隔日到貨🔥 日系 少女系中筒襪 S18 女短襪 短襪女 棉襪 女生襪子 襪子女 純色女襪 襪子 穿搭 百搭 短襪</t>
        </is>
      </c>
      <c r="C62">
        <f>IMAGE("https://cf.shopee.tw/file/tw-11134207-7r98v-lunp1i95j9x204_tn")</f>
        <v/>
      </c>
      <c r="D62" t="inlineStr">
        <is>
          <t>藍色</t>
        </is>
      </c>
      <c r="E62" t="inlineStr">
        <is>
          <t>49417840234</t>
        </is>
      </c>
      <c r="F62">
        <f>IMAGE("https://cf.shopee.tw/file/tw-11134207-7r98z-lunp1i7rmpkm33_tn")</f>
        <v/>
      </c>
    </row>
    <row r="63">
      <c r="A63" t="inlineStr">
        <is>
          <t>24527185955</t>
        </is>
      </c>
      <c r="B63" t="inlineStr">
        <is>
          <t>隔日到貨🔥 日系 少女系中筒襪 S18 女短襪 短襪女 棉襪 女生襪子 襪子女 純色女襪 襪子 穿搭 百搭 短襪</t>
        </is>
      </c>
      <c r="C63">
        <f>IMAGE("https://cf.shopee.tw/file/tw-11134207-7r98v-lunp1i95j9x204_tn")</f>
        <v/>
      </c>
      <c r="D63" t="inlineStr">
        <is>
          <t>淺黃</t>
        </is>
      </c>
      <c r="E63" t="inlineStr">
        <is>
          <t>49417840235</t>
        </is>
      </c>
      <c r="F63">
        <f>IMAGE("https://cf.shopee.tw/file/tw-11134207-7r991-lunp1i8blwc6fa_tn")</f>
        <v/>
      </c>
    </row>
    <row r="64">
      <c r="A64" t="inlineStr">
        <is>
          <t>24527185955</t>
        </is>
      </c>
      <c r="B64" t="inlineStr">
        <is>
          <t>隔日到貨🔥 日系 少女系中筒襪 S18 女短襪 短襪女 棉襪 女生襪子 襪子女 純色女襪 襪子 穿搭 百搭 短襪</t>
        </is>
      </c>
      <c r="C64">
        <f>IMAGE("https://cf.shopee.tw/file/tw-11134207-7r98v-lunp1i95j9x204_tn")</f>
        <v/>
      </c>
      <c r="D64" t="inlineStr">
        <is>
          <t>抹茶</t>
        </is>
      </c>
      <c r="E64" t="inlineStr">
        <is>
          <t>49417840236</t>
        </is>
      </c>
      <c r="F64">
        <f>IMAGE("https://cf.shopee.tw/file/tw-11134207-7r98r-lunp1i8vl39nee_tn")</f>
        <v/>
      </c>
    </row>
    <row r="65">
      <c r="A65" t="inlineStr">
        <is>
          <t>24527185955</t>
        </is>
      </c>
      <c r="B65" t="inlineStr">
        <is>
          <t>隔日到貨🔥 日系 少女系中筒襪 S18 女短襪 短襪女 棉襪 女生襪子 襪子女 純色女襪 襪子 穿搭 百搭 短襪</t>
        </is>
      </c>
      <c r="C65">
        <f>IMAGE("https://cf.shopee.tw/file/tw-11134207-7r98v-lunp1i95j9x204_tn")</f>
        <v/>
      </c>
      <c r="D65" t="inlineStr">
        <is>
          <t>黑色</t>
        </is>
      </c>
      <c r="E65" t="inlineStr">
        <is>
          <t>49417840237</t>
        </is>
      </c>
      <c r="F65">
        <f>IMAGE("https://cf.shopee.tw/file/tw-11134207-7r98q-lunp1i95kohibe_tn")</f>
        <v/>
      </c>
    </row>
    <row r="66">
      <c r="A66" t="inlineStr">
        <is>
          <t>24527185955</t>
        </is>
      </c>
      <c r="B66" t="inlineStr">
        <is>
          <t>隔日到貨🔥 日系 少女系中筒襪 S18 女短襪 短襪女 棉襪 女生襪子 襪子女 純色女襪 襪子 穿搭 百搭 短襪</t>
        </is>
      </c>
      <c r="C66">
        <f>IMAGE("https://cf.shopee.tw/file/tw-11134207-7r98v-lunp1i95j9x204_tn")</f>
        <v/>
      </c>
      <c r="D66" t="inlineStr">
        <is>
          <t>白色</t>
        </is>
      </c>
      <c r="E66" t="inlineStr">
        <is>
          <t>49417840238</t>
        </is>
      </c>
      <c r="F66">
        <f>IMAGE("https://cf.shopee.tw/file/tw-11134207-7r98z-lunpd2ttxgi351_tn")</f>
        <v/>
      </c>
    </row>
    <row r="67">
      <c r="A67" t="inlineStr">
        <is>
          <t>24527185955</t>
        </is>
      </c>
      <c r="B67" t="inlineStr">
        <is>
          <t>隔日到貨🔥 日系 少女系中筒襪 S18 女短襪 短襪女 棉襪 女生襪子 襪子女 純色女襪 襪子 穿搭 百搭 短襪</t>
        </is>
      </c>
      <c r="C67">
        <f>IMAGE("https://cf.shopee.tw/file/tw-11134207-7r98v-lunp1i95j9x204_tn")</f>
        <v/>
      </c>
      <c r="D67" t="inlineStr">
        <is>
          <t>奶白</t>
        </is>
      </c>
      <c r="E67" t="inlineStr">
        <is>
          <t>49417840239</t>
        </is>
      </c>
      <c r="F67">
        <f>IMAGE("https://cf.shopee.tw/file/tw-11134207-7r992-lunpd2ttyv2j01_tn")</f>
        <v/>
      </c>
    </row>
    <row r="68">
      <c r="A68" t="inlineStr">
        <is>
          <t>24527185955</t>
        </is>
      </c>
      <c r="B68" t="inlineStr">
        <is>
          <t>隔日到貨🔥 日系 少女系中筒襪 S18 女短襪 短襪女 棉襪 女生襪子 襪子女 純色女襪 襪子 穿搭 百搭 短襪</t>
        </is>
      </c>
      <c r="C68">
        <f>IMAGE("https://cf.shopee.tw/file/tw-11134207-7r98v-lunp1i95j9x204_tn")</f>
        <v/>
      </c>
      <c r="D68" t="inlineStr">
        <is>
          <t>粉色</t>
        </is>
      </c>
      <c r="E68" t="inlineStr">
        <is>
          <t>49417840240</t>
        </is>
      </c>
      <c r="F68">
        <f>IMAGE("https://cf.shopee.tw/file/tw-11134207-7r98w-lunpd7zqdex722_tn")</f>
        <v/>
      </c>
    </row>
    <row r="69">
      <c r="A69" t="inlineStr">
        <is>
          <t>23025452536</t>
        </is>
      </c>
      <c r="B69" t="inlineStr">
        <is>
          <t>隔日到貨🔥 木耳花邊中筒襪 長襪 中筒襪 襪子 S29 襪子女 白長襪 女襪 女生襪子 白色襪子 白襪</t>
        </is>
      </c>
      <c r="C69">
        <f>IMAGE("https://cf.shopee.tw/file/tw-11134207-23020-ekmgqb8xwsnv47_tn")</f>
        <v/>
      </c>
      <c r="D69" t="inlineStr">
        <is>
          <t>木耳邊黑色</t>
        </is>
      </c>
      <c r="E69" t="inlineStr">
        <is>
          <t>230995534368</t>
        </is>
      </c>
      <c r="F69">
        <f>IMAGE("https://cf.shopee.tw/file/tw-11134207-23020-i8qy33vteonvc9_tn")</f>
        <v/>
      </c>
    </row>
    <row r="70">
      <c r="A70" t="inlineStr">
        <is>
          <t>23025452536</t>
        </is>
      </c>
      <c r="B70" t="inlineStr">
        <is>
          <t>隔日到貨🔥 木耳花邊中筒襪 長襪 中筒襪 襪子 S29 襪子女 白長襪 女襪 女生襪子 白色襪子 白襪</t>
        </is>
      </c>
      <c r="C70">
        <f>IMAGE("https://cf.shopee.tw/file/tw-11134207-23020-ekmgqb8xwsnv47_tn")</f>
        <v/>
      </c>
      <c r="D70" t="inlineStr">
        <is>
          <t>木耳邊白色</t>
        </is>
      </c>
      <c r="E70" t="inlineStr">
        <is>
          <t>230995534369</t>
        </is>
      </c>
      <c r="F70">
        <f>IMAGE("https://cf.shopee.tw/file/tw-11134207-23020-3qrvivyteonv63_tn")</f>
        <v/>
      </c>
    </row>
    <row r="71">
      <c r="A71" t="inlineStr">
        <is>
          <t>23025452536</t>
        </is>
      </c>
      <c r="B71" t="inlineStr">
        <is>
          <t>隔日到貨🔥 木耳花邊中筒襪 長襪 中筒襪 襪子 S29 襪子女 白長襪 女襪 女生襪子 白色襪子 白襪</t>
        </is>
      </c>
      <c r="C71">
        <f>IMAGE("https://cf.shopee.tw/file/tw-11134207-23020-ekmgqb8xwsnv47_tn")</f>
        <v/>
      </c>
      <c r="D71" t="inlineStr">
        <is>
          <t>木耳邊奶白</t>
        </is>
      </c>
      <c r="E71" t="inlineStr">
        <is>
          <t>230995534370</t>
        </is>
      </c>
      <c r="F71">
        <f>IMAGE("https://cf.shopee.tw/file/tw-11134207-23030-5ddquupv19nv7e_tn")</f>
        <v/>
      </c>
    </row>
    <row r="72">
      <c r="A72" t="inlineStr">
        <is>
          <t>23025452536</t>
        </is>
      </c>
      <c r="B72" t="inlineStr">
        <is>
          <t>隔日到貨🔥 木耳花邊中筒襪 長襪 中筒襪 襪子 S29 襪子女 白長襪 女襪 女生襪子 白色襪子 白襪</t>
        </is>
      </c>
      <c r="C72">
        <f>IMAGE("https://cf.shopee.tw/file/tw-11134207-23020-ekmgqb8xwsnv47_tn")</f>
        <v/>
      </c>
      <c r="D72" t="inlineStr">
        <is>
          <t>木耳邊淺卡其</t>
        </is>
      </c>
      <c r="E72" t="inlineStr">
        <is>
          <t>230995534371</t>
        </is>
      </c>
      <c r="F72">
        <f>IMAGE("https://cf.shopee.tw/file/tw-11134207-23020-qpawyb5teonv41_tn")</f>
        <v/>
      </c>
    </row>
    <row r="73">
      <c r="A73" t="inlineStr">
        <is>
          <t>23025452536</t>
        </is>
      </c>
      <c r="B73" t="inlineStr">
        <is>
          <t>隔日到貨🔥 木耳花邊中筒襪 長襪 中筒襪 襪子 S29 襪子女 白長襪 女襪 女生襪子 白色襪子 白襪</t>
        </is>
      </c>
      <c r="C73">
        <f>IMAGE("https://cf.shopee.tw/file/tw-11134207-23020-ekmgqb8xwsnv47_tn")</f>
        <v/>
      </c>
      <c r="D73" t="inlineStr">
        <is>
          <t>木耳邊深卡其</t>
        </is>
      </c>
      <c r="E73" t="inlineStr">
        <is>
          <t>230995534372</t>
        </is>
      </c>
      <c r="F73">
        <f>IMAGE("https://cf.shopee.tw/file/tw-11134207-23020-ql4fee8teonvb0_tn")</f>
        <v/>
      </c>
    </row>
    <row r="74">
      <c r="A74" t="inlineStr">
        <is>
          <t>23025452536</t>
        </is>
      </c>
      <c r="B74" t="inlineStr">
        <is>
          <t>隔日到貨🔥 木耳花邊中筒襪 長襪 中筒襪 襪子 S29 襪子女 白長襪 女襪 女生襪子 白色襪子 白襪</t>
        </is>
      </c>
      <c r="C74">
        <f>IMAGE("https://cf.shopee.tw/file/tw-11134207-23020-ekmgqb8xwsnv47_tn")</f>
        <v/>
      </c>
      <c r="D74" t="inlineStr">
        <is>
          <t>木耳邊咖啡色</t>
        </is>
      </c>
      <c r="E74" t="inlineStr">
        <is>
          <t>230995534367</t>
        </is>
      </c>
      <c r="F74">
        <f>IMAGE("https://cf.shopee.tw/file/tw-11134207-23020-ifxc160teonv30_tn")</f>
        <v/>
      </c>
    </row>
    <row r="75">
      <c r="A75" t="inlineStr">
        <is>
          <t>22561129943</t>
        </is>
      </c>
      <c r="B75" t="inlineStr">
        <is>
          <t>隔日到貨🔥 iPhone 17 16 15 充電線 USB3.1 Type-C 支援carplay 快充線 傳輸線 安卓</t>
        </is>
      </c>
      <c r="C75">
        <f>IMAGE("https://cf.shopee.tw/file/tw-11134207-81ztj-mgq9fm1f5dsaa0_tn")</f>
        <v/>
      </c>
      <c r="D75" t="inlineStr">
        <is>
          <t>USB to C 50公分</t>
        </is>
      </c>
      <c r="E75" t="inlineStr">
        <is>
          <t>255033522181</t>
        </is>
      </c>
      <c r="F75">
        <f>IMAGE("https://cf.shopee.tw/file/tw-11134207-7r98r-lr7hnoik3poy39_tn")</f>
        <v/>
      </c>
    </row>
    <row r="76">
      <c r="A76" t="inlineStr">
        <is>
          <t>22561129943</t>
        </is>
      </c>
      <c r="B76" t="inlineStr">
        <is>
          <t>隔日到貨🔥 iPhone 17 16 15 充電線 USB3.1 Type-C 支援carplay 快充線 傳輸線 安卓</t>
        </is>
      </c>
      <c r="C76">
        <f>IMAGE("https://cf.shopee.tw/file/tw-11134207-81ztj-mgq9fm1f5dsaa0_tn")</f>
        <v/>
      </c>
      <c r="D76" t="inlineStr">
        <is>
          <t>USB to C 100公分</t>
        </is>
      </c>
      <c r="E76" t="inlineStr">
        <is>
          <t>255033522182</t>
        </is>
      </c>
      <c r="F76">
        <f>IMAGE("https://cf.shopee.tw/file/tw-11134207-7r98r-lr7hnoikj5xua8_tn")</f>
        <v/>
      </c>
    </row>
    <row r="77">
      <c r="A77" t="inlineStr">
        <is>
          <t>22561129943</t>
        </is>
      </c>
      <c r="B77" t="inlineStr">
        <is>
          <t>隔日到貨🔥 iPhone 17 16 15 充電線 USB3.1 Type-C 支援carplay 快充線 傳輸線 安卓</t>
        </is>
      </c>
      <c r="C77">
        <f>IMAGE("https://cf.shopee.tw/file/tw-11134207-81ztj-mgq9fm1f5dsaa0_tn")</f>
        <v/>
      </c>
      <c r="D77" t="inlineStr">
        <is>
          <t>USB to C 200公分</t>
        </is>
      </c>
      <c r="E77" t="inlineStr">
        <is>
          <t>255033522183</t>
        </is>
      </c>
      <c r="F77">
        <f>IMAGE("https://cf.shopee.tw/file/tw-11134207-7r990-lr7hnoj42ww828_tn")</f>
        <v/>
      </c>
    </row>
    <row r="78">
      <c r="A78" t="inlineStr">
        <is>
          <t>22561129943</t>
        </is>
      </c>
      <c r="B78" t="inlineStr">
        <is>
          <t>隔日到貨🔥 iPhone 17 16 15 充電線 USB3.1 Type-C 支援carplay 快充線 傳輸線 安卓</t>
        </is>
      </c>
      <c r="C78">
        <f>IMAGE("https://cf.shopee.tw/file/tw-11134207-81ztj-mgq9fm1f5dsaa0_tn")</f>
        <v/>
      </c>
      <c r="D78" t="inlineStr">
        <is>
          <t>Type-C to C 50公分</t>
        </is>
      </c>
      <c r="E78" t="inlineStr">
        <is>
          <t>185418702041</t>
        </is>
      </c>
      <c r="F78">
        <f>IMAGE("https://cf.shopee.tw/file/tw-11134207-7rasb-m0lg0i0khakz49_tn")</f>
        <v/>
      </c>
    </row>
    <row r="79">
      <c r="A79" t="inlineStr">
        <is>
          <t>22561129943</t>
        </is>
      </c>
      <c r="B79" t="inlineStr">
        <is>
          <t>隔日到貨🔥 iPhone 17 16 15 充電線 USB3.1 Type-C 支援carplay 快充線 傳輸線 安卓</t>
        </is>
      </c>
      <c r="C79">
        <f>IMAGE("https://cf.shopee.tw/file/tw-11134207-81ztj-mgq9fm1f5dsaa0_tn")</f>
        <v/>
      </c>
      <c r="D79" t="inlineStr">
        <is>
          <t>Type-C to C 100公分</t>
        </is>
      </c>
      <c r="E79" t="inlineStr">
        <is>
          <t>185418702042</t>
        </is>
      </c>
      <c r="F79">
        <f>IMAGE("https://cf.shopee.tw/file/tw-11134207-7rasa-m0lg0i0kip5ff8_tn")</f>
        <v/>
      </c>
    </row>
    <row r="80">
      <c r="A80" t="inlineStr">
        <is>
          <t>22561129943</t>
        </is>
      </c>
      <c r="B80" t="inlineStr">
        <is>
          <t>隔日到貨🔥 iPhone 17 16 15 充電線 USB3.1 Type-C 支援carplay 快充線 傳輸線 安卓</t>
        </is>
      </c>
      <c r="C80">
        <f>IMAGE("https://cf.shopee.tw/file/tw-11134207-81ztj-mgq9fm1f5dsaa0_tn")</f>
        <v/>
      </c>
      <c r="D80" t="inlineStr">
        <is>
          <t>Type-C to C 200公分</t>
        </is>
      </c>
      <c r="E80" t="inlineStr">
        <is>
          <t>185418702043</t>
        </is>
      </c>
      <c r="F80">
        <f>IMAGE("https://cf.shopee.tw/file/tw-11134207-7rash-m0lg0o37mqcn5b_tn")</f>
        <v/>
      </c>
    </row>
    <row r="81">
      <c r="A81" t="inlineStr">
        <is>
          <t>24827541886</t>
        </is>
      </c>
      <c r="B81" t="inlineStr">
        <is>
          <t>隔日到貨🔥 字母刺繡 短筒襪 S18 中筒襪 潮襪 棉襪 春夏 純色女襪 襪子 襪子女 短襪 女生襪子 白襪 白色襪子</t>
        </is>
      </c>
      <c r="C81">
        <f>IMAGE("https://cf.shopee.tw/file/tw-11134207-7r992-luqbfxcfweyz2a_tn")</f>
        <v/>
      </c>
      <c r="D81" t="inlineStr">
        <is>
          <t>白色C款</t>
        </is>
      </c>
      <c r="E81" t="inlineStr">
        <is>
          <t>240742355987</t>
        </is>
      </c>
      <c r="F81">
        <f>IMAGE("https://cf.shopee.tw/file/tw-11134207-7r98z-luqbfxcfbcae93_tn")</f>
        <v/>
      </c>
    </row>
    <row r="82">
      <c r="A82" t="inlineStr">
        <is>
          <t>24827541886</t>
        </is>
      </c>
      <c r="B82" t="inlineStr">
        <is>
          <t>隔日到貨🔥 字母刺繡 短筒襪 S18 中筒襪 潮襪 棉襪 春夏 純色女襪 襪子 襪子女 短襪 女生襪子 白襪 白色襪子</t>
        </is>
      </c>
      <c r="C82">
        <f>IMAGE("https://cf.shopee.tw/file/tw-11134207-7r992-luqbfxcfweyz2a_tn")</f>
        <v/>
      </c>
      <c r="D82" t="inlineStr">
        <is>
          <t>白色P款</t>
        </is>
      </c>
      <c r="E82" t="inlineStr">
        <is>
          <t>240742355988</t>
        </is>
      </c>
      <c r="F82">
        <f>IMAGE("https://cf.shopee.tw/file/tw-11134207-7r98r-luqbfxcfpe4r5a_tn")</f>
        <v/>
      </c>
    </row>
    <row r="83">
      <c r="A83" t="inlineStr">
        <is>
          <t>24827541886</t>
        </is>
      </c>
      <c r="B83" t="inlineStr">
        <is>
          <t>隔日到貨🔥 字母刺繡 短筒襪 S18 中筒襪 潮襪 棉襪 春夏 純色女襪 襪子 襪子女 短襪 女生襪子 白襪 白色襪子</t>
        </is>
      </c>
      <c r="C83">
        <f>IMAGE("https://cf.shopee.tw/file/tw-11134207-7r992-luqbfxcfweyz2a_tn")</f>
        <v/>
      </c>
      <c r="D83" t="inlineStr">
        <is>
          <t>黑色C款</t>
        </is>
      </c>
      <c r="E83" t="inlineStr">
        <is>
          <t>240742355989</t>
        </is>
      </c>
      <c r="F83">
        <f>IMAGE("https://cf.shopee.tw/file/tw-11134207-7r992-luqbfxcgkamjb9_tn")</f>
        <v/>
      </c>
    </row>
    <row r="84">
      <c r="A84" t="inlineStr">
        <is>
          <t>24827541886</t>
        </is>
      </c>
      <c r="B84" t="inlineStr">
        <is>
          <t>隔日到貨🔥 字母刺繡 短筒襪 S18 中筒襪 潮襪 棉襪 春夏 純色女襪 襪子 襪子女 短襪 女生襪子 白襪 白色襪子</t>
        </is>
      </c>
      <c r="C84">
        <f>IMAGE("https://cf.shopee.tw/file/tw-11134207-7r992-luqbfxcfweyz2a_tn")</f>
        <v/>
      </c>
      <c r="D84" t="inlineStr">
        <is>
          <t>黑色P款</t>
        </is>
      </c>
      <c r="E84" t="inlineStr">
        <is>
          <t>240742355990</t>
        </is>
      </c>
      <c r="F84">
        <f>IMAGE("https://cf.shopee.tw/file/tw-11134207-7r98p-luqbfxcf9xvv3e_tn")</f>
        <v/>
      </c>
    </row>
    <row r="85">
      <c r="A85" t="inlineStr">
        <is>
          <t>24827541886</t>
        </is>
      </c>
      <c r="B85" t="inlineStr">
        <is>
          <t>隔日到貨🔥 字母刺繡 短筒襪 S18 中筒襪 潮襪 棉襪 春夏 純色女襪 襪子 襪子女 短襪 女生襪子 白襪 白色襪子</t>
        </is>
      </c>
      <c r="C85">
        <f>IMAGE("https://cf.shopee.tw/file/tw-11134207-7r992-luqbfxcfweyz2a_tn")</f>
        <v/>
      </c>
      <c r="D85" t="inlineStr">
        <is>
          <t>灰色C款</t>
        </is>
      </c>
      <c r="E85" t="inlineStr">
        <is>
          <t>240742355991</t>
        </is>
      </c>
      <c r="F85">
        <f>IMAGE("https://cf.shopee.tw/file/tw-11134207-7r992-luqbfxcpozijed_tn")</f>
        <v/>
      </c>
    </row>
    <row r="86">
      <c r="A86" t="inlineStr">
        <is>
          <t>24827541886</t>
        </is>
      </c>
      <c r="B86" t="inlineStr">
        <is>
          <t>隔日到貨🔥 字母刺繡 短筒襪 S18 中筒襪 潮襪 棉襪 春夏 純色女襪 襪子 襪子女 短襪 女生襪子 白襪 白色襪子</t>
        </is>
      </c>
      <c r="C86">
        <f>IMAGE("https://cf.shopee.tw/file/tw-11134207-7r992-luqbfxcfweyz2a_tn")</f>
        <v/>
      </c>
      <c r="D86" t="inlineStr">
        <is>
          <t>灰色P款</t>
        </is>
      </c>
      <c r="E86" t="inlineStr">
        <is>
          <t>240742355992</t>
        </is>
      </c>
      <c r="F86">
        <f>IMAGE("https://cf.shopee.tw/file/tw-11134207-7r98y-luqbfxcp9j9n31_tn")</f>
        <v/>
      </c>
    </row>
    <row r="87">
      <c r="A87" t="inlineStr">
        <is>
          <t>24827541886</t>
        </is>
      </c>
      <c r="B87" t="inlineStr">
        <is>
          <t>隔日到貨🔥 字母刺繡 短筒襪 S18 中筒襪 潮襪 棉襪 春夏 純色女襪 襪子 襪子女 短襪 女生襪子 白襪 白色襪子</t>
        </is>
      </c>
      <c r="C87">
        <f>IMAGE("https://cf.shopee.tw/file/tw-11134207-7r992-luqbfxcfweyz2a_tn")</f>
        <v/>
      </c>
      <c r="D87" t="inlineStr">
        <is>
          <t>奶白C款</t>
        </is>
      </c>
      <c r="E87" t="inlineStr">
        <is>
          <t>240742355993</t>
        </is>
      </c>
      <c r="F87">
        <f>IMAGE("https://cf.shopee.tw/file/tw-11134207-7r98r-luqbfxcz94nfaf_tn")</f>
        <v/>
      </c>
    </row>
    <row r="88">
      <c r="A88" t="inlineStr">
        <is>
          <t>24827541886</t>
        </is>
      </c>
      <c r="B88" t="inlineStr">
        <is>
          <t>隔日到貨🔥 字母刺繡 短筒襪 S18 中筒襪 潮襪 棉襪 春夏 純色女襪 襪子 襪子女 短襪 女生襪子 白襪 白色襪子</t>
        </is>
      </c>
      <c r="C88">
        <f>IMAGE("https://cf.shopee.tw/file/tw-11134207-7r992-luqbfxcfweyz2a_tn")</f>
        <v/>
      </c>
      <c r="D88" t="inlineStr">
        <is>
          <t>奶白P款</t>
        </is>
      </c>
      <c r="E88" t="inlineStr">
        <is>
          <t>240742355994</t>
        </is>
      </c>
      <c r="F88">
        <f>IMAGE("https://cf.shopee.tw/file/tw-11134207-7r98w-luqbkxejs4wbe5_tn")</f>
        <v/>
      </c>
    </row>
    <row r="89">
      <c r="A89" t="inlineStr">
        <is>
          <t>26169261786</t>
        </is>
      </c>
      <c r="B89" t="inlineStr">
        <is>
          <t>隔日到貨🔥 奶茶色調中筒襪 S31 大地色襪子 棉襪 素色襪 女襪 長襪 棉襪 中筒襪 襪子 韓風 女生襪子</t>
        </is>
      </c>
      <c r="C89">
        <f>IMAGE("https://cf.shopee.tw/file/tw-11134207-7ras8-m37jn3yrk3n14f_tn")</f>
        <v/>
      </c>
      <c r="D89" t="inlineStr">
        <is>
          <t>黑色</t>
        </is>
      </c>
      <c r="E89" t="inlineStr">
        <is>
          <t>208023979666</t>
        </is>
      </c>
      <c r="F89">
        <f>IMAGE("https://cf.shopee.tw/file/tw-11134207-7rasi-m37c1jqfaict8e_tn")</f>
        <v/>
      </c>
    </row>
    <row r="90">
      <c r="A90" t="inlineStr">
        <is>
          <t>26169261786</t>
        </is>
      </c>
      <c r="B90" t="inlineStr">
        <is>
          <t>隔日到貨🔥 奶茶色調中筒襪 S31 大地色襪子 棉襪 素色襪 女襪 長襪 棉襪 中筒襪 襪子 韓風 女生襪子</t>
        </is>
      </c>
      <c r="C90">
        <f>IMAGE("https://cf.shopee.tw/file/tw-11134207-7ras8-m37jn3yrk3n14f_tn")</f>
        <v/>
      </c>
      <c r="D90" t="inlineStr">
        <is>
          <t>白色</t>
        </is>
      </c>
      <c r="E90" t="inlineStr">
        <is>
          <t>208023979667</t>
        </is>
      </c>
      <c r="F90">
        <f>IMAGE("https://cf.shopee.tw/file/tw-11134207-7rasl-m37c1jqfixp644_tn")</f>
        <v/>
      </c>
    </row>
    <row r="91">
      <c r="A91" t="inlineStr">
        <is>
          <t>26169261786</t>
        </is>
      </c>
      <c r="B91" t="inlineStr">
        <is>
          <t>隔日到貨🔥 奶茶色調中筒襪 S31 大地色襪子 棉襪 素色襪 女襪 長襪 棉襪 中筒襪 襪子 韓風 女生襪子</t>
        </is>
      </c>
      <c r="C91">
        <f>IMAGE("https://cf.shopee.tw/file/tw-11134207-7ras8-m37jn3yrk3n14f_tn")</f>
        <v/>
      </c>
      <c r="D91" t="inlineStr">
        <is>
          <t>奶白</t>
        </is>
      </c>
      <c r="E91" t="inlineStr">
        <is>
          <t>208023979668</t>
        </is>
      </c>
      <c r="F91">
        <f>IMAGE("https://cf.shopee.tw/file/tw-11134207-7rasm-m37c1jqfaiai95_tn")</f>
        <v/>
      </c>
    </row>
    <row r="92">
      <c r="A92" t="inlineStr">
        <is>
          <t>26169261786</t>
        </is>
      </c>
      <c r="B92" t="inlineStr">
        <is>
          <t>隔日到貨🔥 奶茶色調中筒襪 S31 大地色襪子 棉襪 素色襪 女襪 長襪 棉襪 中筒襪 襪子 韓風 女生襪子</t>
        </is>
      </c>
      <c r="C92">
        <f>IMAGE("https://cf.shopee.tw/file/tw-11134207-7ras8-m37jn3yrk3n14f_tn")</f>
        <v/>
      </c>
      <c r="D92" t="inlineStr">
        <is>
          <t>奶咖</t>
        </is>
      </c>
      <c r="E92" t="inlineStr">
        <is>
          <t>237092600464</t>
        </is>
      </c>
      <c r="F92">
        <f>IMAGE("https://cf.shopee.tw/file/tw-11134207-7rase-m37c1jqg5eul8e_tn")</f>
        <v/>
      </c>
    </row>
    <row r="93">
      <c r="A93" t="inlineStr">
        <is>
          <t>26169261786</t>
        </is>
      </c>
      <c r="B93" t="inlineStr">
        <is>
          <t>隔日到貨🔥 奶茶色調中筒襪 S31 大地色襪子 棉襪 素色襪 女襪 長襪 棉襪 中筒襪 襪子 韓風 女生襪子</t>
        </is>
      </c>
      <c r="C93">
        <f>IMAGE("https://cf.shopee.tw/file/tw-11134207-7ras8-m37jn3yrk3n14f_tn")</f>
        <v/>
      </c>
      <c r="D93" t="inlineStr">
        <is>
          <t>卡其</t>
        </is>
      </c>
      <c r="E93" t="inlineStr">
        <is>
          <t>237092600465</t>
        </is>
      </c>
      <c r="F93">
        <f>IMAGE("https://cf.shopee.tw/file/tw-11134207-7rasg-m37c1jqfpylp1e_tn")</f>
        <v/>
      </c>
    </row>
    <row r="94">
      <c r="A94" t="inlineStr">
        <is>
          <t>26169261786</t>
        </is>
      </c>
      <c r="B94" t="inlineStr">
        <is>
          <t>隔日到貨🔥 奶茶色調中筒襪 S31 大地色襪子 棉襪 素色襪 女襪 長襪 棉襪 中筒襪 襪子 韓風 女生襪子</t>
        </is>
      </c>
      <c r="C94">
        <f>IMAGE("https://cf.shopee.tw/file/tw-11134207-7ras8-m37jn3yrk3n14f_tn")</f>
        <v/>
      </c>
      <c r="D94" t="inlineStr">
        <is>
          <t>咖啡</t>
        </is>
      </c>
      <c r="E94" t="inlineStr">
        <is>
          <t>237092600466</t>
        </is>
      </c>
      <c r="F94">
        <f>IMAGE("https://cf.shopee.tw/file/tw-11134207-7ras8-m37c1jqg5esa9d_tn")</f>
        <v/>
      </c>
    </row>
    <row r="95">
      <c r="A95" t="inlineStr">
        <is>
          <t>22589154150</t>
        </is>
      </c>
      <c r="B95" t="inlineStr">
        <is>
          <t>隔日到貨🔥 ins韓風 手機殼吊飾 手機殼掛飾 手機殼掛繩 手機掛件 掛飾 手機吊飾 鍊條 手提掛飾 手機掛繩 掛繩</t>
        </is>
      </c>
      <c r="C95">
        <f>IMAGE("https://cf.shopee.tw/file/tw-11134207-7r98r-lqhm4nq841z698_tn")</f>
        <v/>
      </c>
      <c r="D95" t="inlineStr">
        <is>
          <t>紫花蝴蝶</t>
        </is>
      </c>
      <c r="E95" t="inlineStr">
        <is>
          <t>225986791808</t>
        </is>
      </c>
      <c r="F95">
        <f>IMAGE("https://cf.shopee.tw/file/tw-11134207-7r98r-lqhm4h8lj4lea8_tn")</f>
        <v/>
      </c>
    </row>
    <row r="96">
      <c r="A96" t="inlineStr">
        <is>
          <t>22589154150</t>
        </is>
      </c>
      <c r="B96" t="inlineStr">
        <is>
          <t>隔日到貨🔥 ins韓風 手機殼吊飾 手機殼掛飾 手機殼掛繩 手機掛件 掛飾 手機吊飾 鍊條 手提掛飾 手機掛繩 掛繩</t>
        </is>
      </c>
      <c r="C96">
        <f>IMAGE("https://cf.shopee.tw/file/tw-11134207-7r98r-lqhm4nq841z698_tn")</f>
        <v/>
      </c>
      <c r="D96" t="inlineStr">
        <is>
          <t>白星熊</t>
        </is>
      </c>
      <c r="E96" t="inlineStr">
        <is>
          <t>225986791809</t>
        </is>
      </c>
      <c r="F96">
        <f>IMAGE("https://cf.shopee.tw/file/tw-11134207-7r992-lqhm4h8lkj5uff_tn")</f>
        <v/>
      </c>
    </row>
    <row r="97">
      <c r="A97" t="inlineStr">
        <is>
          <t>22589154150</t>
        </is>
      </c>
      <c r="B97" t="inlineStr">
        <is>
          <t>隔日到貨🔥 ins韓風 手機殼吊飾 手機殼掛飾 手機殼掛繩 手機掛件 掛飾 手機吊飾 鍊條 手提掛飾 手機掛繩 掛繩</t>
        </is>
      </c>
      <c r="C97">
        <f>IMAGE("https://cf.shopee.tw/file/tw-11134207-7r98r-lqhm4nq841z698_tn")</f>
        <v/>
      </c>
      <c r="D97" t="inlineStr">
        <is>
          <t>千鳥格手鍊</t>
        </is>
      </c>
      <c r="E97" t="inlineStr">
        <is>
          <t>225986791810</t>
        </is>
      </c>
      <c r="F97">
        <f>IMAGE("https://cf.shopee.tw/file/tw-11134207-7r98z-lqhm4nq82neq73_tn")</f>
        <v/>
      </c>
    </row>
    <row r="98">
      <c r="A98" t="inlineStr">
        <is>
          <t>22589154150</t>
        </is>
      </c>
      <c r="B98" t="inlineStr">
        <is>
          <t>隔日到貨🔥 ins韓風 手機殼吊飾 手機殼掛飾 手機殼掛繩 手機掛件 掛飾 手機吊飾 鍊條 手提掛飾 手機掛繩 掛繩</t>
        </is>
      </c>
      <c r="C98">
        <f>IMAGE("https://cf.shopee.tw/file/tw-11134207-7r98r-lqhm4nq841z698_tn")</f>
        <v/>
      </c>
      <c r="D98" t="inlineStr">
        <is>
          <t>小狗藍繩</t>
        </is>
      </c>
      <c r="E98" t="inlineStr">
        <is>
          <t>225986791811</t>
        </is>
      </c>
      <c r="F98">
        <f>IMAGE("https://cf.shopee.tw/file/tw-11134207-7r98y-lqhm00za38ci68_tn")</f>
        <v/>
      </c>
    </row>
    <row r="99">
      <c r="A99" t="inlineStr">
        <is>
          <t>22589154150</t>
        </is>
      </c>
      <c r="B99" t="inlineStr">
        <is>
          <t>隔日到貨🔥 ins韓風 手機殼吊飾 手機殼掛飾 手機殼掛繩 手機掛件 掛飾 手機吊飾 鍊條 手提掛飾 手機掛繩 掛繩</t>
        </is>
      </c>
      <c r="C99">
        <f>IMAGE("https://cf.shopee.tw/file/tw-11134207-7r98r-lqhm4nq841z698_tn")</f>
        <v/>
      </c>
      <c r="D99" t="inlineStr">
        <is>
          <t>愛心熊黑繩</t>
        </is>
      </c>
      <c r="E99" t="inlineStr">
        <is>
          <t>225986791812</t>
        </is>
      </c>
      <c r="F99">
        <f>IMAGE("https://cf.shopee.tw/file/tw-11134207-7r98p-lqhm00za1ts2aa_tn")</f>
        <v/>
      </c>
    </row>
    <row r="100">
      <c r="A100" t="inlineStr">
        <is>
          <t>22589154150</t>
        </is>
      </c>
      <c r="B100" t="inlineStr">
        <is>
          <t>隔日到貨🔥 ins韓風 手機殼吊飾 手機殼掛飾 手機殼掛繩 手機掛件 掛飾 手機吊飾 鍊條 手提掛飾 手機掛繩 掛繩</t>
        </is>
      </c>
      <c r="C100">
        <f>IMAGE("https://cf.shopee.tw/file/tw-11134207-7r98r-lqhm4nq841z698_tn")</f>
        <v/>
      </c>
      <c r="D100" t="inlineStr">
        <is>
          <t>十字架粉繩</t>
        </is>
      </c>
      <c r="E100" t="inlineStr">
        <is>
          <t>225986791813</t>
        </is>
      </c>
      <c r="F100">
        <f>IMAGE("https://cf.shopee.tw/file/tw-11134207-7r992-lpfe6nswcnebeb_tn")</f>
        <v/>
      </c>
    </row>
    <row r="101">
      <c r="A101" t="inlineStr">
        <is>
          <t>22589154150</t>
        </is>
      </c>
      <c r="B101" t="inlineStr">
        <is>
          <t>隔日到貨🔥 ins韓風 手機殼吊飾 手機殼掛飾 手機殼掛繩 手機掛件 掛飾 手機吊飾 鍊條 手提掛飾 手機掛繩 掛繩</t>
        </is>
      </c>
      <c r="C101">
        <f>IMAGE("https://cf.shopee.tw/file/tw-11134207-7r98r-lqhm4nq841z698_tn")</f>
        <v/>
      </c>
      <c r="D101" t="inlineStr">
        <is>
          <t>陶瓷熊掌繩</t>
        </is>
      </c>
      <c r="E101" t="inlineStr">
        <is>
          <t>225986791814</t>
        </is>
      </c>
      <c r="F101">
        <f>IMAGE("https://cf.shopee.tw/file/tw-11134207-7r98r-lqhlzasgexvm07_tn")</f>
        <v/>
      </c>
    </row>
    <row r="102">
      <c r="A102" t="inlineStr">
        <is>
          <t>22589154150</t>
        </is>
      </c>
      <c r="B102" t="inlineStr">
        <is>
          <t>隔日到貨🔥 ins韓風 手機殼吊飾 手機殼掛飾 手機殼掛繩 手機掛件 掛飾 手機吊飾 鍊條 手提掛飾 手機掛繩 掛繩</t>
        </is>
      </c>
      <c r="C102">
        <f>IMAGE("https://cf.shopee.tw/file/tw-11134207-7r98r-lqhm4nq841z698_tn")</f>
        <v/>
      </c>
      <c r="D102" t="inlineStr">
        <is>
          <t>陶瓷狗掌繩</t>
        </is>
      </c>
      <c r="E102" t="inlineStr">
        <is>
          <t>225986791815</t>
        </is>
      </c>
      <c r="F102">
        <f>IMAGE("https://cf.shopee.tw/file/tw-11134207-7r98q-lqhlzasgdjb6ca_tn")</f>
        <v/>
      </c>
    </row>
    <row r="103">
      <c r="A103" t="inlineStr">
        <is>
          <t>22589154150</t>
        </is>
      </c>
      <c r="B103" t="inlineStr">
        <is>
          <t>隔日到貨🔥 ins韓風 手機殼吊飾 手機殼掛飾 手機殼掛繩 手機掛件 掛飾 手機吊飾 鍊條 手提掛飾 手機掛繩 掛繩</t>
        </is>
      </c>
      <c r="C103">
        <f>IMAGE("https://cf.shopee.tw/file/tw-11134207-7r98r-lqhm4nq841z698_tn")</f>
        <v/>
      </c>
      <c r="D103" t="inlineStr">
        <is>
          <t>陶瓷魚掌繩</t>
        </is>
      </c>
      <c r="E103" t="inlineStr">
        <is>
          <t>225986791816</t>
        </is>
      </c>
      <c r="F103">
        <f>IMAGE("https://cf.shopee.tw/file/tw-11134207-7r991-lqhlw4bjxds21c_tn")</f>
        <v/>
      </c>
    </row>
    <row r="104">
      <c r="A104" t="inlineStr">
        <is>
          <t>22589154150</t>
        </is>
      </c>
      <c r="B104" t="inlineStr">
        <is>
          <t>隔日到貨🔥 ins韓風 手機殼吊飾 手機殼掛飾 手機殼掛繩 手機掛件 掛飾 手機吊飾 鍊條 手提掛飾 手機掛繩 掛繩</t>
        </is>
      </c>
      <c r="C104">
        <f>IMAGE("https://cf.shopee.tw/file/tw-11134207-7r98r-lqhm4nq841z698_tn")</f>
        <v/>
      </c>
      <c r="D104" t="inlineStr">
        <is>
          <t>粉蝶愛心</t>
        </is>
      </c>
      <c r="E104" t="inlineStr">
        <is>
          <t>225986791817</t>
        </is>
      </c>
      <c r="F104">
        <f>IMAGE("https://cf.shopee.tw/file/tw-11134207-7r98o-lqhm34gswirmb2_tn")</f>
        <v/>
      </c>
    </row>
    <row r="105">
      <c r="A105" t="inlineStr">
        <is>
          <t>22589154150</t>
        </is>
      </c>
      <c r="B105" t="inlineStr">
        <is>
          <t>隔日到貨🔥 ins韓風 手機殼吊飾 手機殼掛飾 手機殼掛繩 手機掛件 掛飾 手機吊飾 鍊條 手提掛飾 手機掛繩 掛繩</t>
        </is>
      </c>
      <c r="C105">
        <f>IMAGE("https://cf.shopee.tw/file/tw-11134207-7r98r-lqhm4nq841z698_tn")</f>
        <v/>
      </c>
      <c r="D105" t="inlineStr">
        <is>
          <t>小狗彩珠繩</t>
        </is>
      </c>
      <c r="E105" t="inlineStr">
        <is>
          <t>225986791818</t>
        </is>
      </c>
      <c r="F105">
        <f>IMAGE("https://cf.shopee.tw/file/tw-11134207-7r98x-lqhm34gsxxc206_tn")</f>
        <v/>
      </c>
    </row>
    <row r="106">
      <c r="A106" t="inlineStr">
        <is>
          <t>22589154150</t>
        </is>
      </c>
      <c r="B106" t="inlineStr">
        <is>
          <t>隔日到貨🔥 ins韓風 手機殼吊飾 手機殼掛飾 手機殼掛繩 手機掛件 掛飾 手機吊飾 鍊條 手提掛飾 手機掛繩 掛繩</t>
        </is>
      </c>
      <c r="C106">
        <f>IMAGE("https://cf.shopee.tw/file/tw-11134207-7r98r-lqhm4nq841z698_tn")</f>
        <v/>
      </c>
      <c r="D106" t="inlineStr">
        <is>
          <t>水晶玫瑰花繩</t>
        </is>
      </c>
      <c r="E106" t="inlineStr">
        <is>
          <t>236311862534</t>
        </is>
      </c>
      <c r="F106">
        <f>IMAGE("https://cf.shopee.tw/file/tw-11134207-7r990-lv1xpn8zv5ex68_tn")</f>
        <v/>
      </c>
    </row>
    <row r="107">
      <c r="A107" t="inlineStr">
        <is>
          <t>22589154150</t>
        </is>
      </c>
      <c r="B107" t="inlineStr">
        <is>
          <t>隔日到貨🔥 ins韓風 手機殼吊飾 手機殼掛飾 手機殼掛繩 手機掛件 掛飾 手機吊飾 鍊條 手提掛飾 手機掛繩 掛繩</t>
        </is>
      </c>
      <c r="C107">
        <f>IMAGE("https://cf.shopee.tw/file/tw-11134207-7r98r-lqhm4nq841z698_tn")</f>
        <v/>
      </c>
      <c r="D107" t="inlineStr">
        <is>
          <t>海洋星珠繩</t>
        </is>
      </c>
      <c r="E107" t="inlineStr">
        <is>
          <t>236311862535</t>
        </is>
      </c>
      <c r="F107">
        <f>IMAGE("https://cf.shopee.tw/file/tw-11134207-7r98x-lv1xpn8zwjzd09_tn")</f>
        <v/>
      </c>
    </row>
    <row r="108">
      <c r="A108" t="inlineStr">
        <is>
          <t>22589154150</t>
        </is>
      </c>
      <c r="B108" t="inlineStr">
        <is>
          <t>隔日到貨🔥 ins韓風 手機殼吊飾 手機殼掛飾 手機殼掛繩 手機掛件 掛飾 手機吊飾 鍊條 手提掛飾 手機掛繩 掛繩</t>
        </is>
      </c>
      <c r="C108">
        <f>IMAGE("https://cf.shopee.tw/file/tw-11134207-7r98r-lqhm4nq841z698_tn")</f>
        <v/>
      </c>
      <c r="D108" t="inlineStr">
        <is>
          <t>五彩圓珠繩</t>
        </is>
      </c>
      <c r="E108" t="inlineStr">
        <is>
          <t>236311862536</t>
        </is>
      </c>
      <c r="F108">
        <f>IMAGE("https://cf.shopee.tw/file/tw-11134207-7r98p-lv1xq5d1cysp8e_tn")</f>
        <v/>
      </c>
    </row>
    <row r="109">
      <c r="A109" t="inlineStr">
        <is>
          <t>22589154150</t>
        </is>
      </c>
      <c r="B109" t="inlineStr">
        <is>
          <t>隔日到貨🔥 ins韓風 手機殼吊飾 手機殼掛飾 手機殼掛繩 手機掛件 掛飾 手機吊飾 鍊條 手提掛飾 手機掛繩 掛繩</t>
        </is>
      </c>
      <c r="C109">
        <f>IMAGE("https://cf.shopee.tw/file/tw-11134207-7r98r-lqhm4nq841z698_tn")</f>
        <v/>
      </c>
      <c r="D109" t="inlineStr">
        <is>
          <t>方塊彩石繩</t>
        </is>
      </c>
      <c r="E109" t="inlineStr">
        <is>
          <t>236311862537</t>
        </is>
      </c>
      <c r="F109">
        <f>IMAGE("https://cf.shopee.tw/file/tw-11134207-7r98s-lv1xq5d1edd598_tn")</f>
        <v/>
      </c>
    </row>
    <row r="110">
      <c r="A110" t="inlineStr">
        <is>
          <t>22589154150</t>
        </is>
      </c>
      <c r="B110" t="inlineStr">
        <is>
          <t>隔日到貨🔥 ins韓風 手機殼吊飾 手機殼掛飾 手機殼掛繩 手機掛件 掛飾 手機吊飾 鍊條 手提掛飾 手機掛繩 掛繩</t>
        </is>
      </c>
      <c r="C110">
        <f>IMAGE("https://cf.shopee.tw/file/tw-11134207-7r98r-lqhm4nq841z698_tn")</f>
        <v/>
      </c>
      <c r="D110" t="inlineStr">
        <is>
          <t>巴洛克珠繩</t>
        </is>
      </c>
      <c r="E110" t="inlineStr">
        <is>
          <t>236311862539</t>
        </is>
      </c>
      <c r="F110">
        <f>IMAGE("https://cf.shopee.tw/file/tw-11134207-7r98x-lv1xqbi6ere199_tn")</f>
        <v/>
      </c>
    </row>
    <row r="111">
      <c r="A111" t="inlineStr">
        <is>
          <t>22589154150</t>
        </is>
      </c>
      <c r="B111" t="inlineStr">
        <is>
          <t>隔日到貨🔥 ins韓風 手機殼吊飾 手機殼掛飾 手機殼掛繩 手機掛件 掛飾 手機吊飾 鍊條 手提掛飾 手機掛繩 掛繩</t>
        </is>
      </c>
      <c r="C111">
        <f>IMAGE("https://cf.shopee.tw/file/tw-11134207-7r98r-lqhm4nq841z698_tn")</f>
        <v/>
      </c>
      <c r="D111" t="inlineStr">
        <is>
          <t>粉熊珍珠水晶繩</t>
        </is>
      </c>
      <c r="E111" t="inlineStr">
        <is>
          <t>236311862540</t>
        </is>
      </c>
      <c r="F111">
        <f>IMAGE("https://cf.shopee.tw/file/tw-11134207-7r98u-lv1xqo9dpd7t31_tn")</f>
        <v/>
      </c>
    </row>
    <row r="112">
      <c r="A112" t="inlineStr">
        <is>
          <t>22589154150</t>
        </is>
      </c>
      <c r="B112" t="inlineStr">
        <is>
          <t>隔日到貨🔥 ins韓風 手機殼吊飾 手機殼掛飾 手機殼掛繩 手機掛件 掛飾 手機吊飾 鍊條 手提掛飾 手機掛繩 掛繩</t>
        </is>
      </c>
      <c r="C112">
        <f>IMAGE("https://cf.shopee.tw/file/tw-11134207-7r98r-lqhm4nq841z698_tn")</f>
        <v/>
      </c>
      <c r="D112" t="inlineStr">
        <is>
          <t>珍珠粉石繩</t>
        </is>
      </c>
      <c r="E112" t="inlineStr">
        <is>
          <t>236311862541</t>
        </is>
      </c>
      <c r="F112">
        <f>IMAGE("https://cf.shopee.tw/file/tw-11134207-7r98z-lv1xqo9dqrs932_tn")</f>
        <v/>
      </c>
    </row>
    <row r="113">
      <c r="A113" t="inlineStr">
        <is>
          <t>21869109391</t>
        </is>
      </c>
      <c r="B113" t="inlineStr">
        <is>
          <t>隔日到貨🔥 刺繡棉襪 女襪 S16 長襪 棉襪 白長襪 中筒襪 襪子 白色襪子 女生襪子 女長襪 襪子女 小熊襪</t>
        </is>
      </c>
      <c r="C113">
        <f>IMAGE("https://cf.shopee.tw/file/sg-11134201-22120-mkv8ib6oo9kv28_tn")</f>
        <v/>
      </c>
      <c r="D113" t="inlineStr">
        <is>
          <t>小熊</t>
        </is>
      </c>
      <c r="E113" t="inlineStr">
        <is>
          <t>137281629148</t>
        </is>
      </c>
      <c r="F113">
        <f>IMAGE("https://cf.shopee.tw/file/sg-11134201-22120-39or7uhvo9kv46_tn")</f>
        <v/>
      </c>
    </row>
    <row r="114">
      <c r="A114" t="inlineStr">
        <is>
          <t>21869109391</t>
        </is>
      </c>
      <c r="B114" t="inlineStr">
        <is>
          <t>隔日到貨🔥 刺繡棉襪 女襪 S16 長襪 棉襪 白長襪 中筒襪 襪子 白色襪子 女生襪子 女長襪 襪子女 小熊襪</t>
        </is>
      </c>
      <c r="C114">
        <f>IMAGE("https://cf.shopee.tw/file/sg-11134201-22120-mkv8ib6oo9kv28_tn")</f>
        <v/>
      </c>
      <c r="D114" t="inlineStr">
        <is>
          <t>泰迪</t>
        </is>
      </c>
      <c r="E114" t="inlineStr">
        <is>
          <t>137281629149</t>
        </is>
      </c>
      <c r="F114">
        <f>IMAGE("https://cf.shopee.tw/file/sg-11134201-22120-oau6dtmxo9kve4_tn")</f>
        <v/>
      </c>
    </row>
    <row r="115">
      <c r="A115" t="inlineStr">
        <is>
          <t>21869109391</t>
        </is>
      </c>
      <c r="B115" t="inlineStr">
        <is>
          <t>隔日到貨🔥 刺繡棉襪 女襪 S16 長襪 棉襪 白長襪 中筒襪 襪子 白色襪子 女生襪子 女長襪 襪子女 小熊襪</t>
        </is>
      </c>
      <c r="C115">
        <f>IMAGE("https://cf.shopee.tw/file/sg-11134201-22120-mkv8ib6oo9kv28_tn")</f>
        <v/>
      </c>
      <c r="D115" t="inlineStr">
        <is>
          <t>小兔</t>
        </is>
      </c>
      <c r="E115" t="inlineStr">
        <is>
          <t>137281629142</t>
        </is>
      </c>
      <c r="F115">
        <f>IMAGE("https://cf.shopee.tw/file/sg-11134201-22120-74vww5sxo9kvc8_tn")</f>
        <v/>
      </c>
    </row>
    <row r="116">
      <c r="A116" t="inlineStr">
        <is>
          <t>21869109391</t>
        </is>
      </c>
      <c r="B116" t="inlineStr">
        <is>
          <t>隔日到貨🔥 刺繡棉襪 女襪 S16 長襪 棉襪 白長襪 中筒襪 襪子 白色襪子 女生襪子 女長襪 襪子女 小熊襪</t>
        </is>
      </c>
      <c r="C116">
        <f>IMAGE("https://cf.shopee.tw/file/sg-11134201-22120-mkv8ib6oo9kv28_tn")</f>
        <v/>
      </c>
      <c r="D116" t="inlineStr">
        <is>
          <t>折耳朵</t>
        </is>
      </c>
      <c r="E116" t="inlineStr"/>
      <c r="F116">
        <f>IMAGE("https://cf.shopee.tw/file/sg-11134201-22120-s2dapj7xo9kv83_tn")</f>
        <v/>
      </c>
    </row>
    <row r="117">
      <c r="A117" t="inlineStr">
        <is>
          <t>21869109391</t>
        </is>
      </c>
      <c r="B117" t="inlineStr">
        <is>
          <t>隔日到貨🔥 刺繡棉襪 女襪 S16 長襪 棉襪 白長襪 中筒襪 襪子 白色襪子 女生襪子 女長襪 襪子女 小熊襪</t>
        </is>
      </c>
      <c r="C117">
        <f>IMAGE("https://cf.shopee.tw/file/sg-11134201-22120-mkv8ib6oo9kv28_tn")</f>
        <v/>
      </c>
      <c r="D117" t="inlineStr">
        <is>
          <t>貓咪</t>
        </is>
      </c>
      <c r="E117" t="inlineStr">
        <is>
          <t>137281629145</t>
        </is>
      </c>
      <c r="F117">
        <f>IMAGE("https://cf.shopee.tw/file/sg-11134201-22120-2jx8kseyo9kvbe_tn")</f>
        <v/>
      </c>
    </row>
    <row r="118">
      <c r="A118" t="inlineStr">
        <is>
          <t>21869109391</t>
        </is>
      </c>
      <c r="B118" t="inlineStr">
        <is>
          <t>隔日到貨🔥 刺繡棉襪 女襪 S16 長襪 棉襪 白長襪 中筒襪 襪子 白色襪子 女生襪子 女長襪 襪子女 小熊襪</t>
        </is>
      </c>
      <c r="C118">
        <f>IMAGE("https://cf.shopee.tw/file/sg-11134201-22120-mkv8ib6oo9kv28_tn")</f>
        <v/>
      </c>
      <c r="D118" t="inlineStr">
        <is>
          <t>長耳朵</t>
        </is>
      </c>
      <c r="E118" t="inlineStr">
        <is>
          <t>137281629146</t>
        </is>
      </c>
      <c r="F118">
        <f>IMAGE("https://cf.shopee.tw/file/sg-11134201-22120-roy5lfbyo9kvf6_tn")</f>
        <v/>
      </c>
    </row>
    <row r="119">
      <c r="A119" t="inlineStr">
        <is>
          <t>21869109391</t>
        </is>
      </c>
      <c r="B119" t="inlineStr">
        <is>
          <t>隔日到貨🔥 刺繡棉襪 女襪 S16 長襪 棉襪 白長襪 中筒襪 襪子 白色襪子 女生襪子 女長襪 襪子女 小熊襪</t>
        </is>
      </c>
      <c r="C119">
        <f>IMAGE("https://cf.shopee.tw/file/sg-11134201-22120-mkv8ib6oo9kv28_tn")</f>
        <v/>
      </c>
      <c r="D119" t="inlineStr">
        <is>
          <t>胖熊</t>
        </is>
      </c>
      <c r="E119" t="inlineStr">
        <is>
          <t>137281629147</t>
        </is>
      </c>
      <c r="F119">
        <f>IMAGE("https://cf.shopee.tw/file/sg-11134201-22120-dozge2hyo9kv49_tn")</f>
        <v/>
      </c>
    </row>
    <row r="120">
      <c r="A120" t="inlineStr">
        <is>
          <t>21869109391</t>
        </is>
      </c>
      <c r="B120" t="inlineStr">
        <is>
          <t>隔日到貨🔥 刺繡棉襪 女襪 S16 長襪 棉襪 白長襪 中筒襪 襪子 白色襪子 女生襪子 女長襪 襪子女 小熊襪</t>
        </is>
      </c>
      <c r="C120">
        <f>IMAGE("https://cf.shopee.tw/file/sg-11134201-22120-mkv8ib6oo9kv28_tn")</f>
        <v/>
      </c>
      <c r="D120" t="inlineStr">
        <is>
          <t>鬱金香</t>
        </is>
      </c>
      <c r="E120" t="inlineStr">
        <is>
          <t>405613043534</t>
        </is>
      </c>
      <c r="F120">
        <f>IMAGE("https://cf.shopee.tw/file/tw-11134207-820l4-mlhhg5n2gfep07_tn")</f>
        <v/>
      </c>
    </row>
    <row r="121">
      <c r="A121" t="inlineStr">
        <is>
          <t>28009801771</t>
        </is>
      </c>
      <c r="B121" t="inlineStr">
        <is>
          <t>隔日到貨🔥 雪山刺繡長襪 襪子 S8 長襪 中筒襪 白長襪 女襪 女生襪子 男生襪子 棉襪 可愛襪 白色襪子 襪子女</t>
        </is>
      </c>
      <c r="C121">
        <f>IMAGE("https://cf.shopee.tw/file/tw-11134207-7r98p-lzm3458i0cgucd_tn")</f>
        <v/>
      </c>
      <c r="D121" t="inlineStr">
        <is>
          <t>黑色</t>
        </is>
      </c>
      <c r="E121" t="inlineStr">
        <is>
          <t>217771361852</t>
        </is>
      </c>
      <c r="F121">
        <f>IMAGE("https://cf.shopee.tw/file/tw-11134207-7r98p-lzm3458gpzq650_tn")</f>
        <v/>
      </c>
    </row>
    <row r="122">
      <c r="A122" t="inlineStr">
        <is>
          <t>28009801771</t>
        </is>
      </c>
      <c r="B122" t="inlineStr">
        <is>
          <t>隔日到貨🔥 雪山刺繡長襪 襪子 S8 長襪 中筒襪 白長襪 女襪 女生襪子 男生襪子 棉襪 可愛襪 白色襪子 襪子女</t>
        </is>
      </c>
      <c r="C122">
        <f>IMAGE("https://cf.shopee.tw/file/tw-11134207-7r98p-lzm3458i0cgucd_tn")</f>
        <v/>
      </c>
      <c r="D122" t="inlineStr">
        <is>
          <t>白色</t>
        </is>
      </c>
      <c r="E122" t="inlineStr">
        <is>
          <t>217771361853</t>
        </is>
      </c>
      <c r="F122">
        <f>IMAGE("https://cf.shopee.tw/file/tw-11134207-7r98s-lzm3458gre9g7f_tn")</f>
        <v/>
      </c>
    </row>
    <row r="123">
      <c r="A123" t="inlineStr">
        <is>
          <t>28009801771</t>
        </is>
      </c>
      <c r="B123" t="inlineStr">
        <is>
          <t>隔日到貨🔥 雪山刺繡長襪 襪子 S8 長襪 中筒襪 白長襪 女襪 女生襪子 男生襪子 棉襪 可愛襪 白色襪子 襪子女</t>
        </is>
      </c>
      <c r="C123">
        <f>IMAGE("https://cf.shopee.tw/file/tw-11134207-7r98p-lzm3458i0cgucd_tn")</f>
        <v/>
      </c>
      <c r="D123" t="inlineStr">
        <is>
          <t>奶白</t>
        </is>
      </c>
      <c r="E123" t="inlineStr">
        <is>
          <t>217771361854</t>
        </is>
      </c>
      <c r="F123">
        <f>IMAGE("https://cf.shopee.tw/file/tw-11134207-7r98y-lzm3458gsstwe2_tn")</f>
        <v/>
      </c>
    </row>
    <row r="124">
      <c r="A124" t="inlineStr">
        <is>
          <t>28009801771</t>
        </is>
      </c>
      <c r="B124" t="inlineStr">
        <is>
          <t>隔日到貨🔥 雪山刺繡長襪 襪子 S8 長襪 中筒襪 白長襪 女襪 女生襪子 男生襪子 棉襪 可愛襪 白色襪子 襪子女</t>
        </is>
      </c>
      <c r="C124">
        <f>IMAGE("https://cf.shopee.tw/file/tw-11134207-7r98p-lzm3458i0cgucd_tn")</f>
        <v/>
      </c>
      <c r="D124" t="inlineStr">
        <is>
          <t>軍綠</t>
        </is>
      </c>
      <c r="E124" t="inlineStr">
        <is>
          <t>217771361855</t>
        </is>
      </c>
      <c r="F124">
        <f>IMAGE("https://cf.shopee.tw/file/tw-11134207-7r98x-lzm3458hkw6s4f_tn")</f>
        <v/>
      </c>
    </row>
    <row r="125">
      <c r="A125" t="inlineStr">
        <is>
          <t>28009801771</t>
        </is>
      </c>
      <c r="B125" t="inlineStr">
        <is>
          <t>隔日到貨🔥 雪山刺繡長襪 襪子 S8 長襪 中筒襪 白長襪 女襪 女生襪子 男生襪子 棉襪 可愛襪 白色襪子 襪子女</t>
        </is>
      </c>
      <c r="C125">
        <f>IMAGE("https://cf.shopee.tw/file/tw-11134207-7r98p-lzm3458i0cgucd_tn")</f>
        <v/>
      </c>
      <c r="D125" t="inlineStr">
        <is>
          <t>咖啡</t>
        </is>
      </c>
      <c r="E125" t="inlineStr">
        <is>
          <t>217771361856</t>
        </is>
      </c>
      <c r="F125">
        <f>IMAGE("https://cf.shopee.tw/file/tw-11134207-7r98u-lzm3458h5fz227_tn")</f>
        <v/>
      </c>
    </row>
    <row r="126">
      <c r="A126" t="inlineStr">
        <is>
          <t>28009801771</t>
        </is>
      </c>
      <c r="B126" t="inlineStr">
        <is>
          <t>隔日到貨🔥 雪山刺繡長襪 襪子 S8 長襪 中筒襪 白長襪 女襪 女生襪子 男生襪子 棉襪 可愛襪 白色襪子 襪子女</t>
        </is>
      </c>
      <c r="C126">
        <f>IMAGE("https://cf.shopee.tw/file/tw-11134207-7r98p-lzm3458i0cgucd_tn")</f>
        <v/>
      </c>
      <c r="D126" t="inlineStr">
        <is>
          <t>卡其</t>
        </is>
      </c>
      <c r="E126" t="inlineStr">
        <is>
          <t>217771361857</t>
        </is>
      </c>
      <c r="F126">
        <f>IMAGE("https://cf.shopee.tw/file/tw-11134207-7r98w-lzm3458i0cfofa_tn")</f>
        <v/>
      </c>
    </row>
    <row r="127">
      <c r="A127" t="inlineStr">
        <is>
          <t>19651077286</t>
        </is>
      </c>
      <c r="B127" t="inlineStr">
        <is>
          <t>隔日到貨🔥 iPhone 17 16 15 充電線 Type-C 充電傳輸線 快充線 android 蘋果ipad 安卓</t>
        </is>
      </c>
      <c r="C127">
        <f>IMAGE("https://cf.shopee.tw/file/tw-11134207-7rasf-m0r4ea96bpwnca_tn")</f>
        <v/>
      </c>
      <c r="D127" t="inlineStr">
        <is>
          <t>Type-A(USB) to C,20公分</t>
        </is>
      </c>
      <c r="E127" t="inlineStr">
        <is>
          <t>107515001455</t>
        </is>
      </c>
      <c r="F127">
        <f>IMAGE("https://cf.shopee.tw/file/tw-11134207-81zto-memnxq980gld63_tn")</f>
        <v/>
      </c>
    </row>
    <row r="128">
      <c r="A128" t="inlineStr">
        <is>
          <t>19651077286</t>
        </is>
      </c>
      <c r="B128" t="inlineStr">
        <is>
          <t>隔日到貨🔥 iPhone 17 16 15 充電線 Type-C 充電傳輸線 快充線 android 蘋果ipad 安卓</t>
        </is>
      </c>
      <c r="C128">
        <f>IMAGE("https://cf.shopee.tw/file/tw-11134207-7rasf-m0r4ea96bpwnca_tn")</f>
        <v/>
      </c>
      <c r="D128" t="inlineStr">
        <is>
          <t>Type-A(USB) to C,50公分</t>
        </is>
      </c>
      <c r="E128" t="inlineStr">
        <is>
          <t>107515001456</t>
        </is>
      </c>
      <c r="F128">
        <f>IMAGE("https://cf.shopee.tw/file/tw-11134207-81zto-memnxq980gld63_tn")</f>
        <v/>
      </c>
    </row>
    <row r="129">
      <c r="A129" t="inlineStr">
        <is>
          <t>19651077286</t>
        </is>
      </c>
      <c r="B129" t="inlineStr">
        <is>
          <t>隔日到貨🔥 iPhone 17 16 15 充電線 Type-C 充電傳輸線 快充線 android 蘋果ipad 安卓</t>
        </is>
      </c>
      <c r="C129">
        <f>IMAGE("https://cf.shopee.tw/file/tw-11134207-7rasf-m0r4ea96bpwnca_tn")</f>
        <v/>
      </c>
      <c r="D129" t="inlineStr">
        <is>
          <t>Type-A(USB) to C,100公分</t>
        </is>
      </c>
      <c r="E129" t="inlineStr">
        <is>
          <t>107515001457</t>
        </is>
      </c>
      <c r="F129">
        <f>IMAGE("https://cf.shopee.tw/file/tw-11134207-81zto-memnxq980gld63_tn")</f>
        <v/>
      </c>
    </row>
    <row r="130">
      <c r="A130" t="inlineStr">
        <is>
          <t>19651077286</t>
        </is>
      </c>
      <c r="B130" t="inlineStr">
        <is>
          <t>隔日到貨🔥 iPhone 17 16 15 充電線 Type-C 充電傳輸線 快充線 android 蘋果ipad 安卓</t>
        </is>
      </c>
      <c r="C130">
        <f>IMAGE("https://cf.shopee.tw/file/tw-11134207-7rasf-m0r4ea96bpwnca_tn")</f>
        <v/>
      </c>
      <c r="D130" t="inlineStr">
        <is>
          <t>Type-A(USB) to C,200公分</t>
        </is>
      </c>
      <c r="E130" t="inlineStr">
        <is>
          <t>107515001458</t>
        </is>
      </c>
      <c r="F130">
        <f>IMAGE("https://cf.shopee.tw/file/tw-11134207-81zto-memnxq980gld63_tn")</f>
        <v/>
      </c>
    </row>
    <row r="131">
      <c r="A131" t="inlineStr">
        <is>
          <t>19651077286</t>
        </is>
      </c>
      <c r="B131" t="inlineStr">
        <is>
          <t>隔日到貨🔥 iPhone 17 16 15 充電線 Type-C 充電傳輸線 快充線 android 蘋果ipad 安卓</t>
        </is>
      </c>
      <c r="C131">
        <f>IMAGE("https://cf.shopee.tw/file/tw-11134207-7rasf-m0r4ea96bpwnca_tn")</f>
        <v/>
      </c>
      <c r="D131" t="inlineStr">
        <is>
          <t>Type-C to C,20公分</t>
        </is>
      </c>
      <c r="E131" t="inlineStr">
        <is>
          <t>107515001459</t>
        </is>
      </c>
      <c r="F131">
        <f>IMAGE("https://cf.shopee.tw/file/tw-11134207-81zth-memnxtdrq7lvf4_tn")</f>
        <v/>
      </c>
    </row>
    <row r="132">
      <c r="A132" t="inlineStr">
        <is>
          <t>19651077286</t>
        </is>
      </c>
      <c r="B132" t="inlineStr">
        <is>
          <t>隔日到貨🔥 iPhone 17 16 15 充電線 Type-C 充電傳輸線 快充線 android 蘋果ipad 安卓</t>
        </is>
      </c>
      <c r="C132">
        <f>IMAGE("https://cf.shopee.tw/file/tw-11134207-7rasf-m0r4ea96bpwnca_tn")</f>
        <v/>
      </c>
      <c r="D132" t="inlineStr">
        <is>
          <t>Type-C to C,50公分</t>
        </is>
      </c>
      <c r="E132" t="inlineStr">
        <is>
          <t>107515001452</t>
        </is>
      </c>
      <c r="F132">
        <f>IMAGE("https://cf.shopee.tw/file/tw-11134207-81zth-memnxtdrq7lvf4_tn")</f>
        <v/>
      </c>
    </row>
    <row r="133">
      <c r="A133" t="inlineStr">
        <is>
          <t>19651077286</t>
        </is>
      </c>
      <c r="B133" t="inlineStr">
        <is>
          <t>隔日到貨🔥 iPhone 17 16 15 充電線 Type-C 充電傳輸線 快充線 android 蘋果ipad 安卓</t>
        </is>
      </c>
      <c r="C133">
        <f>IMAGE("https://cf.shopee.tw/file/tw-11134207-7rasf-m0r4ea96bpwnca_tn")</f>
        <v/>
      </c>
      <c r="D133" t="inlineStr">
        <is>
          <t>Type-C to C,100公分</t>
        </is>
      </c>
      <c r="E133" t="inlineStr">
        <is>
          <t>107515001453</t>
        </is>
      </c>
      <c r="F133">
        <f>IMAGE("https://cf.shopee.tw/file/tw-11134207-81zth-memnxtdrq7lvf4_tn")</f>
        <v/>
      </c>
    </row>
    <row r="134">
      <c r="A134" t="inlineStr">
        <is>
          <t>19651077286</t>
        </is>
      </c>
      <c r="B134" t="inlineStr">
        <is>
          <t>隔日到貨🔥 iPhone 17 16 15 充電線 Type-C 充電傳輸線 快充線 android 蘋果ipad 安卓</t>
        </is>
      </c>
      <c r="C134">
        <f>IMAGE("https://cf.shopee.tw/file/tw-11134207-7rasf-m0r4ea96bpwnca_tn")</f>
        <v/>
      </c>
      <c r="D134" t="inlineStr">
        <is>
          <t>Type-C to C,200公分</t>
        </is>
      </c>
      <c r="E134" t="inlineStr">
        <is>
          <t>107515001454</t>
        </is>
      </c>
      <c r="F134">
        <f>IMAGE("https://cf.shopee.tw/file/tw-11134207-81zth-memnxtdrq7lvf4_tn")</f>
        <v/>
      </c>
    </row>
    <row r="135">
      <c r="A135" t="inlineStr">
        <is>
          <t>20465189991</t>
        </is>
      </c>
      <c r="B135" t="inlineStr">
        <is>
          <t>隔日到貨🔥 韓版 ins 刺繡卡通襪 S15 女短襪 可愛動物襪 襪子 薄款棉 中筒襪 韓風 女襪 運動襪</t>
        </is>
      </c>
      <c r="C135">
        <f>IMAGE("https://cf.shopee.tw/file/sg-11134201-22110-v8jxar85xckv96_tn")</f>
        <v/>
      </c>
      <c r="D135" t="inlineStr">
        <is>
          <t>橘黃</t>
        </is>
      </c>
      <c r="E135" t="inlineStr"/>
      <c r="F135">
        <f>IMAGE("https://cf.shopee.tw/file/sg-11134201-22110-mstrjasd2ckv8a_tn")</f>
        <v/>
      </c>
    </row>
    <row r="136">
      <c r="A136" t="inlineStr">
        <is>
          <t>20465189991</t>
        </is>
      </c>
      <c r="B136" t="inlineStr">
        <is>
          <t>隔日到貨🔥 韓版 ins 刺繡卡通襪 S15 女短襪 可愛動物襪 襪子 薄款棉 中筒襪 韓風 女襪 運動襪</t>
        </is>
      </c>
      <c r="C136">
        <f>IMAGE("https://cf.shopee.tw/file/sg-11134201-22110-v8jxar85xckv96_tn")</f>
        <v/>
      </c>
      <c r="D136" t="inlineStr">
        <is>
          <t>黑色</t>
        </is>
      </c>
      <c r="E136" t="inlineStr">
        <is>
          <t>156338784744</t>
        </is>
      </c>
      <c r="F136">
        <f>IMAGE("https://cf.shopee.tw/file/sg-11134201-22110-78qf44z6xckv61_tn")</f>
        <v/>
      </c>
    </row>
    <row r="137">
      <c r="A137" t="inlineStr">
        <is>
          <t>20465189991</t>
        </is>
      </c>
      <c r="B137" t="inlineStr">
        <is>
          <t>隔日到貨🔥 韓版 ins 刺繡卡通襪 S15 女短襪 可愛動物襪 襪子 薄款棉 中筒襪 韓風 女襪 運動襪</t>
        </is>
      </c>
      <c r="C137">
        <f>IMAGE("https://cf.shopee.tw/file/sg-11134201-22110-v8jxar85xckv96_tn")</f>
        <v/>
      </c>
      <c r="D137" t="inlineStr">
        <is>
          <t>白色</t>
        </is>
      </c>
      <c r="E137" t="inlineStr">
        <is>
          <t>156338784745</t>
        </is>
      </c>
      <c r="F137">
        <f>IMAGE("https://cf.shopee.tw/file/sg-11134201-22110-ictc8god2ckve9_tn")</f>
        <v/>
      </c>
    </row>
    <row r="138">
      <c r="A138" t="inlineStr">
        <is>
          <t>20465189991</t>
        </is>
      </c>
      <c r="B138" t="inlineStr">
        <is>
          <t>隔日到貨🔥 韓版 ins 刺繡卡通襪 S15 女短襪 可愛動物襪 襪子 薄款棉 中筒襪 韓風 女襪 運動襪</t>
        </is>
      </c>
      <c r="C138">
        <f>IMAGE("https://cf.shopee.tw/file/sg-11134201-22110-v8jxar85xckv96_tn")</f>
        <v/>
      </c>
      <c r="D138" t="inlineStr">
        <is>
          <t>淺咖啡</t>
        </is>
      </c>
      <c r="E138" t="inlineStr">
        <is>
          <t>156338784747</t>
        </is>
      </c>
      <c r="F138">
        <f>IMAGE("https://cf.shopee.tw/file/sg-11134201-22110-4dm6p5vd2ckve4_tn")</f>
        <v/>
      </c>
    </row>
    <row r="139">
      <c r="A139" t="inlineStr">
        <is>
          <t>20465189991</t>
        </is>
      </c>
      <c r="B139" t="inlineStr">
        <is>
          <t>隔日到貨🔥 韓版 ins 刺繡卡通襪 S15 女短襪 可愛動物襪 襪子 薄款棉 中筒襪 韓風 女襪 運動襪</t>
        </is>
      </c>
      <c r="C139">
        <f>IMAGE("https://cf.shopee.tw/file/sg-11134201-22110-v8jxar85xckv96_tn")</f>
        <v/>
      </c>
      <c r="D139" t="inlineStr">
        <is>
          <t>淺綠</t>
        </is>
      </c>
      <c r="E139" t="inlineStr">
        <is>
          <t>156338784748</t>
        </is>
      </c>
      <c r="F139">
        <f>IMAGE("https://cf.shopee.tw/file/sg-11134201-22110-an0qx5yd2ckvea_tn")</f>
        <v/>
      </c>
    </row>
    <row r="140">
      <c r="A140" t="inlineStr">
        <is>
          <t>20465189991</t>
        </is>
      </c>
      <c r="B140" t="inlineStr">
        <is>
          <t>隔日到貨🔥 韓版 ins 刺繡卡通襪 S15 女短襪 可愛動物襪 襪子 薄款棉 中筒襪 韓風 女襪 運動襪</t>
        </is>
      </c>
      <c r="C140">
        <f>IMAGE("https://cf.shopee.tw/file/sg-11134201-22110-v8jxar85xckv96_tn")</f>
        <v/>
      </c>
      <c r="D140" t="inlineStr">
        <is>
          <t>皮粉</t>
        </is>
      </c>
      <c r="E140" t="inlineStr">
        <is>
          <t>156338784749</t>
        </is>
      </c>
      <c r="F140">
        <f>IMAGE("https://cf.shopee.tw/file/sg-11134201-22110-rgs79a3d2ckvb5_tn")</f>
        <v/>
      </c>
    </row>
    <row r="141">
      <c r="A141" t="inlineStr">
        <is>
          <t>20465189991</t>
        </is>
      </c>
      <c r="B141" t="inlineStr">
        <is>
          <t>隔日到貨🔥 韓版 ins 刺繡卡通襪 S15 女短襪 可愛動物襪 襪子 薄款棉 中筒襪 韓風 女襪 運動襪</t>
        </is>
      </c>
      <c r="C141">
        <f>IMAGE("https://cf.shopee.tw/file/sg-11134201-22110-v8jxar85xckv96_tn")</f>
        <v/>
      </c>
      <c r="D141" t="inlineStr">
        <is>
          <t>淺灰</t>
        </is>
      </c>
      <c r="E141" t="inlineStr">
        <is>
          <t>156338784740</t>
        </is>
      </c>
      <c r="F141">
        <f>IMAGE("https://cf.shopee.tw/file/sg-11134201-22110-nlxed86d2ckv2d_tn")</f>
        <v/>
      </c>
    </row>
    <row r="142">
      <c r="A142" t="inlineStr">
        <is>
          <t>20465189991</t>
        </is>
      </c>
      <c r="B142" t="inlineStr">
        <is>
          <t>隔日到貨🔥 韓版 ins 刺繡卡通襪 S15 女短襪 可愛動物襪 襪子 薄款棉 中筒襪 韓風 女襪 運動襪</t>
        </is>
      </c>
      <c r="C142">
        <f>IMAGE("https://cf.shopee.tw/file/sg-11134201-22110-v8jxar85xckv96_tn")</f>
        <v/>
      </c>
      <c r="D142" t="inlineStr">
        <is>
          <t>卡其</t>
        </is>
      </c>
      <c r="E142" t="inlineStr">
        <is>
          <t>156338784741</t>
        </is>
      </c>
      <c r="F142">
        <f>IMAGE("https://cf.shopee.tw/file/sg-11134201-22110-b19fhuje2ckv0c_tn")</f>
        <v/>
      </c>
    </row>
    <row r="143">
      <c r="A143" t="inlineStr">
        <is>
          <t>20465189991</t>
        </is>
      </c>
      <c r="B143" t="inlineStr">
        <is>
          <t>隔日到貨🔥 韓版 ins 刺繡卡通襪 S15 女短襪 可愛動物襪 襪子 薄款棉 中筒襪 韓風 女襪 運動襪</t>
        </is>
      </c>
      <c r="C143">
        <f>IMAGE("https://cf.shopee.tw/file/sg-11134201-22110-v8jxar85xckv96_tn")</f>
        <v/>
      </c>
      <c r="D143" t="inlineStr">
        <is>
          <t>藍色</t>
        </is>
      </c>
      <c r="E143" t="inlineStr">
        <is>
          <t>156338784742</t>
        </is>
      </c>
      <c r="F143">
        <f>IMAGE("https://cf.shopee.tw/file/sg-11134201-22110-7r7srure2ckv1d_tn")</f>
        <v/>
      </c>
    </row>
    <row r="144">
      <c r="A144" t="inlineStr">
        <is>
          <t>20465189991</t>
        </is>
      </c>
      <c r="B144" t="inlineStr">
        <is>
          <t>隔日到貨🔥 韓版 ins 刺繡卡通襪 S15 女短襪 可愛動物襪 襪子 薄款棉 中筒襪 韓風 女襪 運動襪</t>
        </is>
      </c>
      <c r="C144">
        <f>IMAGE("https://cf.shopee.tw/file/sg-11134201-22110-v8jxar85xckv96_tn")</f>
        <v/>
      </c>
      <c r="D144" t="inlineStr">
        <is>
          <t>薑黃</t>
        </is>
      </c>
      <c r="E144" t="inlineStr">
        <is>
          <t>156338784743</t>
        </is>
      </c>
      <c r="F144">
        <f>IMAGE("https://cf.shopee.tw/file/sg-11134201-22110-crcgmgve2ckvee_tn")</f>
        <v/>
      </c>
    </row>
    <row r="145">
      <c r="A145" t="inlineStr">
        <is>
          <t>28903427275</t>
        </is>
      </c>
      <c r="B145" t="inlineStr">
        <is>
          <t>隔日到貨🔥 韓國立體網眼包 網格包 B11 立體眼睛網袋收納包 收納包 化妝包 拉鍊包 拉鍊袋 包包 小包 配件</t>
        </is>
      </c>
      <c r="C145">
        <f>IMAGE("https://cf.shopee.tw/file/tw-11134207-7r98o-lwtla51d7k866a_tn")</f>
        <v/>
      </c>
      <c r="D145" t="inlineStr">
        <is>
          <t>粉色小號</t>
        </is>
      </c>
      <c r="E145" t="inlineStr">
        <is>
          <t>226468441028</t>
        </is>
      </c>
      <c r="F145">
        <f>IMAGE("https://cf.shopee.tw/file/tw-11134207-7r98t-lwsjf1f2iq0gd0_tn")</f>
        <v/>
      </c>
    </row>
    <row r="146">
      <c r="A146" t="inlineStr">
        <is>
          <t>28903427275</t>
        </is>
      </c>
      <c r="B146" t="inlineStr">
        <is>
          <t>隔日到貨🔥 韓國立體網眼包 網格包 B11 立體眼睛網袋收納包 收納包 化妝包 拉鍊包 拉鍊袋 包包 小包 配件</t>
        </is>
      </c>
      <c r="C146">
        <f>IMAGE("https://cf.shopee.tw/file/tw-11134207-7r98o-lwtla51d7k866a_tn")</f>
        <v/>
      </c>
      <c r="D146" t="inlineStr">
        <is>
          <t>粉色大號</t>
        </is>
      </c>
      <c r="E146" t="inlineStr">
        <is>
          <t>226468441029</t>
        </is>
      </c>
      <c r="F146">
        <f>IMAGE("https://cf.shopee.tw/file/tw-11134207-7r98t-lwsjf1f2y69cda_tn")</f>
        <v/>
      </c>
    </row>
    <row r="147">
      <c r="A147" t="inlineStr">
        <is>
          <t>28903427275</t>
        </is>
      </c>
      <c r="B147" t="inlineStr">
        <is>
          <t>隔日到貨🔥 韓國立體網眼包 網格包 B11 立體眼睛網袋收納包 收納包 化妝包 拉鍊包 拉鍊袋 包包 小包 配件</t>
        </is>
      </c>
      <c r="C147">
        <f>IMAGE("https://cf.shopee.tw/file/tw-11134207-7r98o-lwtla51d7k866a_tn")</f>
        <v/>
      </c>
      <c r="D147" t="inlineStr">
        <is>
          <t>紫色小號</t>
        </is>
      </c>
      <c r="E147" t="inlineStr">
        <is>
          <t>226468441030</t>
        </is>
      </c>
      <c r="F147">
        <f>IMAGE("https://cf.shopee.tw/file/tw-11134207-7r98y-lwsjf1f3dmi895_tn")</f>
        <v/>
      </c>
    </row>
    <row r="148">
      <c r="A148" t="inlineStr">
        <is>
          <t>28903427275</t>
        </is>
      </c>
      <c r="B148" t="inlineStr">
        <is>
          <t>隔日到貨🔥 韓國立體網眼包 網格包 B11 立體眼睛網袋收納包 收納包 化妝包 拉鍊包 拉鍊袋 包包 小包 配件</t>
        </is>
      </c>
      <c r="C148">
        <f>IMAGE("https://cf.shopee.tw/file/tw-11134207-7r98o-lwtla51d7k866a_tn")</f>
        <v/>
      </c>
      <c r="D148" t="inlineStr">
        <is>
          <t>紫色大號</t>
        </is>
      </c>
      <c r="E148" t="inlineStr">
        <is>
          <t>226468441031</t>
        </is>
      </c>
      <c r="F148">
        <f>IMAGE("https://cf.shopee.tw/file/tw-11134207-7r98v-lwsjf1f1mf52b4_tn")</f>
        <v/>
      </c>
    </row>
    <row r="149">
      <c r="A149" t="inlineStr">
        <is>
          <t>28903427275</t>
        </is>
      </c>
      <c r="B149" t="inlineStr">
        <is>
          <t>隔日到貨🔥 韓國立體網眼包 網格包 B11 立體眼睛網袋收納包 收納包 化妝包 拉鍊包 拉鍊袋 包包 小包 配件</t>
        </is>
      </c>
      <c r="C149">
        <f>IMAGE("https://cf.shopee.tw/file/tw-11134207-7r98o-lwtla51d7k866a_tn")</f>
        <v/>
      </c>
      <c r="D149" t="inlineStr">
        <is>
          <t>綠色小號</t>
        </is>
      </c>
      <c r="E149" t="inlineStr">
        <is>
          <t>226468441032</t>
        </is>
      </c>
      <c r="F149">
        <f>IMAGE("https://cf.shopee.tw/file/tw-11134207-7r98t-lwsjf1f239rk3d_tn")</f>
        <v/>
      </c>
    </row>
    <row r="150">
      <c r="A150" t="inlineStr">
        <is>
          <t>28903427275</t>
        </is>
      </c>
      <c r="B150" t="inlineStr">
        <is>
          <t>隔日到貨🔥 韓國立體網眼包 網格包 B11 立體眼睛網袋收納包 收納包 化妝包 拉鍊包 拉鍊袋 包包 小包 配件</t>
        </is>
      </c>
      <c r="C150">
        <f>IMAGE("https://cf.shopee.tw/file/tw-11134207-7r98o-lwtla51d7k866a_tn")</f>
        <v/>
      </c>
      <c r="D150" t="inlineStr">
        <is>
          <t>綠色大號</t>
        </is>
      </c>
      <c r="E150" t="inlineStr">
        <is>
          <t>226468441033</t>
        </is>
      </c>
      <c r="F150">
        <f>IMAGE("https://cf.shopee.tw/file/tw-11134207-7r98z-lwsjf1f1ntiof7_tn")</f>
        <v/>
      </c>
    </row>
    <row r="151">
      <c r="A151" t="inlineStr">
        <is>
          <t>28903427275</t>
        </is>
      </c>
      <c r="B151" t="inlineStr">
        <is>
          <t>隔日到貨🔥 韓國立體網眼包 網格包 B11 立體眼睛網袋收納包 收納包 化妝包 拉鍊包 拉鍊袋 包包 小包 配件</t>
        </is>
      </c>
      <c r="C151">
        <f>IMAGE("https://cf.shopee.tw/file/tw-11134207-7r98o-lwtla51d7k866a_tn")</f>
        <v/>
      </c>
      <c r="D151" t="inlineStr">
        <is>
          <t>橙色小號</t>
        </is>
      </c>
      <c r="E151" t="inlineStr">
        <is>
          <t>226468441036</t>
        </is>
      </c>
      <c r="F151">
        <f>IMAGE("https://cf.shopee.tw/file/tw-11134207-7r98v-lwsjjcs685d2b2_tn")</f>
        <v/>
      </c>
    </row>
    <row r="152">
      <c r="A152" t="inlineStr">
        <is>
          <t>28903427275</t>
        </is>
      </c>
      <c r="B152" t="inlineStr">
        <is>
          <t>隔日到貨🔥 韓國立體網眼包 網格包 B11 立體眼睛網袋收納包 收納包 化妝包 拉鍊包 拉鍊袋 包包 小包 配件</t>
        </is>
      </c>
      <c r="C152">
        <f>IMAGE("https://cf.shopee.tw/file/tw-11134207-7r98o-lwtla51d7k866a_tn")</f>
        <v/>
      </c>
      <c r="D152" t="inlineStr">
        <is>
          <t>橙色大號</t>
        </is>
      </c>
      <c r="E152" t="inlineStr">
        <is>
          <t>226468441037</t>
        </is>
      </c>
      <c r="F152">
        <f>IMAGE("https://cf.shopee.tw/file/tw-11134207-7r98x-lwsjjcs69jxi5e_tn")</f>
        <v/>
      </c>
    </row>
    <row r="153">
      <c r="A153" t="inlineStr">
        <is>
          <t>28903427275</t>
        </is>
      </c>
      <c r="B153" t="inlineStr">
        <is>
          <t>隔日到貨🔥 韓國立體網眼包 網格包 B11 立體眼睛網袋收納包 收納包 化妝包 拉鍊包 拉鍊袋 包包 小包 配件</t>
        </is>
      </c>
      <c r="C153">
        <f>IMAGE("https://cf.shopee.tw/file/tw-11134207-7r98o-lwtla51d7k866a_tn")</f>
        <v/>
      </c>
      <c r="D153" t="inlineStr">
        <is>
          <t>黑色小號</t>
        </is>
      </c>
      <c r="E153" t="inlineStr">
        <is>
          <t>159043117483</t>
        </is>
      </c>
      <c r="F153">
        <f>IMAGE("https://cf.shopee.tw/file/tw-11134207-7rbkb-m6tg4b70qg6acb_tn")</f>
        <v/>
      </c>
    </row>
    <row r="154">
      <c r="A154" t="inlineStr">
        <is>
          <t>28903427275</t>
        </is>
      </c>
      <c r="B154" t="inlineStr">
        <is>
          <t>隔日到貨🔥 韓國立體網眼包 網格包 B11 立體眼睛網袋收納包 收納包 化妝包 拉鍊包 拉鍊袋 包包 小包 配件</t>
        </is>
      </c>
      <c r="C154">
        <f>IMAGE("https://cf.shopee.tw/file/tw-11134207-7r98o-lwtla51d7k866a_tn")</f>
        <v/>
      </c>
      <c r="D154" t="inlineStr">
        <is>
          <t>黑色大號</t>
        </is>
      </c>
      <c r="E154" t="inlineStr">
        <is>
          <t>159043117484</t>
        </is>
      </c>
      <c r="F154">
        <f>IMAGE("https://cf.shopee.tw/file/tw-11134207-7rbka-m6tg9c340ugvfc_tn")</f>
        <v/>
      </c>
    </row>
    <row r="155">
      <c r="A155" t="inlineStr">
        <is>
          <t>28903427275</t>
        </is>
      </c>
      <c r="B155" t="inlineStr">
        <is>
          <t>隔日到貨🔥 韓國立體網眼包 網格包 B11 立體眼睛網袋收納包 收納包 化妝包 拉鍊包 拉鍊袋 包包 小包 配件</t>
        </is>
      </c>
      <c r="C155">
        <f>IMAGE("https://cf.shopee.tw/file/tw-11134207-7r98o-lwtla51d7k866a_tn")</f>
        <v/>
      </c>
      <c r="D155" t="inlineStr">
        <is>
          <t>淺灰色小號</t>
        </is>
      </c>
      <c r="E155" t="inlineStr">
        <is>
          <t>243498575234</t>
        </is>
      </c>
      <c r="F155">
        <f>IMAGE("https://cf.shopee.tw/file/tw-11134207-7rbkc-mauwsaqaivrs7d_tn")</f>
        <v/>
      </c>
    </row>
    <row r="156">
      <c r="A156" t="inlineStr">
        <is>
          <t>28903427275</t>
        </is>
      </c>
      <c r="B156" t="inlineStr">
        <is>
          <t>隔日到貨🔥 韓國立體網眼包 網格包 B11 立體眼睛網袋收納包 收納包 化妝包 拉鍊包 拉鍊袋 包包 小包 配件</t>
        </is>
      </c>
      <c r="C156">
        <f>IMAGE("https://cf.shopee.tw/file/tw-11134207-7r98o-lwtla51d7k866a_tn")</f>
        <v/>
      </c>
      <c r="D156" t="inlineStr">
        <is>
          <t>淺灰色大號</t>
        </is>
      </c>
      <c r="E156" t="inlineStr">
        <is>
          <t>243498575235</t>
        </is>
      </c>
      <c r="F156">
        <f>IMAGE("https://cf.shopee.tw/file/tw-11134207-7rbk9-mas7rk1vurjt31_tn")</f>
        <v/>
      </c>
    </row>
    <row r="157">
      <c r="A157" t="inlineStr">
        <is>
          <t>19666639659</t>
        </is>
      </c>
      <c r="B157" t="inlineStr">
        <is>
          <t>隔日到貨🔥 杯套 杯袋 飲料提袋 飲料袋 環保袋 手搖飲料袋 飲料袋 提袋 方便 便攜 棉麻 飲料杯套 帆布袋</t>
        </is>
      </c>
      <c r="C157">
        <f>IMAGE("https://cf.shopee.tw/file/sg-11134201-22120-j1r857bt9nkva0_tn")</f>
        <v/>
      </c>
      <c r="D157" t="inlineStr">
        <is>
          <t>男孩</t>
        </is>
      </c>
      <c r="E157" t="inlineStr">
        <is>
          <t>165266189293</t>
        </is>
      </c>
      <c r="F157">
        <f>IMAGE("https://cf.shopee.tw/file/sg-11134201-22120-gfrzta24ankve7_tn")</f>
        <v/>
      </c>
    </row>
    <row r="158">
      <c r="A158" t="inlineStr">
        <is>
          <t>19666639659</t>
        </is>
      </c>
      <c r="B158" t="inlineStr">
        <is>
          <t>隔日到貨🔥 杯套 杯袋 飲料提袋 飲料袋 環保袋 手搖飲料袋 飲料袋 提袋 方便 便攜 棉麻 飲料杯套 帆布袋</t>
        </is>
      </c>
      <c r="C158">
        <f>IMAGE("https://cf.shopee.tw/file/sg-11134201-22120-j1r857bt9nkva0_tn")</f>
        <v/>
      </c>
      <c r="D158" t="inlineStr">
        <is>
          <t>米色MES</t>
        </is>
      </c>
      <c r="E158" t="inlineStr">
        <is>
          <t>165266189288</t>
        </is>
      </c>
      <c r="F158">
        <f>IMAGE("https://cf.shopee.tw/file/sg-11134201-22120-g61mx044ankv9d_tn")</f>
        <v/>
      </c>
    </row>
    <row r="159">
      <c r="A159" t="inlineStr">
        <is>
          <t>19666639659</t>
        </is>
      </c>
      <c r="B159" t="inlineStr">
        <is>
          <t>隔日到貨🔥 杯套 杯袋 飲料提袋 飲料袋 環保袋 手搖飲料袋 飲料袋 提袋 方便 便攜 棉麻 飲料杯套 帆布袋</t>
        </is>
      </c>
      <c r="C159">
        <f>IMAGE("https://cf.shopee.tw/file/sg-11134201-22120-j1r857bt9nkva0_tn")</f>
        <v/>
      </c>
      <c r="D159" t="inlineStr">
        <is>
          <t>貓和主人</t>
        </is>
      </c>
      <c r="E159" t="inlineStr">
        <is>
          <t>165266189289</t>
        </is>
      </c>
      <c r="F159">
        <f>IMAGE("https://cf.shopee.tw/file/sg-11134201-22120-komfyu84ankv32_tn")</f>
        <v/>
      </c>
    </row>
    <row r="160">
      <c r="A160" t="inlineStr">
        <is>
          <t>19666639659</t>
        </is>
      </c>
      <c r="B160" t="inlineStr">
        <is>
          <t>隔日到貨🔥 杯套 杯袋 飲料提袋 飲料袋 環保袋 手搖飲料袋 飲料袋 提袋 方便 便攜 棉麻 飲料杯套 帆布袋</t>
        </is>
      </c>
      <c r="C160">
        <f>IMAGE("https://cf.shopee.tw/file/sg-11134201-22120-j1r857bt9nkva0_tn")</f>
        <v/>
      </c>
      <c r="D160" t="inlineStr">
        <is>
          <t>情人節</t>
        </is>
      </c>
      <c r="E160" t="inlineStr">
        <is>
          <t>165266189290</t>
        </is>
      </c>
      <c r="F160">
        <f>IMAGE("https://cf.shopee.tw/file/sg-11134201-22120-1m39gdb5ankv1e_tn")</f>
        <v/>
      </c>
    </row>
    <row r="161">
      <c r="A161" t="inlineStr">
        <is>
          <t>19666639659</t>
        </is>
      </c>
      <c r="B161" t="inlineStr">
        <is>
          <t>隔日到貨🔥 杯套 杯袋 飲料提袋 飲料袋 環保袋 手搖飲料袋 飲料袋 提袋 方便 便攜 棉麻 飲料杯套 帆布袋</t>
        </is>
      </c>
      <c r="C161">
        <f>IMAGE("https://cf.shopee.tw/file/sg-11134201-22120-j1r857bt9nkva0_tn")</f>
        <v/>
      </c>
      <c r="D161" t="inlineStr">
        <is>
          <t>靠樹</t>
        </is>
      </c>
      <c r="E161" t="inlineStr">
        <is>
          <t>165266189291</t>
        </is>
      </c>
      <c r="F161">
        <f>IMAGE("https://cf.shopee.tw/file/sg-11134201-22120-nwkfb3d5ankv9e_tn")</f>
        <v/>
      </c>
    </row>
    <row r="162">
      <c r="A162" t="inlineStr">
        <is>
          <t>19666639659</t>
        </is>
      </c>
      <c r="B162" t="inlineStr">
        <is>
          <t>隔日到貨🔥 杯套 杯袋 飲料提袋 飲料袋 環保袋 手搖飲料袋 飲料袋 提袋 方便 便攜 棉麻 飲料杯套 帆布袋</t>
        </is>
      </c>
      <c r="C162">
        <f>IMAGE("https://cf.shopee.tw/file/sg-11134201-22120-j1r857bt9nkva0_tn")</f>
        <v/>
      </c>
      <c r="D162" t="inlineStr">
        <is>
          <t>米菲兔</t>
        </is>
      </c>
      <c r="E162" t="inlineStr">
        <is>
          <t>165266189285</t>
        </is>
      </c>
      <c r="F162">
        <f>IMAGE("https://cf.shopee.tw/file/sg-11134201-22120-bovd2pg5ankvd9_tn")</f>
        <v/>
      </c>
    </row>
    <row r="163">
      <c r="A163" t="inlineStr">
        <is>
          <t>19666639659</t>
        </is>
      </c>
      <c r="B163" t="inlineStr">
        <is>
          <t>隔日到貨🔥 杯套 杯袋 飲料提袋 飲料袋 環保袋 手搖飲料袋 飲料袋 提袋 方便 便攜 棉麻 飲料杯套 帆布袋</t>
        </is>
      </c>
      <c r="C163">
        <f>IMAGE("https://cf.shopee.tw/file/sg-11134201-22120-j1r857bt9nkva0_tn")</f>
        <v/>
      </c>
      <c r="D163" t="inlineStr">
        <is>
          <t>Have a warm day</t>
        </is>
      </c>
      <c r="E163" t="inlineStr">
        <is>
          <t>165266189286</t>
        </is>
      </c>
      <c r="F163">
        <f>IMAGE("https://cf.shopee.tw/file/sg-11134201-22120-gpshrdj5ankv29_tn")</f>
        <v/>
      </c>
    </row>
    <row r="164">
      <c r="A164" t="inlineStr">
        <is>
          <t>19666639659</t>
        </is>
      </c>
      <c r="B164" t="inlineStr">
        <is>
          <t>隔日到貨🔥 杯套 杯袋 飲料提袋 飲料袋 環保袋 手搖飲料袋 飲料袋 提袋 方便 便攜 棉麻 飲料杯套 帆布袋</t>
        </is>
      </c>
      <c r="C164">
        <f>IMAGE("https://cf.shopee.tw/file/sg-11134201-22120-j1r857bt9nkva0_tn")</f>
        <v/>
      </c>
      <c r="D164" t="inlineStr">
        <is>
          <t>愛心熊</t>
        </is>
      </c>
      <c r="E164" t="inlineStr">
        <is>
          <t>165266189287</t>
        </is>
      </c>
      <c r="F164">
        <f>IMAGE("https://cf.shopee.tw/file/sg-11134201-22120-kgca09l5ankv48_tn")</f>
        <v/>
      </c>
    </row>
    <row r="165">
      <c r="A165" t="inlineStr">
        <is>
          <t>19666639659</t>
        </is>
      </c>
      <c r="B165" t="inlineStr">
        <is>
          <t>隔日到貨🔥 杯套 杯袋 飲料提袋 飲料袋 環保袋 手搖飲料袋 飲料袋 提袋 方便 便攜 棉麻 飲料杯套 帆布袋</t>
        </is>
      </c>
      <c r="C165">
        <f>IMAGE("https://cf.shopee.tw/file/sg-11134201-22120-j1r857bt9nkva0_tn")</f>
        <v/>
      </c>
      <c r="D165" t="inlineStr">
        <is>
          <t>Hello</t>
        </is>
      </c>
      <c r="E165" t="inlineStr">
        <is>
          <t>165266189292</t>
        </is>
      </c>
      <c r="F165">
        <f>IMAGE("https://cf.shopee.tw/file/sg-11134201-22120-wf7vaap5ankv8b_tn")</f>
        <v/>
      </c>
    </row>
    <row r="166">
      <c r="A166" t="inlineStr">
        <is>
          <t>19666639659</t>
        </is>
      </c>
      <c r="B166" t="inlineStr">
        <is>
          <t>隔日到貨🔥 杯套 杯袋 飲料提袋 飲料袋 環保袋 手搖飲料袋 飲料袋 提袋 方便 便攜 棉麻 飲料杯套 帆布袋</t>
        </is>
      </c>
      <c r="C166">
        <f>IMAGE("https://cf.shopee.tw/file/sg-11134201-22120-j1r857bt9nkva0_tn")</f>
        <v/>
      </c>
      <c r="D166" t="inlineStr">
        <is>
          <t>摸頭</t>
        </is>
      </c>
      <c r="E166" t="inlineStr">
        <is>
          <t>108909267605</t>
        </is>
      </c>
      <c r="F166">
        <f>IMAGE("https://cf.shopee.tw/file/tw-11134207-7qul0-lgt3xmphf03018_tn")</f>
        <v/>
      </c>
    </row>
    <row r="167">
      <c r="A167" t="inlineStr">
        <is>
          <t>19666639659</t>
        </is>
      </c>
      <c r="B167" t="inlineStr">
        <is>
          <t>隔日到貨🔥 杯套 杯袋 飲料提袋 飲料袋 環保袋 手搖飲料袋 飲料袋 提袋 方便 便攜 棉麻 飲料杯套 帆布袋</t>
        </is>
      </c>
      <c r="C167">
        <f>IMAGE("https://cf.shopee.tw/file/sg-11134201-22120-j1r857bt9nkva0_tn")</f>
        <v/>
      </c>
      <c r="D167" t="inlineStr">
        <is>
          <t>煮茶</t>
        </is>
      </c>
      <c r="E167" t="inlineStr">
        <is>
          <t>108909267603</t>
        </is>
      </c>
      <c r="F167">
        <f>IMAGE("https://cf.shopee.tw/file/tw-11134207-7qul2-lgt3yx9x8bvw14_tn")</f>
        <v/>
      </c>
    </row>
    <row r="168">
      <c r="A168" t="inlineStr">
        <is>
          <t>19666639659</t>
        </is>
      </c>
      <c r="B168" t="inlineStr">
        <is>
          <t>隔日到貨🔥 杯套 杯袋 飲料提袋 飲料袋 環保袋 手搖飲料袋 飲料袋 提袋 方便 便攜 棉麻 飲料杯套 帆布袋</t>
        </is>
      </c>
      <c r="C168">
        <f>IMAGE("https://cf.shopee.tw/file/sg-11134201-22120-j1r857bt9nkva0_tn")</f>
        <v/>
      </c>
      <c r="D168" t="inlineStr">
        <is>
          <t>沉思</t>
        </is>
      </c>
      <c r="E168" t="inlineStr">
        <is>
          <t>108909267604</t>
        </is>
      </c>
      <c r="F168">
        <f>IMAGE("https://cf.shopee.tw/file/tw-11134207-7qul9-licofuotawqq8a_tn")</f>
        <v/>
      </c>
    </row>
    <row r="169">
      <c r="A169" t="inlineStr">
        <is>
          <t>21465188015</t>
        </is>
      </c>
      <c r="B169" t="inlineStr">
        <is>
          <t>隔日到貨🔥 ins 韓版 刺繡笑臉 短襪 S20 船襪 後跟刺繡 笑臉 純色 中筒襪 襪子 女襪 短襪 韓妞必備</t>
        </is>
      </c>
      <c r="C169">
        <f>IMAGE("https://cf.shopee.tw/file/sg-11134201-22110-xybkhc0ixckv3c_tn")</f>
        <v/>
      </c>
      <c r="D169" t="inlineStr">
        <is>
          <t>黑色</t>
        </is>
      </c>
      <c r="E169" t="inlineStr">
        <is>
          <t>79194753026</t>
        </is>
      </c>
      <c r="F169">
        <f>IMAGE("https://cf.shopee.tw/file/sg-11134201-22110-xegmecrkxckv98_tn")</f>
        <v/>
      </c>
    </row>
    <row r="170">
      <c r="A170" t="inlineStr">
        <is>
          <t>21465188015</t>
        </is>
      </c>
      <c r="B170" t="inlineStr">
        <is>
          <t>隔日到貨🔥 ins 韓版 刺繡笑臉 短襪 S20 船襪 後跟刺繡 笑臉 純色 中筒襪 襪子 女襪 短襪 韓妞必備</t>
        </is>
      </c>
      <c r="C170">
        <f>IMAGE("https://cf.shopee.tw/file/sg-11134201-22110-xybkhc0ixckv3c_tn")</f>
        <v/>
      </c>
      <c r="D170" t="inlineStr">
        <is>
          <t>橘色</t>
        </is>
      </c>
      <c r="E170" t="inlineStr">
        <is>
          <t>79194753020</t>
        </is>
      </c>
      <c r="F170">
        <f>IMAGE("https://cf.shopee.tw/file/sg-11134201-22110-ulsvgy421ckvf4_tn")</f>
        <v/>
      </c>
    </row>
    <row r="171">
      <c r="A171" t="inlineStr">
        <is>
          <t>21465188015</t>
        </is>
      </c>
      <c r="B171" t="inlineStr">
        <is>
          <t>隔日到貨🔥 ins 韓版 刺繡笑臉 短襪 S20 船襪 後跟刺繡 笑臉 純色 中筒襪 襪子 女襪 短襪 韓妞必備</t>
        </is>
      </c>
      <c r="C171">
        <f>IMAGE("https://cf.shopee.tw/file/sg-11134201-22110-xybkhc0ixckv3c_tn")</f>
        <v/>
      </c>
      <c r="D171" t="inlineStr">
        <is>
          <t>卡其</t>
        </is>
      </c>
      <c r="E171" t="inlineStr">
        <is>
          <t>79194753021</t>
        </is>
      </c>
      <c r="F171">
        <f>IMAGE("https://cf.shopee.tw/file/sg-11134201-22110-aqqt37b31ckvbd_tn")</f>
        <v/>
      </c>
    </row>
    <row r="172">
      <c r="A172" t="inlineStr">
        <is>
          <t>21465188015</t>
        </is>
      </c>
      <c r="B172" t="inlineStr">
        <is>
          <t>隔日到貨🔥 ins 韓版 刺繡笑臉 短襪 S20 船襪 後跟刺繡 笑臉 純色 中筒襪 襪子 女襪 短襪 韓妞必備</t>
        </is>
      </c>
      <c r="C172">
        <f>IMAGE("https://cf.shopee.tw/file/sg-11134201-22110-xybkhc0ixckv3c_tn")</f>
        <v/>
      </c>
      <c r="D172" t="inlineStr">
        <is>
          <t>藍色</t>
        </is>
      </c>
      <c r="E172" t="inlineStr">
        <is>
          <t>79194753022</t>
        </is>
      </c>
      <c r="F172">
        <f>IMAGE("https://cf.shopee.tw/file/sg-11134201-22110-0yimxsf31ckv82_tn")</f>
        <v/>
      </c>
    </row>
    <row r="173">
      <c r="A173" t="inlineStr">
        <is>
          <t>21465188015</t>
        </is>
      </c>
      <c r="B173" t="inlineStr">
        <is>
          <t>隔日到貨🔥 ins 韓版 刺繡笑臉 短襪 S20 船襪 後跟刺繡 笑臉 純色 中筒襪 襪子 女襪 短襪 韓妞必備</t>
        </is>
      </c>
      <c r="C173">
        <f>IMAGE("https://cf.shopee.tw/file/sg-11134201-22110-xybkhc0ixckv3c_tn")</f>
        <v/>
      </c>
      <c r="D173" t="inlineStr">
        <is>
          <t>米色</t>
        </is>
      </c>
      <c r="E173" t="inlineStr">
        <is>
          <t>79194753027</t>
        </is>
      </c>
      <c r="F173">
        <f>IMAGE("https://cf.shopee.tw/file/sg-11134201-22110-9biznnj31ckva6_tn")</f>
        <v/>
      </c>
    </row>
    <row r="174">
      <c r="A174" t="inlineStr">
        <is>
          <t>21465188015</t>
        </is>
      </c>
      <c r="B174" t="inlineStr">
        <is>
          <t>隔日到貨🔥 ins 韓版 刺繡笑臉 短襪 S20 船襪 後跟刺繡 笑臉 純色 中筒襪 襪子 女襪 短襪 韓妞必備</t>
        </is>
      </c>
      <c r="C174">
        <f>IMAGE("https://cf.shopee.tw/file/sg-11134201-22110-xybkhc0ixckv3c_tn")</f>
        <v/>
      </c>
      <c r="D174" t="inlineStr">
        <is>
          <t>黃色</t>
        </is>
      </c>
      <c r="E174" t="inlineStr">
        <is>
          <t>79194753023</t>
        </is>
      </c>
      <c r="F174">
        <f>IMAGE("https://cf.shopee.tw/file/sg-11134201-22110-z2oj6zn31ckv5d_tn")</f>
        <v/>
      </c>
    </row>
    <row r="175">
      <c r="A175" t="inlineStr">
        <is>
          <t>21465188015</t>
        </is>
      </c>
      <c r="B175" t="inlineStr">
        <is>
          <t>隔日到貨🔥 ins 韓版 刺繡笑臉 短襪 S20 船襪 後跟刺繡 笑臉 純色 中筒襪 襪子 女襪 短襪 韓妞必備</t>
        </is>
      </c>
      <c r="C175">
        <f>IMAGE("https://cf.shopee.tw/file/sg-11134201-22110-xybkhc0ixckv3c_tn")</f>
        <v/>
      </c>
      <c r="D175" t="inlineStr">
        <is>
          <t>綠色</t>
        </is>
      </c>
      <c r="E175" t="inlineStr">
        <is>
          <t>79194753028</t>
        </is>
      </c>
      <c r="F175">
        <f>IMAGE("https://cf.shopee.tw/file/sg-11134201-22110-0iadglr31ckv61_tn")</f>
        <v/>
      </c>
    </row>
    <row r="176">
      <c r="A176" t="inlineStr">
        <is>
          <t>21465188015</t>
        </is>
      </c>
      <c r="B176" t="inlineStr">
        <is>
          <t>隔日到貨🔥 ins 韓版 刺繡笑臉 短襪 S20 船襪 後跟刺繡 笑臉 純色 中筒襪 襪子 女襪 短襪 韓妞必備</t>
        </is>
      </c>
      <c r="C176">
        <f>IMAGE("https://cf.shopee.tw/file/sg-11134201-22110-xybkhc0ixckv3c_tn")</f>
        <v/>
      </c>
      <c r="D176" t="inlineStr">
        <is>
          <t>粉色</t>
        </is>
      </c>
      <c r="E176" t="inlineStr">
        <is>
          <t>79194753024</t>
        </is>
      </c>
      <c r="F176">
        <f>IMAGE("https://cf.shopee.tw/file/sg-11134201-22110-kt8jeiv31ckv1f_tn")</f>
        <v/>
      </c>
    </row>
    <row r="177">
      <c r="A177" t="inlineStr">
        <is>
          <t>21465188015</t>
        </is>
      </c>
      <c r="B177" t="inlineStr">
        <is>
          <t>隔日到貨🔥 ins 韓版 刺繡笑臉 短襪 S20 船襪 後跟刺繡 笑臉 純色 中筒襪 襪子 女襪 短襪 韓妞必備</t>
        </is>
      </c>
      <c r="C177">
        <f>IMAGE("https://cf.shopee.tw/file/sg-11134201-22110-xybkhc0ixckv3c_tn")</f>
        <v/>
      </c>
      <c r="D177" t="inlineStr">
        <is>
          <t>白色</t>
        </is>
      </c>
      <c r="E177" t="inlineStr">
        <is>
          <t>79194753025</t>
        </is>
      </c>
      <c r="F177">
        <f>IMAGE("https://cf.shopee.tw/file/sg-11134201-22110-a81dl3y31ckve9_tn")</f>
        <v/>
      </c>
    </row>
    <row r="178">
      <c r="A178" t="inlineStr">
        <is>
          <t>21465188015</t>
        </is>
      </c>
      <c r="B178" t="inlineStr">
        <is>
          <t>隔日到貨🔥 ins 韓版 刺繡笑臉 短襪 S20 船襪 後跟刺繡 笑臉 純色 中筒襪 襪子 女襪 短襪 韓妞必備</t>
        </is>
      </c>
      <c r="C178">
        <f>IMAGE("https://cf.shopee.tw/file/sg-11134201-22110-xybkhc0ixckv3c_tn")</f>
        <v/>
      </c>
      <c r="D178" t="inlineStr">
        <is>
          <t>咖啡</t>
        </is>
      </c>
      <c r="E178" t="inlineStr">
        <is>
          <t>79194753029</t>
        </is>
      </c>
      <c r="F178">
        <f>IMAGE("https://cf.shopee.tw/file/sg-11134201-22110-tfeqz4a41ckv86_tn")</f>
        <v/>
      </c>
    </row>
    <row r="179">
      <c r="A179" t="inlineStr">
        <is>
          <t>9969182845</t>
        </is>
      </c>
      <c r="B179" t="inlineStr">
        <is>
          <t>隔日到貨🔥 iPhone 保護貼 17 16 15 14 13 12 11 螢幕貼 滿版玻璃 螢幕保護 防窺膜 鋼化膜</t>
        </is>
      </c>
      <c r="C179">
        <f>IMAGE("https://cf.shopee.tw/file/f7335b2d1d389168051503994d4b8a2b_tn")</f>
        <v/>
      </c>
      <c r="D179" t="inlineStr">
        <is>
          <t>7/8/SE2/SE3 白色,鋼化膜</t>
        </is>
      </c>
      <c r="E179" t="inlineStr">
        <is>
          <t>66383349331</t>
        </is>
      </c>
      <c r="F179">
        <f>IMAGE("https://deo.shopeemobile.com/shopee/shopee-seller-live-sg/mmf_portal_seller_root_dir/static/modules/product-list/image/default-item-model-image.2601159.png")</f>
        <v/>
      </c>
    </row>
    <row r="180">
      <c r="A180" t="inlineStr">
        <is>
          <t>9969182845</t>
        </is>
      </c>
      <c r="B180" t="inlineStr">
        <is>
          <t>隔日到貨🔥 iPhone 保護貼 17 16 15 14 13 12 11 螢幕貼 滿版玻璃 螢幕保護 防窺膜 鋼化膜</t>
        </is>
      </c>
      <c r="C180">
        <f>IMAGE("https://cf.shopee.tw/file/f7335b2d1d389168051503994d4b8a2b_tn")</f>
        <v/>
      </c>
      <c r="D180" t="inlineStr">
        <is>
          <t>7/8/SE2/SE3 白色,防窺膜</t>
        </is>
      </c>
      <c r="E180" t="inlineStr">
        <is>
          <t>66383349334</t>
        </is>
      </c>
      <c r="F180">
        <f>IMAGE("https://deo.shopeemobile.com/shopee/shopee-seller-live-sg/mmf_portal_seller_root_dir/static/modules/product-list/image/default-item-model-image.2601159.png")</f>
        <v/>
      </c>
    </row>
    <row r="181">
      <c r="A181" t="inlineStr">
        <is>
          <t>9969182845</t>
        </is>
      </c>
      <c r="B181" t="inlineStr">
        <is>
          <t>隔日到貨🔥 iPhone 保護貼 17 16 15 14 13 12 11 螢幕貼 滿版玻璃 螢幕保護 防窺膜 鋼化膜</t>
        </is>
      </c>
      <c r="C181">
        <f>IMAGE("https://cf.shopee.tw/file/f7335b2d1d389168051503994d4b8a2b_tn")</f>
        <v/>
      </c>
      <c r="D181" t="inlineStr">
        <is>
          <t>7/8/SE2/SE3 黑色,鋼化膜</t>
        </is>
      </c>
      <c r="E181" t="inlineStr">
        <is>
          <t>66383349346</t>
        </is>
      </c>
      <c r="F181">
        <f>IMAGE("https://deo.shopeemobile.com/shopee/shopee-seller-live-sg/mmf_portal_seller_root_dir/static/modules/product-list/image/default-item-model-image.2601159.png")</f>
        <v/>
      </c>
    </row>
    <row r="182">
      <c r="A182" t="inlineStr">
        <is>
          <t>9969182845</t>
        </is>
      </c>
      <c r="B182" t="inlineStr">
        <is>
          <t>隔日到貨🔥 iPhone 保護貼 17 16 15 14 13 12 11 螢幕貼 滿版玻璃 螢幕保護 防窺膜 鋼化膜</t>
        </is>
      </c>
      <c r="C182">
        <f>IMAGE("https://cf.shopee.tw/file/f7335b2d1d389168051503994d4b8a2b_tn")</f>
        <v/>
      </c>
      <c r="D182" t="inlineStr">
        <is>
          <t>7/8/SE2/SE3 黑色,防窺膜</t>
        </is>
      </c>
      <c r="E182" t="inlineStr">
        <is>
          <t>66383349345</t>
        </is>
      </c>
      <c r="F182">
        <f>IMAGE("https://deo.shopeemobile.com/shopee/shopee-seller-live-sg/mmf_portal_seller_root_dir/static/modules/product-list/image/default-item-model-image.2601159.png")</f>
        <v/>
      </c>
    </row>
    <row r="183">
      <c r="A183" t="inlineStr">
        <is>
          <t>9969182845</t>
        </is>
      </c>
      <c r="B183" t="inlineStr">
        <is>
          <t>隔日到貨🔥 iPhone 保護貼 17 16 15 14 13 12 11 螢幕貼 滿版玻璃 螢幕保護 防窺膜 鋼化膜</t>
        </is>
      </c>
      <c r="C183">
        <f>IMAGE("https://cf.shopee.tw/file/f7335b2d1d389168051503994d4b8a2b_tn")</f>
        <v/>
      </c>
      <c r="D183" t="inlineStr">
        <is>
          <t>7plus / 8plus白色,鋼化膜</t>
        </is>
      </c>
      <c r="E183" t="inlineStr">
        <is>
          <t>66383349335</t>
        </is>
      </c>
      <c r="F183">
        <f>IMAGE("https://deo.shopeemobile.com/shopee/shopee-seller-live-sg/mmf_portal_seller_root_dir/static/modules/product-list/image/default-item-model-image.2601159.png")</f>
        <v/>
      </c>
    </row>
    <row r="184">
      <c r="A184" t="inlineStr">
        <is>
          <t>9969182845</t>
        </is>
      </c>
      <c r="B184" t="inlineStr">
        <is>
          <t>隔日到貨🔥 iPhone 保護貼 17 16 15 14 13 12 11 螢幕貼 滿版玻璃 螢幕保護 防窺膜 鋼化膜</t>
        </is>
      </c>
      <c r="C184">
        <f>IMAGE("https://cf.shopee.tw/file/f7335b2d1d389168051503994d4b8a2b_tn")</f>
        <v/>
      </c>
      <c r="D184" t="inlineStr">
        <is>
          <t>7plus / 8plus白色,防窺膜</t>
        </is>
      </c>
      <c r="E184" t="inlineStr">
        <is>
          <t>66383349332</t>
        </is>
      </c>
      <c r="F184">
        <f>IMAGE("https://deo.shopeemobile.com/shopee/shopee-seller-live-sg/mmf_portal_seller_root_dir/static/modules/product-list/image/default-item-model-image.2601159.png")</f>
        <v/>
      </c>
    </row>
    <row r="185">
      <c r="A185" t="inlineStr">
        <is>
          <t>9969182845</t>
        </is>
      </c>
      <c r="B185" t="inlineStr">
        <is>
          <t>隔日到貨🔥 iPhone 保護貼 17 16 15 14 13 12 11 螢幕貼 滿版玻璃 螢幕保護 防窺膜 鋼化膜</t>
        </is>
      </c>
      <c r="C185">
        <f>IMAGE("https://cf.shopee.tw/file/f7335b2d1d389168051503994d4b8a2b_tn")</f>
        <v/>
      </c>
      <c r="D185" t="inlineStr">
        <is>
          <t>7plus / 8plus黑色,鋼化膜</t>
        </is>
      </c>
      <c r="E185" t="inlineStr">
        <is>
          <t>66383349347</t>
        </is>
      </c>
      <c r="F185">
        <f>IMAGE("https://deo.shopeemobile.com/shopee/shopee-seller-live-sg/mmf_portal_seller_root_dir/static/modules/product-list/image/default-item-model-image.2601159.png")</f>
        <v/>
      </c>
    </row>
    <row r="186">
      <c r="A186" t="inlineStr">
        <is>
          <t>9969182845</t>
        </is>
      </c>
      <c r="B186" t="inlineStr">
        <is>
          <t>隔日到貨🔥 iPhone 保護貼 17 16 15 14 13 12 11 螢幕貼 滿版玻璃 螢幕保護 防窺膜 鋼化膜</t>
        </is>
      </c>
      <c r="C186">
        <f>IMAGE("https://cf.shopee.tw/file/f7335b2d1d389168051503994d4b8a2b_tn")</f>
        <v/>
      </c>
      <c r="D186" t="inlineStr">
        <is>
          <t>7plus / 8plus黑色,防窺膜</t>
        </is>
      </c>
      <c r="E186" t="inlineStr">
        <is>
          <t>66383349336</t>
        </is>
      </c>
      <c r="F186">
        <f>IMAGE("https://deo.shopeemobile.com/shopee/shopee-seller-live-sg/mmf_portal_seller_root_dir/static/modules/product-list/image/default-item-model-image.2601159.png")</f>
        <v/>
      </c>
    </row>
    <row r="187">
      <c r="A187" t="inlineStr">
        <is>
          <t>9969182845</t>
        </is>
      </c>
      <c r="B187" t="inlineStr">
        <is>
          <t>隔日到貨🔥 iPhone 保護貼 17 16 15 14 13 12 11 螢幕貼 滿版玻璃 螢幕保護 防窺膜 鋼化膜</t>
        </is>
      </c>
      <c r="C187">
        <f>IMAGE("https://cf.shopee.tw/file/f7335b2d1d389168051503994d4b8a2b_tn")</f>
        <v/>
      </c>
      <c r="D187" t="inlineStr">
        <is>
          <t>X/XS/11 pro,鋼化膜</t>
        </is>
      </c>
      <c r="E187" t="inlineStr">
        <is>
          <t>66383349338</t>
        </is>
      </c>
      <c r="F187">
        <f>IMAGE("https://deo.shopeemobile.com/shopee/shopee-seller-live-sg/mmf_portal_seller_root_dir/static/modules/product-list/image/default-item-model-image.2601159.png")</f>
        <v/>
      </c>
    </row>
    <row r="188">
      <c r="A188" t="inlineStr">
        <is>
          <t>9969182845</t>
        </is>
      </c>
      <c r="B188" t="inlineStr">
        <is>
          <t>隔日到貨🔥 iPhone 保護貼 17 16 15 14 13 12 11 螢幕貼 滿版玻璃 螢幕保護 防窺膜 鋼化膜</t>
        </is>
      </c>
      <c r="C188">
        <f>IMAGE("https://cf.shopee.tw/file/f7335b2d1d389168051503994d4b8a2b_tn")</f>
        <v/>
      </c>
      <c r="D188" t="inlineStr">
        <is>
          <t>X/XS/11 pro,防窺膜</t>
        </is>
      </c>
      <c r="E188" t="inlineStr">
        <is>
          <t>66383349337</t>
        </is>
      </c>
      <c r="F188">
        <f>IMAGE("https://deo.shopeemobile.com/shopee/shopee-seller-live-sg/mmf_portal_seller_root_dir/static/modules/product-list/image/default-item-model-image.2601159.png")</f>
        <v/>
      </c>
    </row>
    <row r="189">
      <c r="A189" t="inlineStr">
        <is>
          <t>9969182845</t>
        </is>
      </c>
      <c r="B189" t="inlineStr">
        <is>
          <t>隔日到貨🔥 iPhone 保護貼 17 16 15 14 13 12 11 螢幕貼 滿版玻璃 螢幕保護 防窺膜 鋼化膜</t>
        </is>
      </c>
      <c r="C189">
        <f>IMAGE("https://cf.shopee.tw/file/f7335b2d1d389168051503994d4b8a2b_tn")</f>
        <v/>
      </c>
      <c r="D189" t="inlineStr">
        <is>
          <t>XS MAX/11 pro max,鋼化膜</t>
        </is>
      </c>
      <c r="E189" t="inlineStr">
        <is>
          <t>66383349348</t>
        </is>
      </c>
      <c r="F189">
        <f>IMAGE("https://deo.shopeemobile.com/shopee/shopee-seller-live-sg/mmf_portal_seller_root_dir/static/modules/product-list/image/default-item-model-image.2601159.png")</f>
        <v/>
      </c>
    </row>
    <row r="190">
      <c r="A190" t="inlineStr">
        <is>
          <t>9969182845</t>
        </is>
      </c>
      <c r="B190" t="inlineStr">
        <is>
          <t>隔日到貨🔥 iPhone 保護貼 17 16 15 14 13 12 11 螢幕貼 滿版玻璃 螢幕保護 防窺膜 鋼化膜</t>
        </is>
      </c>
      <c r="C190">
        <f>IMAGE("https://cf.shopee.tw/file/f7335b2d1d389168051503994d4b8a2b_tn")</f>
        <v/>
      </c>
      <c r="D190" t="inlineStr">
        <is>
          <t>XS MAX/11 pro max,防窺膜</t>
        </is>
      </c>
      <c r="E190" t="inlineStr">
        <is>
          <t>66383349342</t>
        </is>
      </c>
      <c r="F190">
        <f>IMAGE("https://deo.shopeemobile.com/shopee/shopee-seller-live-sg/mmf_portal_seller_root_dir/static/modules/product-list/image/default-item-model-image.2601159.png")</f>
        <v/>
      </c>
    </row>
    <row r="191">
      <c r="A191" t="inlineStr">
        <is>
          <t>9969182845</t>
        </is>
      </c>
      <c r="B191" t="inlineStr">
        <is>
          <t>隔日到貨🔥 iPhone 保護貼 17 16 15 14 13 12 11 螢幕貼 滿版玻璃 螢幕保護 防窺膜 鋼化膜</t>
        </is>
      </c>
      <c r="C191">
        <f>IMAGE("https://cf.shopee.tw/file/f7335b2d1d389168051503994d4b8a2b_tn")</f>
        <v/>
      </c>
      <c r="D191" t="inlineStr">
        <is>
          <t>XR/11,鋼化膜</t>
        </is>
      </c>
      <c r="E191" t="inlineStr">
        <is>
          <t>66383349333</t>
        </is>
      </c>
      <c r="F191">
        <f>IMAGE("https://deo.shopeemobile.com/shopee/shopee-seller-live-sg/mmf_portal_seller_root_dir/static/modules/product-list/image/default-item-model-image.2601159.png")</f>
        <v/>
      </c>
    </row>
    <row r="192">
      <c r="A192" t="inlineStr">
        <is>
          <t>9969182845</t>
        </is>
      </c>
      <c r="B192" t="inlineStr">
        <is>
          <t>隔日到貨🔥 iPhone 保護貼 17 16 15 14 13 12 11 螢幕貼 滿版玻璃 螢幕保護 防窺膜 鋼化膜</t>
        </is>
      </c>
      <c r="C192">
        <f>IMAGE("https://cf.shopee.tw/file/f7335b2d1d389168051503994d4b8a2b_tn")</f>
        <v/>
      </c>
      <c r="D192" t="inlineStr">
        <is>
          <t>XR/11,防窺膜</t>
        </is>
      </c>
      <c r="E192" t="inlineStr">
        <is>
          <t>66383349339</t>
        </is>
      </c>
      <c r="F192">
        <f>IMAGE("https://deo.shopeemobile.com/shopee/shopee-seller-live-sg/mmf_portal_seller_root_dir/static/modules/product-list/image/default-item-model-image.2601159.png")</f>
        <v/>
      </c>
    </row>
    <row r="193">
      <c r="A193" t="inlineStr">
        <is>
          <t>9969182845</t>
        </is>
      </c>
      <c r="B193" t="inlineStr">
        <is>
          <t>隔日到貨🔥 iPhone 保護貼 17 16 15 14 13 12 11 螢幕貼 滿版玻璃 螢幕保護 防窺膜 鋼化膜</t>
        </is>
      </c>
      <c r="C193">
        <f>IMAGE("https://cf.shopee.tw/file/f7335b2d1d389168051503994d4b8a2b_tn")</f>
        <v/>
      </c>
      <c r="D193" t="inlineStr">
        <is>
          <t>12 / 12pro,鋼化膜</t>
        </is>
      </c>
      <c r="E193" t="inlineStr">
        <is>
          <t>66383349340</t>
        </is>
      </c>
      <c r="F193">
        <f>IMAGE("https://deo.shopeemobile.com/shopee/shopee-seller-live-sg/mmf_portal_seller_root_dir/static/modules/product-list/image/default-item-model-image.2601159.png")</f>
        <v/>
      </c>
    </row>
    <row r="194">
      <c r="A194" t="inlineStr">
        <is>
          <t>9969182845</t>
        </is>
      </c>
      <c r="B194" t="inlineStr">
        <is>
          <t>隔日到貨🔥 iPhone 保護貼 17 16 15 14 13 12 11 螢幕貼 滿版玻璃 螢幕保護 防窺膜 鋼化膜</t>
        </is>
      </c>
      <c r="C194">
        <f>IMAGE("https://cf.shopee.tw/file/f7335b2d1d389168051503994d4b8a2b_tn")</f>
        <v/>
      </c>
      <c r="D194" t="inlineStr">
        <is>
          <t>12 / 12pro,防窺膜</t>
        </is>
      </c>
      <c r="E194" t="inlineStr">
        <is>
          <t>66383349341</t>
        </is>
      </c>
      <c r="F194">
        <f>IMAGE("https://deo.shopeemobile.com/shopee/shopee-seller-live-sg/mmf_portal_seller_root_dir/static/modules/product-list/image/default-item-model-image.2601159.png")</f>
        <v/>
      </c>
    </row>
    <row r="195">
      <c r="A195" t="inlineStr">
        <is>
          <t>9969182845</t>
        </is>
      </c>
      <c r="B195" t="inlineStr">
        <is>
          <t>隔日到貨🔥 iPhone 保護貼 17 16 15 14 13 12 11 螢幕貼 滿版玻璃 螢幕保護 防窺膜 鋼化膜</t>
        </is>
      </c>
      <c r="C195">
        <f>IMAGE("https://cf.shopee.tw/file/f7335b2d1d389168051503994d4b8a2b_tn")</f>
        <v/>
      </c>
      <c r="D195" t="inlineStr">
        <is>
          <t>12 pro max,鋼化膜</t>
        </is>
      </c>
      <c r="E195" t="inlineStr">
        <is>
          <t>66383349343</t>
        </is>
      </c>
      <c r="F195">
        <f>IMAGE("https://deo.shopeemobile.com/shopee/shopee-seller-live-sg/mmf_portal_seller_root_dir/static/modules/product-list/image/default-item-model-image.2601159.png")</f>
        <v/>
      </c>
    </row>
    <row r="196">
      <c r="A196" t="inlineStr">
        <is>
          <t>9969182845</t>
        </is>
      </c>
      <c r="B196" t="inlineStr">
        <is>
          <t>隔日到貨🔥 iPhone 保護貼 17 16 15 14 13 12 11 螢幕貼 滿版玻璃 螢幕保護 防窺膜 鋼化膜</t>
        </is>
      </c>
      <c r="C196">
        <f>IMAGE("https://cf.shopee.tw/file/f7335b2d1d389168051503994d4b8a2b_tn")</f>
        <v/>
      </c>
      <c r="D196" t="inlineStr">
        <is>
          <t>12 pro max,防窺膜</t>
        </is>
      </c>
      <c r="E196" t="inlineStr">
        <is>
          <t>66383349344</t>
        </is>
      </c>
      <c r="F196">
        <f>IMAGE("https://deo.shopeemobile.com/shopee/shopee-seller-live-sg/mmf_portal_seller_root_dir/static/modules/product-list/image/default-item-model-image.2601159.png")</f>
        <v/>
      </c>
    </row>
    <row r="197">
      <c r="A197" t="inlineStr">
        <is>
          <t>9969182845</t>
        </is>
      </c>
      <c r="B197" t="inlineStr">
        <is>
          <t>隔日到貨🔥 iPhone 保護貼 17 16 15 14 13 12 11 螢幕貼 滿版玻璃 螢幕保護 防窺膜 鋼化膜</t>
        </is>
      </c>
      <c r="C197">
        <f>IMAGE("https://cf.shopee.tw/file/f7335b2d1d389168051503994d4b8a2b_tn")</f>
        <v/>
      </c>
      <c r="D197" t="inlineStr">
        <is>
          <t>12 mini,鋼化膜</t>
        </is>
      </c>
      <c r="E197" t="inlineStr">
        <is>
          <t>66670899697</t>
        </is>
      </c>
      <c r="F197">
        <f>IMAGE("https://deo.shopeemobile.com/shopee/shopee-seller-live-sg/mmf_portal_seller_root_dir/static/modules/product-list/image/default-item-model-image.2601159.png")</f>
        <v/>
      </c>
    </row>
    <row r="198">
      <c r="A198" t="inlineStr">
        <is>
          <t>9969182845</t>
        </is>
      </c>
      <c r="B198" t="inlineStr">
        <is>
          <t>隔日到貨🔥 iPhone 保護貼 17 16 15 14 13 12 11 螢幕貼 滿版玻璃 螢幕保護 防窺膜 鋼化膜</t>
        </is>
      </c>
      <c r="C198">
        <f>IMAGE("https://cf.shopee.tw/file/f7335b2d1d389168051503994d4b8a2b_tn")</f>
        <v/>
      </c>
      <c r="D198" t="inlineStr">
        <is>
          <t>12 mini,防窺膜</t>
        </is>
      </c>
      <c r="E198" t="inlineStr">
        <is>
          <t>66670899696</t>
        </is>
      </c>
      <c r="F198">
        <f>IMAGE("https://deo.shopeemobile.com/shopee/shopee-seller-live-sg/mmf_portal_seller_root_dir/static/modules/product-list/image/default-item-model-image.2601159.png")</f>
        <v/>
      </c>
    </row>
    <row r="199">
      <c r="A199" t="inlineStr">
        <is>
          <t>9969182845</t>
        </is>
      </c>
      <c r="B199" t="inlineStr">
        <is>
          <t>隔日到貨🔥 iPhone 保護貼 17 16 15 14 13 12 11 螢幕貼 滿版玻璃 螢幕保護 防窺膜 鋼化膜</t>
        </is>
      </c>
      <c r="C199">
        <f>IMAGE("https://cf.shopee.tw/file/f7335b2d1d389168051503994d4b8a2b_tn")</f>
        <v/>
      </c>
      <c r="D199" t="inlineStr">
        <is>
          <t>13/13pro/16e,鋼化膜</t>
        </is>
      </c>
      <c r="E199" t="inlineStr">
        <is>
          <t>85244634853</t>
        </is>
      </c>
      <c r="F199">
        <f>IMAGE("https://deo.shopeemobile.com/shopee/shopee-seller-live-sg/mmf_portal_seller_root_dir/static/modules/product-list/image/default-item-model-image.2601159.png")</f>
        <v/>
      </c>
    </row>
    <row r="200">
      <c r="A200" t="inlineStr">
        <is>
          <t>9969182845</t>
        </is>
      </c>
      <c r="B200" t="inlineStr">
        <is>
          <t>隔日到貨🔥 iPhone 保護貼 17 16 15 14 13 12 11 螢幕貼 滿版玻璃 螢幕保護 防窺膜 鋼化膜</t>
        </is>
      </c>
      <c r="C200">
        <f>IMAGE("https://cf.shopee.tw/file/f7335b2d1d389168051503994d4b8a2b_tn")</f>
        <v/>
      </c>
      <c r="D200" t="inlineStr">
        <is>
          <t>13/13pro/16e,防窺膜</t>
        </is>
      </c>
      <c r="E200" t="inlineStr">
        <is>
          <t>85244634854</t>
        </is>
      </c>
      <c r="F200">
        <f>IMAGE("https://deo.shopeemobile.com/shopee/shopee-seller-live-sg/mmf_portal_seller_root_dir/static/modules/product-list/image/default-item-model-image.2601159.png")</f>
        <v/>
      </c>
    </row>
    <row r="201">
      <c r="A201" t="inlineStr">
        <is>
          <t>9969182845</t>
        </is>
      </c>
      <c r="B201" t="inlineStr">
        <is>
          <t>隔日到貨🔥 iPhone 保護貼 17 16 15 14 13 12 11 螢幕貼 滿版玻璃 螢幕保護 防窺膜 鋼化膜</t>
        </is>
      </c>
      <c r="C201">
        <f>IMAGE("https://cf.shopee.tw/file/f7335b2d1d389168051503994d4b8a2b_tn")</f>
        <v/>
      </c>
      <c r="D201" t="inlineStr">
        <is>
          <t>13 pro Max,鋼化膜</t>
        </is>
      </c>
      <c r="E201" t="inlineStr">
        <is>
          <t>85244634852</t>
        </is>
      </c>
      <c r="F201">
        <f>IMAGE("https://deo.shopeemobile.com/shopee/shopee-seller-live-sg/mmf_portal_seller_root_dir/static/modules/product-list/image/default-item-model-image.2601159.png")</f>
        <v/>
      </c>
    </row>
    <row r="202">
      <c r="A202" t="inlineStr">
        <is>
          <t>9969182845</t>
        </is>
      </c>
      <c r="B202" t="inlineStr">
        <is>
          <t>隔日到貨🔥 iPhone 保護貼 17 16 15 14 13 12 11 螢幕貼 滿版玻璃 螢幕保護 防窺膜 鋼化膜</t>
        </is>
      </c>
      <c r="C202">
        <f>IMAGE("https://cf.shopee.tw/file/f7335b2d1d389168051503994d4b8a2b_tn")</f>
        <v/>
      </c>
      <c r="D202" t="inlineStr">
        <is>
          <t>13 pro Max,防窺膜</t>
        </is>
      </c>
      <c r="E202" t="inlineStr">
        <is>
          <t>85244634851</t>
        </is>
      </c>
      <c r="F202">
        <f>IMAGE("https://deo.shopeemobile.com/shopee/shopee-seller-live-sg/mmf_portal_seller_root_dir/static/modules/product-list/image/default-item-model-image.2601159.png")</f>
        <v/>
      </c>
    </row>
    <row r="203">
      <c r="A203" t="inlineStr">
        <is>
          <t>9969182845</t>
        </is>
      </c>
      <c r="B203" t="inlineStr">
        <is>
          <t>隔日到貨🔥 iPhone 保護貼 17 16 15 14 13 12 11 螢幕貼 滿版玻璃 螢幕保護 防窺膜 鋼化膜</t>
        </is>
      </c>
      <c r="C203">
        <f>IMAGE("https://cf.shopee.tw/file/f7335b2d1d389168051503994d4b8a2b_tn")</f>
        <v/>
      </c>
      <c r="D203" t="inlineStr">
        <is>
          <t>13 mini,鋼化膜</t>
        </is>
      </c>
      <c r="E203" t="inlineStr">
        <is>
          <t>231785149791</t>
        </is>
      </c>
      <c r="F203">
        <f>IMAGE("https://deo.shopeemobile.com/shopee/shopee-seller-live-sg/mmf_portal_seller_root_dir/static/modules/product-list/image/default-item-model-image.2601159.png")</f>
        <v/>
      </c>
    </row>
    <row r="204">
      <c r="A204" t="inlineStr">
        <is>
          <t>9969182845</t>
        </is>
      </c>
      <c r="B204" t="inlineStr">
        <is>
          <t>隔日到貨🔥 iPhone 保護貼 17 16 15 14 13 12 11 螢幕貼 滿版玻璃 螢幕保護 防窺膜 鋼化膜</t>
        </is>
      </c>
      <c r="C204">
        <f>IMAGE("https://cf.shopee.tw/file/f7335b2d1d389168051503994d4b8a2b_tn")</f>
        <v/>
      </c>
      <c r="D204" t="inlineStr">
        <is>
          <t>13 mini,防窺膜</t>
        </is>
      </c>
      <c r="E204" t="inlineStr">
        <is>
          <t>231785149790</t>
        </is>
      </c>
      <c r="F204">
        <f>IMAGE("https://deo.shopeemobile.com/shopee/shopee-seller-live-sg/mmf_portal_seller_root_dir/static/modules/product-list/image/default-item-model-image.2601159.png")</f>
        <v/>
      </c>
    </row>
    <row r="205">
      <c r="A205" t="inlineStr">
        <is>
          <t>9969182845</t>
        </is>
      </c>
      <c r="B205" t="inlineStr">
        <is>
          <t>隔日到貨🔥 iPhone 保護貼 17 16 15 14 13 12 11 螢幕貼 滿版玻璃 螢幕保護 防窺膜 鋼化膜</t>
        </is>
      </c>
      <c r="C205">
        <f>IMAGE("https://cf.shopee.tw/file/f7335b2d1d389168051503994d4b8a2b_tn")</f>
        <v/>
      </c>
      <c r="D205" t="inlineStr">
        <is>
          <t>14,鋼化膜</t>
        </is>
      </c>
      <c r="E205" t="inlineStr">
        <is>
          <t>49115831825</t>
        </is>
      </c>
      <c r="F205">
        <f>IMAGE("https://deo.shopeemobile.com/shopee/shopee-seller-live-sg/mmf_portal_seller_root_dir/static/modules/product-list/image/default-item-model-image.2601159.png")</f>
        <v/>
      </c>
    </row>
    <row r="206">
      <c r="A206" t="inlineStr">
        <is>
          <t>9969182845</t>
        </is>
      </c>
      <c r="B206" t="inlineStr">
        <is>
          <t>隔日到貨🔥 iPhone 保護貼 17 16 15 14 13 12 11 螢幕貼 滿版玻璃 螢幕保護 防窺膜 鋼化膜</t>
        </is>
      </c>
      <c r="C206">
        <f>IMAGE("https://cf.shopee.tw/file/f7335b2d1d389168051503994d4b8a2b_tn")</f>
        <v/>
      </c>
      <c r="D206" t="inlineStr">
        <is>
          <t>14,防窺膜</t>
        </is>
      </c>
      <c r="E206" t="inlineStr">
        <is>
          <t>49115831829</t>
        </is>
      </c>
      <c r="F206">
        <f>IMAGE("https://deo.shopeemobile.com/shopee/shopee-seller-live-sg/mmf_portal_seller_root_dir/static/modules/product-list/image/default-item-model-image.2601159.png")</f>
        <v/>
      </c>
    </row>
    <row r="207">
      <c r="A207" t="inlineStr">
        <is>
          <t>9969182845</t>
        </is>
      </c>
      <c r="B207" t="inlineStr">
        <is>
          <t>隔日到貨🔥 iPhone 保護貼 17 16 15 14 13 12 11 螢幕貼 滿版玻璃 螢幕保護 防窺膜 鋼化膜</t>
        </is>
      </c>
      <c r="C207">
        <f>IMAGE("https://cf.shopee.tw/file/f7335b2d1d389168051503994d4b8a2b_tn")</f>
        <v/>
      </c>
      <c r="D207" t="inlineStr">
        <is>
          <t>14 pro,鋼化膜</t>
        </is>
      </c>
      <c r="E207" t="inlineStr">
        <is>
          <t>49115831828</t>
        </is>
      </c>
      <c r="F207">
        <f>IMAGE("https://deo.shopeemobile.com/shopee/shopee-seller-live-sg/mmf_portal_seller_root_dir/static/modules/product-list/image/default-item-model-image.2601159.png")</f>
        <v/>
      </c>
    </row>
    <row r="208">
      <c r="A208" t="inlineStr">
        <is>
          <t>9969182845</t>
        </is>
      </c>
      <c r="B208" t="inlineStr">
        <is>
          <t>隔日到貨🔥 iPhone 保護貼 17 16 15 14 13 12 11 螢幕貼 滿版玻璃 螢幕保護 防窺膜 鋼化膜</t>
        </is>
      </c>
      <c r="C208">
        <f>IMAGE("https://cf.shopee.tw/file/f7335b2d1d389168051503994d4b8a2b_tn")</f>
        <v/>
      </c>
      <c r="D208" t="inlineStr">
        <is>
          <t>14 pro,防窺膜</t>
        </is>
      </c>
      <c r="E208" t="inlineStr">
        <is>
          <t>49115831827</t>
        </is>
      </c>
      <c r="F208">
        <f>IMAGE("https://deo.shopeemobile.com/shopee/shopee-seller-live-sg/mmf_portal_seller_root_dir/static/modules/product-list/image/default-item-model-image.2601159.png")</f>
        <v/>
      </c>
    </row>
    <row r="209">
      <c r="A209" t="inlineStr">
        <is>
          <t>9969182845</t>
        </is>
      </c>
      <c r="B209" t="inlineStr">
        <is>
          <t>隔日到貨🔥 iPhone 保護貼 17 16 15 14 13 12 11 螢幕貼 滿版玻璃 螢幕保護 防窺膜 鋼化膜</t>
        </is>
      </c>
      <c r="C209">
        <f>IMAGE("https://cf.shopee.tw/file/f7335b2d1d389168051503994d4b8a2b_tn")</f>
        <v/>
      </c>
      <c r="D209" t="inlineStr">
        <is>
          <t>14 Plus,鋼化膜</t>
        </is>
      </c>
      <c r="E209" t="inlineStr">
        <is>
          <t>49115831830</t>
        </is>
      </c>
      <c r="F209">
        <f>IMAGE("https://deo.shopeemobile.com/shopee/shopee-seller-live-sg/mmf_portal_seller_root_dir/static/modules/product-list/image/default-item-model-image.2601159.png")</f>
        <v/>
      </c>
    </row>
    <row r="210">
      <c r="A210" t="inlineStr">
        <is>
          <t>9969182845</t>
        </is>
      </c>
      <c r="B210" t="inlineStr">
        <is>
          <t>隔日到貨🔥 iPhone 保護貼 17 16 15 14 13 12 11 螢幕貼 滿版玻璃 螢幕保護 防窺膜 鋼化膜</t>
        </is>
      </c>
      <c r="C210">
        <f>IMAGE("https://cf.shopee.tw/file/f7335b2d1d389168051503994d4b8a2b_tn")</f>
        <v/>
      </c>
      <c r="D210" t="inlineStr">
        <is>
          <t>14 Plus,防窺膜</t>
        </is>
      </c>
      <c r="E210" t="inlineStr">
        <is>
          <t>49115831826</t>
        </is>
      </c>
      <c r="F210">
        <f>IMAGE("https://deo.shopeemobile.com/shopee/shopee-seller-live-sg/mmf_portal_seller_root_dir/static/modules/product-list/image/default-item-model-image.2601159.png")</f>
        <v/>
      </c>
    </row>
    <row r="211">
      <c r="A211" t="inlineStr">
        <is>
          <t>9969182845</t>
        </is>
      </c>
      <c r="B211" t="inlineStr">
        <is>
          <t>隔日到貨🔥 iPhone 保護貼 17 16 15 14 13 12 11 螢幕貼 滿版玻璃 螢幕保護 防窺膜 鋼化膜</t>
        </is>
      </c>
      <c r="C211">
        <f>IMAGE("https://cf.shopee.tw/file/f7335b2d1d389168051503994d4b8a2b_tn")</f>
        <v/>
      </c>
      <c r="D211" t="inlineStr">
        <is>
          <t>14 pro Max,鋼化膜</t>
        </is>
      </c>
      <c r="E211" t="inlineStr">
        <is>
          <t>49115831823</t>
        </is>
      </c>
      <c r="F211">
        <f>IMAGE("https://deo.shopeemobile.com/shopee/shopee-seller-live-sg/mmf_portal_seller_root_dir/static/modules/product-list/image/default-item-model-image.2601159.png")</f>
        <v/>
      </c>
    </row>
    <row r="212">
      <c r="A212" t="inlineStr">
        <is>
          <t>9969182845</t>
        </is>
      </c>
      <c r="B212" t="inlineStr">
        <is>
          <t>隔日到貨🔥 iPhone 保護貼 17 16 15 14 13 12 11 螢幕貼 滿版玻璃 螢幕保護 防窺膜 鋼化膜</t>
        </is>
      </c>
      <c r="C212">
        <f>IMAGE("https://cf.shopee.tw/file/f7335b2d1d389168051503994d4b8a2b_tn")</f>
        <v/>
      </c>
      <c r="D212" t="inlineStr">
        <is>
          <t>14 pro Max,防窺膜</t>
        </is>
      </c>
      <c r="E212" t="inlineStr">
        <is>
          <t>49115831824</t>
        </is>
      </c>
      <c r="F212">
        <f>IMAGE("https://deo.shopeemobile.com/shopee/shopee-seller-live-sg/mmf_portal_seller_root_dir/static/modules/product-list/image/default-item-model-image.2601159.png")</f>
        <v/>
      </c>
    </row>
    <row r="213">
      <c r="A213" t="inlineStr">
        <is>
          <t>9969182845</t>
        </is>
      </c>
      <c r="B213" t="inlineStr">
        <is>
          <t>隔日到貨🔥 iPhone 保護貼 17 16 15 14 13 12 11 螢幕貼 滿版玻璃 螢幕保護 防窺膜 鋼化膜</t>
        </is>
      </c>
      <c r="C213">
        <f>IMAGE("https://cf.shopee.tw/file/f7335b2d1d389168051503994d4b8a2b_tn")</f>
        <v/>
      </c>
      <c r="D213" t="inlineStr">
        <is>
          <t>15,鋼化膜</t>
        </is>
      </c>
      <c r="E213" t="inlineStr">
        <is>
          <t>225663623049</t>
        </is>
      </c>
      <c r="F213">
        <f>IMAGE("https://deo.shopeemobile.com/shopee/shopee-seller-live-sg/mmf_portal_seller_root_dir/static/modules/product-list/image/default-item-model-image.2601159.png")</f>
        <v/>
      </c>
    </row>
    <row r="214">
      <c r="A214" t="inlineStr">
        <is>
          <t>9969182845</t>
        </is>
      </c>
      <c r="B214" t="inlineStr">
        <is>
          <t>隔日到貨🔥 iPhone 保護貼 17 16 15 14 13 12 11 螢幕貼 滿版玻璃 螢幕保護 防窺膜 鋼化膜</t>
        </is>
      </c>
      <c r="C214">
        <f>IMAGE("https://cf.shopee.tw/file/f7335b2d1d389168051503994d4b8a2b_tn")</f>
        <v/>
      </c>
      <c r="D214" t="inlineStr">
        <is>
          <t>15,防窺膜</t>
        </is>
      </c>
      <c r="E214" t="inlineStr">
        <is>
          <t>225663623050</t>
        </is>
      </c>
      <c r="F214">
        <f>IMAGE("https://deo.shopeemobile.com/shopee/shopee-seller-live-sg/mmf_portal_seller_root_dir/static/modules/product-list/image/default-item-model-image.2601159.png")</f>
        <v/>
      </c>
    </row>
    <row r="215">
      <c r="A215" t="inlineStr">
        <is>
          <t>9969182845</t>
        </is>
      </c>
      <c r="B215" t="inlineStr">
        <is>
          <t>隔日到貨🔥 iPhone 保護貼 17 16 15 14 13 12 11 螢幕貼 滿版玻璃 螢幕保護 防窺膜 鋼化膜</t>
        </is>
      </c>
      <c r="C215">
        <f>IMAGE("https://cf.shopee.tw/file/f7335b2d1d389168051503994d4b8a2b_tn")</f>
        <v/>
      </c>
      <c r="D215" t="inlineStr">
        <is>
          <t>15 pro,鋼化膜</t>
        </is>
      </c>
      <c r="E215" t="inlineStr">
        <is>
          <t>225663623046</t>
        </is>
      </c>
      <c r="F215">
        <f>IMAGE("https://deo.shopeemobile.com/shopee/shopee-seller-live-sg/mmf_portal_seller_root_dir/static/modules/product-list/image/default-item-model-image.2601159.png")</f>
        <v/>
      </c>
    </row>
    <row r="216">
      <c r="A216" t="inlineStr">
        <is>
          <t>9969182845</t>
        </is>
      </c>
      <c r="B216" t="inlineStr">
        <is>
          <t>隔日到貨🔥 iPhone 保護貼 17 16 15 14 13 12 11 螢幕貼 滿版玻璃 螢幕保護 防窺膜 鋼化膜</t>
        </is>
      </c>
      <c r="C216">
        <f>IMAGE("https://cf.shopee.tw/file/f7335b2d1d389168051503994d4b8a2b_tn")</f>
        <v/>
      </c>
      <c r="D216" t="inlineStr">
        <is>
          <t>15 pro,防窺膜</t>
        </is>
      </c>
      <c r="E216" t="inlineStr">
        <is>
          <t>225663623048</t>
        </is>
      </c>
      <c r="F216">
        <f>IMAGE("https://deo.shopeemobile.com/shopee/shopee-seller-live-sg/mmf_portal_seller_root_dir/static/modules/product-list/image/default-item-model-image.2601159.png")</f>
        <v/>
      </c>
    </row>
    <row r="217">
      <c r="A217" t="inlineStr">
        <is>
          <t>9969182845</t>
        </is>
      </c>
      <c r="B217" t="inlineStr">
        <is>
          <t>隔日到貨🔥 iPhone 保護貼 17 16 15 14 13 12 11 螢幕貼 滿版玻璃 螢幕保護 防窺膜 鋼化膜</t>
        </is>
      </c>
      <c r="C217">
        <f>IMAGE("https://cf.shopee.tw/file/f7335b2d1d389168051503994d4b8a2b_tn")</f>
        <v/>
      </c>
      <c r="D217" t="inlineStr">
        <is>
          <t>15 Plus,鋼化膜</t>
        </is>
      </c>
      <c r="E217" t="inlineStr">
        <is>
          <t>225663623051</t>
        </is>
      </c>
      <c r="F217">
        <f>IMAGE("https://deo.shopeemobile.com/shopee/shopee-seller-live-sg/mmf_portal_seller_root_dir/static/modules/product-list/image/default-item-model-image.2601159.png")</f>
        <v/>
      </c>
    </row>
    <row r="218">
      <c r="A218" t="inlineStr">
        <is>
          <t>9969182845</t>
        </is>
      </c>
      <c r="B218" t="inlineStr">
        <is>
          <t>隔日到貨🔥 iPhone 保護貼 17 16 15 14 13 12 11 螢幕貼 滿版玻璃 螢幕保護 防窺膜 鋼化膜</t>
        </is>
      </c>
      <c r="C218">
        <f>IMAGE("https://cf.shopee.tw/file/f7335b2d1d389168051503994d4b8a2b_tn")</f>
        <v/>
      </c>
      <c r="D218" t="inlineStr">
        <is>
          <t>15 Plus,防窺膜</t>
        </is>
      </c>
      <c r="E218" t="inlineStr">
        <is>
          <t>225663623044</t>
        </is>
      </c>
      <c r="F218">
        <f>IMAGE("https://deo.shopeemobile.com/shopee/shopee-seller-live-sg/mmf_portal_seller_root_dir/static/modules/product-list/image/default-item-model-image.2601159.png")</f>
        <v/>
      </c>
    </row>
    <row r="219">
      <c r="A219" t="inlineStr">
        <is>
          <t>9969182845</t>
        </is>
      </c>
      <c r="B219" t="inlineStr">
        <is>
          <t>隔日到貨🔥 iPhone 保護貼 17 16 15 14 13 12 11 螢幕貼 滿版玻璃 螢幕保護 防窺膜 鋼化膜</t>
        </is>
      </c>
      <c r="C219">
        <f>IMAGE("https://cf.shopee.tw/file/f7335b2d1d389168051503994d4b8a2b_tn")</f>
        <v/>
      </c>
      <c r="D219" t="inlineStr">
        <is>
          <t>15 pro Max,鋼化膜</t>
        </is>
      </c>
      <c r="E219" t="inlineStr">
        <is>
          <t>225663623045</t>
        </is>
      </c>
      <c r="F219">
        <f>IMAGE("https://deo.shopeemobile.com/shopee/shopee-seller-live-sg/mmf_portal_seller_root_dir/static/modules/product-list/image/default-item-model-image.2601159.png")</f>
        <v/>
      </c>
    </row>
    <row r="220">
      <c r="A220" t="inlineStr">
        <is>
          <t>9969182845</t>
        </is>
      </c>
      <c r="B220" t="inlineStr">
        <is>
          <t>隔日到貨🔥 iPhone 保護貼 17 16 15 14 13 12 11 螢幕貼 滿版玻璃 螢幕保護 防窺膜 鋼化膜</t>
        </is>
      </c>
      <c r="C220">
        <f>IMAGE("https://cf.shopee.tw/file/f7335b2d1d389168051503994d4b8a2b_tn")</f>
        <v/>
      </c>
      <c r="D220" t="inlineStr">
        <is>
          <t>15 pro Max,防窺膜</t>
        </is>
      </c>
      <c r="E220" t="inlineStr">
        <is>
          <t>225663623047</t>
        </is>
      </c>
      <c r="F220">
        <f>IMAGE("https://deo.shopeemobile.com/shopee/shopee-seller-live-sg/mmf_portal_seller_root_dir/static/modules/product-list/image/default-item-model-image.2601159.png")</f>
        <v/>
      </c>
    </row>
    <row r="221">
      <c r="A221" t="inlineStr">
        <is>
          <t>9969182845</t>
        </is>
      </c>
      <c r="B221" t="inlineStr">
        <is>
          <t>隔日到貨🔥 iPhone 保護貼 17 16 15 14 13 12 11 螢幕貼 滿版玻璃 螢幕保護 防窺膜 鋼化膜</t>
        </is>
      </c>
      <c r="C221">
        <f>IMAGE("https://cf.shopee.tw/file/f7335b2d1d389168051503994d4b8a2b_tn")</f>
        <v/>
      </c>
      <c r="D221" t="inlineStr">
        <is>
          <t>16,鋼化膜</t>
        </is>
      </c>
      <c r="E221" t="inlineStr">
        <is>
          <t>166628838837</t>
        </is>
      </c>
      <c r="F221">
        <f>IMAGE("https://deo.shopeemobile.com/shopee/shopee-seller-live-sg/mmf_portal_seller_root_dir/static/modules/product-list/image/default-item-model-image.2601159.png")</f>
        <v/>
      </c>
    </row>
    <row r="222">
      <c r="A222" t="inlineStr">
        <is>
          <t>9969182845</t>
        </is>
      </c>
      <c r="B222" t="inlineStr">
        <is>
          <t>隔日到貨🔥 iPhone 保護貼 17 16 15 14 13 12 11 螢幕貼 滿版玻璃 螢幕保護 防窺膜 鋼化膜</t>
        </is>
      </c>
      <c r="C222">
        <f>IMAGE("https://cf.shopee.tw/file/f7335b2d1d389168051503994d4b8a2b_tn")</f>
        <v/>
      </c>
      <c r="D222" t="inlineStr">
        <is>
          <t>16,防窺膜</t>
        </is>
      </c>
      <c r="E222" t="inlineStr">
        <is>
          <t>166628838838</t>
        </is>
      </c>
      <c r="F222">
        <f>IMAGE("https://deo.shopeemobile.com/shopee/shopee-seller-live-sg/mmf_portal_seller_root_dir/static/modules/product-list/image/default-item-model-image.2601159.png")</f>
        <v/>
      </c>
    </row>
    <row r="223">
      <c r="A223" t="inlineStr">
        <is>
          <t>9969182845</t>
        </is>
      </c>
      <c r="B223" t="inlineStr">
        <is>
          <t>隔日到貨🔥 iPhone 保護貼 17 16 15 14 13 12 11 螢幕貼 滿版玻璃 螢幕保護 防窺膜 鋼化膜</t>
        </is>
      </c>
      <c r="C223">
        <f>IMAGE("https://cf.shopee.tw/file/f7335b2d1d389168051503994d4b8a2b_tn")</f>
        <v/>
      </c>
      <c r="D223" t="inlineStr">
        <is>
          <t>16 pro / 17,鋼化膜</t>
        </is>
      </c>
      <c r="E223" t="inlineStr">
        <is>
          <t>166628838839</t>
        </is>
      </c>
      <c r="F223">
        <f>IMAGE("https://deo.shopeemobile.com/shopee/shopee-seller-live-sg/mmf_portal_seller_root_dir/static/modules/product-list/image/default-item-model-image.2601159.png")</f>
        <v/>
      </c>
    </row>
    <row r="224">
      <c r="A224" t="inlineStr">
        <is>
          <t>9969182845</t>
        </is>
      </c>
      <c r="B224" t="inlineStr">
        <is>
          <t>隔日到貨🔥 iPhone 保護貼 17 16 15 14 13 12 11 螢幕貼 滿版玻璃 螢幕保護 防窺膜 鋼化膜</t>
        </is>
      </c>
      <c r="C224">
        <f>IMAGE("https://cf.shopee.tw/file/f7335b2d1d389168051503994d4b8a2b_tn")</f>
        <v/>
      </c>
      <c r="D224" t="inlineStr">
        <is>
          <t>16 pro / 17,防窺膜</t>
        </is>
      </c>
      <c r="E224" t="inlineStr">
        <is>
          <t>166628838840</t>
        </is>
      </c>
      <c r="F224">
        <f>IMAGE("https://deo.shopeemobile.com/shopee/shopee-seller-live-sg/mmf_portal_seller_root_dir/static/modules/product-list/image/default-item-model-image.2601159.png")</f>
        <v/>
      </c>
    </row>
    <row r="225">
      <c r="A225" t="inlineStr">
        <is>
          <t>9969182845</t>
        </is>
      </c>
      <c r="B225" t="inlineStr">
        <is>
          <t>隔日到貨🔥 iPhone 保護貼 17 16 15 14 13 12 11 螢幕貼 滿版玻璃 螢幕保護 防窺膜 鋼化膜</t>
        </is>
      </c>
      <c r="C225">
        <f>IMAGE("https://cf.shopee.tw/file/f7335b2d1d389168051503994d4b8a2b_tn")</f>
        <v/>
      </c>
      <c r="D225" t="inlineStr">
        <is>
          <t>16 Plus,鋼化膜</t>
        </is>
      </c>
      <c r="E225" t="inlineStr">
        <is>
          <t>166628838841</t>
        </is>
      </c>
      <c r="F225">
        <f>IMAGE("https://deo.shopeemobile.com/shopee/shopee-seller-live-sg/mmf_portal_seller_root_dir/static/modules/product-list/image/default-item-model-image.2601159.png")</f>
        <v/>
      </c>
    </row>
    <row r="226">
      <c r="A226" t="inlineStr">
        <is>
          <t>9969182845</t>
        </is>
      </c>
      <c r="B226" t="inlineStr">
        <is>
          <t>隔日到貨🔥 iPhone 保護貼 17 16 15 14 13 12 11 螢幕貼 滿版玻璃 螢幕保護 防窺膜 鋼化膜</t>
        </is>
      </c>
      <c r="C226">
        <f>IMAGE("https://cf.shopee.tw/file/f7335b2d1d389168051503994d4b8a2b_tn")</f>
        <v/>
      </c>
      <c r="D226" t="inlineStr">
        <is>
          <t>16 Plus,防窺膜</t>
        </is>
      </c>
      <c r="E226" t="inlineStr">
        <is>
          <t>168364161204</t>
        </is>
      </c>
      <c r="F226">
        <f>IMAGE("https://deo.shopeemobile.com/shopee/shopee-seller-live-sg/mmf_portal_seller_root_dir/static/modules/product-list/image/default-item-model-image.2601159.png")</f>
        <v/>
      </c>
    </row>
    <row r="227">
      <c r="A227" t="inlineStr">
        <is>
          <t>9969182845</t>
        </is>
      </c>
      <c r="B227" t="inlineStr">
        <is>
          <t>隔日到貨🔥 iPhone 保護貼 17 16 15 14 13 12 11 螢幕貼 滿版玻璃 螢幕保護 防窺膜 鋼化膜</t>
        </is>
      </c>
      <c r="C227">
        <f>IMAGE("https://cf.shopee.tw/file/f7335b2d1d389168051503994d4b8a2b_tn")</f>
        <v/>
      </c>
      <c r="D227" t="inlineStr">
        <is>
          <t>16 pro Max,鋼化膜</t>
        </is>
      </c>
      <c r="E227" t="inlineStr">
        <is>
          <t>168364161205</t>
        </is>
      </c>
      <c r="F227">
        <f>IMAGE("https://deo.shopeemobile.com/shopee/shopee-seller-live-sg/mmf_portal_seller_root_dir/static/modules/product-list/image/default-item-model-image.2601159.png")</f>
        <v/>
      </c>
    </row>
    <row r="228">
      <c r="A228" t="inlineStr">
        <is>
          <t>9969182845</t>
        </is>
      </c>
      <c r="B228" t="inlineStr">
        <is>
          <t>隔日到貨🔥 iPhone 保護貼 17 16 15 14 13 12 11 螢幕貼 滿版玻璃 螢幕保護 防窺膜 鋼化膜</t>
        </is>
      </c>
      <c r="C228">
        <f>IMAGE("https://cf.shopee.tw/file/f7335b2d1d389168051503994d4b8a2b_tn")</f>
        <v/>
      </c>
      <c r="D228" t="inlineStr">
        <is>
          <t>16 pro Max,防窺膜</t>
        </is>
      </c>
      <c r="E228" t="inlineStr">
        <is>
          <t>119238373126</t>
        </is>
      </c>
      <c r="F228">
        <f>IMAGE("https://deo.shopeemobile.com/shopee/shopee-seller-live-sg/mmf_portal_seller_root_dir/static/modules/product-list/image/default-item-model-image.2601159.png")</f>
        <v/>
      </c>
    </row>
    <row r="229">
      <c r="A229" t="inlineStr">
        <is>
          <t>9969182845</t>
        </is>
      </c>
      <c r="B229" t="inlineStr">
        <is>
          <t>隔日到貨🔥 iPhone 保護貼 17 16 15 14 13 12 11 螢幕貼 滿版玻璃 螢幕保護 防窺膜 鋼化膜</t>
        </is>
      </c>
      <c r="C229">
        <f>IMAGE("https://cf.shopee.tw/file/f7335b2d1d389168051503994d4b8a2b_tn")</f>
        <v/>
      </c>
      <c r="D229" t="inlineStr">
        <is>
          <t>17 pro,鋼化膜</t>
        </is>
      </c>
      <c r="E229" t="inlineStr">
        <is>
          <t>276970479139</t>
        </is>
      </c>
      <c r="F229">
        <f>IMAGE("https://deo.shopeemobile.com/shopee/shopee-seller-live-sg/mmf_portal_seller_root_dir/static/modules/product-list/image/default-item-model-image.2601159.png")</f>
        <v/>
      </c>
    </row>
    <row r="230">
      <c r="A230" t="inlineStr">
        <is>
          <t>9969182845</t>
        </is>
      </c>
      <c r="B230" t="inlineStr">
        <is>
          <t>隔日到貨🔥 iPhone 保護貼 17 16 15 14 13 12 11 螢幕貼 滿版玻璃 螢幕保護 防窺膜 鋼化膜</t>
        </is>
      </c>
      <c r="C230">
        <f>IMAGE("https://cf.shopee.tw/file/f7335b2d1d389168051503994d4b8a2b_tn")</f>
        <v/>
      </c>
      <c r="D230" t="inlineStr">
        <is>
          <t>17 pro,防窺膜</t>
        </is>
      </c>
      <c r="E230" t="inlineStr">
        <is>
          <t>276970479140</t>
        </is>
      </c>
      <c r="F230">
        <f>IMAGE("https://deo.shopeemobile.com/shopee/shopee-seller-live-sg/mmf_portal_seller_root_dir/static/modules/product-list/image/default-item-model-image.2601159.png")</f>
        <v/>
      </c>
    </row>
    <row r="231">
      <c r="A231" t="inlineStr">
        <is>
          <t>9969182845</t>
        </is>
      </c>
      <c r="B231" t="inlineStr">
        <is>
          <t>隔日到貨🔥 iPhone 保護貼 17 16 15 14 13 12 11 螢幕貼 滿版玻璃 螢幕保護 防窺膜 鋼化膜</t>
        </is>
      </c>
      <c r="C231">
        <f>IMAGE("https://cf.shopee.tw/file/f7335b2d1d389168051503994d4b8a2b_tn")</f>
        <v/>
      </c>
      <c r="D231" t="inlineStr">
        <is>
          <t>17 pro Max,鋼化膜</t>
        </is>
      </c>
      <c r="E231" t="inlineStr">
        <is>
          <t>276970479141</t>
        </is>
      </c>
      <c r="F231">
        <f>IMAGE("https://deo.shopeemobile.com/shopee/shopee-seller-live-sg/mmf_portal_seller_root_dir/static/modules/product-list/image/default-item-model-image.2601159.png")</f>
        <v/>
      </c>
    </row>
    <row r="232">
      <c r="A232" t="inlineStr">
        <is>
          <t>9969182845</t>
        </is>
      </c>
      <c r="B232" t="inlineStr">
        <is>
          <t>隔日到貨🔥 iPhone 保護貼 17 16 15 14 13 12 11 螢幕貼 滿版玻璃 螢幕保護 防窺膜 鋼化膜</t>
        </is>
      </c>
      <c r="C232">
        <f>IMAGE("https://cf.shopee.tw/file/f7335b2d1d389168051503994d4b8a2b_tn")</f>
        <v/>
      </c>
      <c r="D232" t="inlineStr">
        <is>
          <t>17 pro Max,防窺膜</t>
        </is>
      </c>
      <c r="E232" t="inlineStr">
        <is>
          <t>276970479142</t>
        </is>
      </c>
      <c r="F232">
        <f>IMAGE("https://deo.shopeemobile.com/shopee/shopee-seller-live-sg/mmf_portal_seller_root_dir/static/modules/product-list/image/default-item-model-image.2601159.png")</f>
        <v/>
      </c>
    </row>
    <row r="233">
      <c r="A233" t="inlineStr">
        <is>
          <t>9969182845</t>
        </is>
      </c>
      <c r="B233" t="inlineStr">
        <is>
          <t>隔日到貨🔥 iPhone 保護貼 17 16 15 14 13 12 11 螢幕貼 滿版玻璃 螢幕保護 防窺膜 鋼化膜</t>
        </is>
      </c>
      <c r="C233">
        <f>IMAGE("https://cf.shopee.tw/file/f7335b2d1d389168051503994d4b8a2b_tn")</f>
        <v/>
      </c>
      <c r="D233" t="inlineStr">
        <is>
          <t>17 Air,鋼化膜</t>
        </is>
      </c>
      <c r="E233" t="inlineStr"/>
      <c r="F233">
        <f>IMAGE("https://deo.shopeemobile.com/shopee/shopee-seller-live-sg/mmf_portal_seller_root_dir/static/modules/product-list/image/default-item-model-image.2601159.png")</f>
        <v/>
      </c>
    </row>
    <row r="234">
      <c r="A234" t="inlineStr">
        <is>
          <t>9969182845</t>
        </is>
      </c>
      <c r="B234" t="inlineStr">
        <is>
          <t>隔日到貨🔥 iPhone 保護貼 17 16 15 14 13 12 11 螢幕貼 滿版玻璃 螢幕保護 防窺膜 鋼化膜</t>
        </is>
      </c>
      <c r="C234">
        <f>IMAGE("https://cf.shopee.tw/file/f7335b2d1d389168051503994d4b8a2b_tn")</f>
        <v/>
      </c>
      <c r="D234" t="inlineStr">
        <is>
          <t>17 Air,防窺膜</t>
        </is>
      </c>
      <c r="E234" t="inlineStr"/>
      <c r="F234">
        <f>IMAGE("https://deo.shopeemobile.com/shopee/shopee-seller-live-sg/mmf_portal_seller_root_dir/static/modules/product-list/image/default-item-model-image.2601159.png")</f>
        <v/>
      </c>
    </row>
    <row r="235">
      <c r="A235" t="inlineStr">
        <is>
          <t>9159438193</t>
        </is>
      </c>
      <c r="B235" t="inlineStr">
        <is>
          <t>隔日到貨🔥 ins風 手機氣囊 多功能指環扣 伸縮折疊 立體氣囊 手機架 適合各手機 氣囊 黏貼式 懶人氣囊</t>
        </is>
      </c>
      <c r="C235">
        <f>IMAGE("https://cf.shopee.tw/file/8ac1cc4f5aa5fb76d7776690585e5175_tn")</f>
        <v/>
      </c>
      <c r="D235" t="inlineStr">
        <is>
          <t>E15</t>
        </is>
      </c>
      <c r="E235" t="inlineStr">
        <is>
          <t>92291528079</t>
        </is>
      </c>
      <c r="F235">
        <f>IMAGE("https://cf.shopee.tw/file/72fd4eb8e8202f11e88ec88eefb46e9d_tn")</f>
        <v/>
      </c>
    </row>
    <row r="236">
      <c r="A236" t="inlineStr">
        <is>
          <t>9159438193</t>
        </is>
      </c>
      <c r="B236" t="inlineStr">
        <is>
          <t>隔日到貨🔥 ins風 手機氣囊 多功能指環扣 伸縮折疊 立體氣囊 手機架 適合各手機 氣囊 黏貼式 懶人氣囊</t>
        </is>
      </c>
      <c r="C236">
        <f>IMAGE("https://cf.shopee.tw/file/8ac1cc4f5aa5fb76d7776690585e5175_tn")</f>
        <v/>
      </c>
      <c r="D236" t="inlineStr">
        <is>
          <t>c2</t>
        </is>
      </c>
      <c r="E236" t="inlineStr"/>
      <c r="F236">
        <f>IMAGE("https://cf.shopee.tw/file/6db76ecd7bedf284b85b221de57e8694_tn")</f>
        <v/>
      </c>
    </row>
    <row r="237">
      <c r="A237" t="inlineStr">
        <is>
          <t>9159438193</t>
        </is>
      </c>
      <c r="B237" t="inlineStr">
        <is>
          <t>隔日到貨🔥 ins風 手機氣囊 多功能指環扣 伸縮折疊 立體氣囊 手機架 適合各手機 氣囊 黏貼式 懶人氣囊</t>
        </is>
      </c>
      <c r="C237">
        <f>IMAGE("https://cf.shopee.tw/file/8ac1cc4f5aa5fb76d7776690585e5175_tn")</f>
        <v/>
      </c>
      <c r="D237" t="inlineStr">
        <is>
          <t>c7</t>
        </is>
      </c>
      <c r="E237" t="inlineStr"/>
      <c r="F237">
        <f>IMAGE("https://cf.shopee.tw/file/ec3af8d41f87252a03f21ddb79696aba_tn")</f>
        <v/>
      </c>
    </row>
    <row r="238">
      <c r="A238" t="inlineStr">
        <is>
          <t>9159438193</t>
        </is>
      </c>
      <c r="B238" t="inlineStr">
        <is>
          <t>隔日到貨🔥 ins風 手機氣囊 多功能指環扣 伸縮折疊 立體氣囊 手機架 適合各手機 氣囊 黏貼式 懶人氣囊</t>
        </is>
      </c>
      <c r="C238">
        <f>IMAGE("https://cf.shopee.tw/file/8ac1cc4f5aa5fb76d7776690585e5175_tn")</f>
        <v/>
      </c>
      <c r="D238" t="inlineStr">
        <is>
          <t>c8</t>
        </is>
      </c>
      <c r="E238" t="inlineStr"/>
      <c r="F238">
        <f>IMAGE("https://cf.shopee.tw/file/6817d8530d18985562186258d24522e2_tn")</f>
        <v/>
      </c>
    </row>
    <row r="239">
      <c r="A239" t="inlineStr">
        <is>
          <t>9159438193</t>
        </is>
      </c>
      <c r="B239" t="inlineStr">
        <is>
          <t>隔日到貨🔥 ins風 手機氣囊 多功能指環扣 伸縮折疊 立體氣囊 手機架 適合各手機 氣囊 黏貼式 懶人氣囊</t>
        </is>
      </c>
      <c r="C239">
        <f>IMAGE("https://cf.shopee.tw/file/8ac1cc4f5aa5fb76d7776690585e5175_tn")</f>
        <v/>
      </c>
      <c r="D239" t="inlineStr">
        <is>
          <t>c10</t>
        </is>
      </c>
      <c r="E239" t="inlineStr">
        <is>
          <t>92320578625</t>
        </is>
      </c>
      <c r="F239">
        <f>IMAGE("https://cf.shopee.tw/file/a5d34957e0dba84a3d4e074faf374c8a_tn")</f>
        <v/>
      </c>
    </row>
    <row r="240">
      <c r="A240" t="inlineStr">
        <is>
          <t>9159438193</t>
        </is>
      </c>
      <c r="B240" t="inlineStr">
        <is>
          <t>隔日到貨🔥 ins風 手機氣囊 多功能指環扣 伸縮折疊 立體氣囊 手機架 適合各手機 氣囊 黏貼式 懶人氣囊</t>
        </is>
      </c>
      <c r="C240">
        <f>IMAGE("https://cf.shopee.tw/file/8ac1cc4f5aa5fb76d7776690585e5175_tn")</f>
        <v/>
      </c>
      <c r="D240" t="inlineStr">
        <is>
          <t>c14</t>
        </is>
      </c>
      <c r="E240" t="inlineStr">
        <is>
          <t>92320578632</t>
        </is>
      </c>
      <c r="F240">
        <f>IMAGE("https://cf.shopee.tw/file/026743434f5f3441f91b6760705f99a5_tn")</f>
        <v/>
      </c>
    </row>
    <row r="241">
      <c r="A241" t="inlineStr">
        <is>
          <t>9159438193</t>
        </is>
      </c>
      <c r="B241" t="inlineStr">
        <is>
          <t>隔日到貨🔥 ins風 手機氣囊 多功能指環扣 伸縮折疊 立體氣囊 手機架 適合各手機 氣囊 黏貼式 懶人氣囊</t>
        </is>
      </c>
      <c r="C241">
        <f>IMAGE("https://cf.shopee.tw/file/8ac1cc4f5aa5fb76d7776690585e5175_tn")</f>
        <v/>
      </c>
      <c r="D241" t="inlineStr">
        <is>
          <t>c16</t>
        </is>
      </c>
      <c r="E241" t="inlineStr">
        <is>
          <t>92320578633</t>
        </is>
      </c>
      <c r="F241">
        <f>IMAGE("https://cf.shopee.tw/file/d3d5e7fc233d341ed2ca59b6f7cb35f5_tn")</f>
        <v/>
      </c>
    </row>
    <row r="242">
      <c r="A242" t="inlineStr">
        <is>
          <t>9159438193</t>
        </is>
      </c>
      <c r="B242" t="inlineStr">
        <is>
          <t>隔日到貨🔥 ins風 手機氣囊 多功能指環扣 伸縮折疊 立體氣囊 手機架 適合各手機 氣囊 黏貼式 懶人氣囊</t>
        </is>
      </c>
      <c r="C242">
        <f>IMAGE("https://cf.shopee.tw/file/8ac1cc4f5aa5fb76d7776690585e5175_tn")</f>
        <v/>
      </c>
      <c r="D242" t="inlineStr">
        <is>
          <t>c20</t>
        </is>
      </c>
      <c r="E242" t="inlineStr"/>
      <c r="F242">
        <f>IMAGE("https://cf.shopee.tw/file/e897ae87b2d3b2a8875b1ca019344e01_tn")</f>
        <v/>
      </c>
    </row>
    <row r="243">
      <c r="A243" t="inlineStr">
        <is>
          <t>9159438193</t>
        </is>
      </c>
      <c r="B243" t="inlineStr">
        <is>
          <t>隔日到貨🔥 ins風 手機氣囊 多功能指環扣 伸縮折疊 立體氣囊 手機架 適合各手機 氣囊 黏貼式 懶人氣囊</t>
        </is>
      </c>
      <c r="C243">
        <f>IMAGE("https://cf.shopee.tw/file/8ac1cc4f5aa5fb76d7776690585e5175_tn")</f>
        <v/>
      </c>
      <c r="D243" t="inlineStr">
        <is>
          <t>c22</t>
        </is>
      </c>
      <c r="E243" t="inlineStr"/>
      <c r="F243">
        <f>IMAGE("https://cf.shopee.tw/file/7f1b84bf2df5143cfa279dd78af58f47_tn")</f>
        <v/>
      </c>
    </row>
    <row r="244">
      <c r="A244" t="inlineStr">
        <is>
          <t>9159438193</t>
        </is>
      </c>
      <c r="B244" t="inlineStr">
        <is>
          <t>隔日到貨🔥 ins風 手機氣囊 多功能指環扣 伸縮折疊 立體氣囊 手機架 適合各手機 氣囊 黏貼式 懶人氣囊</t>
        </is>
      </c>
      <c r="C244">
        <f>IMAGE("https://cf.shopee.tw/file/8ac1cc4f5aa5fb76d7776690585e5175_tn")</f>
        <v/>
      </c>
      <c r="D244" t="inlineStr">
        <is>
          <t>E01</t>
        </is>
      </c>
      <c r="E244" t="inlineStr">
        <is>
          <t>92291528080</t>
        </is>
      </c>
      <c r="F244">
        <f>IMAGE("https://cf.shopee.tw/file/945b56e584ee680c62228488eb8a1b79_tn")</f>
        <v/>
      </c>
    </row>
    <row r="245">
      <c r="A245" t="inlineStr">
        <is>
          <t>9159438193</t>
        </is>
      </c>
      <c r="B245" t="inlineStr">
        <is>
          <t>隔日到貨🔥 ins風 手機氣囊 多功能指環扣 伸縮折疊 立體氣囊 手機架 適合各手機 氣囊 黏貼式 懶人氣囊</t>
        </is>
      </c>
      <c r="C245">
        <f>IMAGE("https://cf.shopee.tw/file/8ac1cc4f5aa5fb76d7776690585e5175_tn")</f>
        <v/>
      </c>
      <c r="D245" t="inlineStr">
        <is>
          <t>E02</t>
        </is>
      </c>
      <c r="E245" t="inlineStr">
        <is>
          <t>92291528086</t>
        </is>
      </c>
      <c r="F245">
        <f>IMAGE("https://cf.shopee.tw/file/dd82d41ca5050b97ccb7126d292e9f6d_tn")</f>
        <v/>
      </c>
    </row>
    <row r="246">
      <c r="A246" t="inlineStr">
        <is>
          <t>9159438193</t>
        </is>
      </c>
      <c r="B246" t="inlineStr">
        <is>
          <t>隔日到貨🔥 ins風 手機氣囊 多功能指環扣 伸縮折疊 立體氣囊 手機架 適合各手機 氣囊 黏貼式 懶人氣囊</t>
        </is>
      </c>
      <c r="C246">
        <f>IMAGE("https://cf.shopee.tw/file/8ac1cc4f5aa5fb76d7776690585e5175_tn")</f>
        <v/>
      </c>
      <c r="D246" t="inlineStr">
        <is>
          <t>E03</t>
        </is>
      </c>
      <c r="E246" t="inlineStr">
        <is>
          <t>92291528087</t>
        </is>
      </c>
      <c r="F246">
        <f>IMAGE("https://cf.shopee.tw/file/b1345491ad74637b64ea78d905c9bb33_tn")</f>
        <v/>
      </c>
    </row>
    <row r="247">
      <c r="A247" t="inlineStr">
        <is>
          <t>9159438193</t>
        </is>
      </c>
      <c r="B247" t="inlineStr">
        <is>
          <t>隔日到貨🔥 ins風 手機氣囊 多功能指環扣 伸縮折疊 立體氣囊 手機架 適合各手機 氣囊 黏貼式 懶人氣囊</t>
        </is>
      </c>
      <c r="C247">
        <f>IMAGE("https://cf.shopee.tw/file/8ac1cc4f5aa5fb76d7776690585e5175_tn")</f>
        <v/>
      </c>
      <c r="D247" t="inlineStr">
        <is>
          <t>E04</t>
        </is>
      </c>
      <c r="E247" t="inlineStr">
        <is>
          <t>92291528081</t>
        </is>
      </c>
      <c r="F247">
        <f>IMAGE("https://cf.shopee.tw/file/e367b6b95f76de06d6e8fa071c69d498_tn")</f>
        <v/>
      </c>
    </row>
    <row r="248">
      <c r="A248" t="inlineStr">
        <is>
          <t>9159438193</t>
        </is>
      </c>
      <c r="B248" t="inlineStr">
        <is>
          <t>隔日到貨🔥 ins風 手機氣囊 多功能指環扣 伸縮折疊 立體氣囊 手機架 適合各手機 氣囊 黏貼式 懶人氣囊</t>
        </is>
      </c>
      <c r="C248">
        <f>IMAGE("https://cf.shopee.tw/file/8ac1cc4f5aa5fb76d7776690585e5175_tn")</f>
        <v/>
      </c>
      <c r="D248" t="inlineStr">
        <is>
          <t>E05</t>
        </is>
      </c>
      <c r="E248" t="inlineStr">
        <is>
          <t>92291528075</t>
        </is>
      </c>
      <c r="F248">
        <f>IMAGE("https://cf.shopee.tw/file/4ac7b89f2d6075af2fa91664f0c60ff1_tn")</f>
        <v/>
      </c>
    </row>
    <row r="249">
      <c r="A249" t="inlineStr">
        <is>
          <t>9159438193</t>
        </is>
      </c>
      <c r="B249" t="inlineStr">
        <is>
          <t>隔日到貨🔥 ins風 手機氣囊 多功能指環扣 伸縮折疊 立體氣囊 手機架 適合各手機 氣囊 黏貼式 懶人氣囊</t>
        </is>
      </c>
      <c r="C249">
        <f>IMAGE("https://cf.shopee.tw/file/8ac1cc4f5aa5fb76d7776690585e5175_tn")</f>
        <v/>
      </c>
      <c r="D249" t="inlineStr">
        <is>
          <t>E06</t>
        </is>
      </c>
      <c r="E249" t="inlineStr">
        <is>
          <t>92291528082</t>
        </is>
      </c>
      <c r="F249">
        <f>IMAGE("https://cf.shopee.tw/file/6a91652dbf6e364aaab1a331300f3ffe_tn")</f>
        <v/>
      </c>
    </row>
    <row r="250">
      <c r="A250" t="inlineStr">
        <is>
          <t>9159438193</t>
        </is>
      </c>
      <c r="B250" t="inlineStr">
        <is>
          <t>隔日到貨🔥 ins風 手機氣囊 多功能指環扣 伸縮折疊 立體氣囊 手機架 適合各手機 氣囊 黏貼式 懶人氣囊</t>
        </is>
      </c>
      <c r="C250">
        <f>IMAGE("https://cf.shopee.tw/file/8ac1cc4f5aa5fb76d7776690585e5175_tn")</f>
        <v/>
      </c>
      <c r="D250" t="inlineStr">
        <is>
          <t>E07</t>
        </is>
      </c>
      <c r="E250" t="inlineStr">
        <is>
          <t>92291528076</t>
        </is>
      </c>
      <c r="F250">
        <f>IMAGE("https://cf.shopee.tw/file/9035086d2ee4e145985d0277da1197f8_tn")</f>
        <v/>
      </c>
    </row>
    <row r="251">
      <c r="A251" t="inlineStr">
        <is>
          <t>9159438193</t>
        </is>
      </c>
      <c r="B251" t="inlineStr">
        <is>
          <t>隔日到貨🔥 ins風 手機氣囊 多功能指環扣 伸縮折疊 立體氣囊 手機架 適合各手機 氣囊 黏貼式 懶人氣囊</t>
        </is>
      </c>
      <c r="C251">
        <f>IMAGE("https://cf.shopee.tw/file/8ac1cc4f5aa5fb76d7776690585e5175_tn")</f>
        <v/>
      </c>
      <c r="D251" t="inlineStr">
        <is>
          <t>E08</t>
        </is>
      </c>
      <c r="E251" t="inlineStr">
        <is>
          <t>92291528084</t>
        </is>
      </c>
      <c r="F251">
        <f>IMAGE("https://cf.shopee.tw/file/0aef0cbb88a9745fda274fbca2ae1a33_tn")</f>
        <v/>
      </c>
    </row>
    <row r="252">
      <c r="A252" t="inlineStr">
        <is>
          <t>9159438193</t>
        </is>
      </c>
      <c r="B252" t="inlineStr">
        <is>
          <t>隔日到貨🔥 ins風 手機氣囊 多功能指環扣 伸縮折疊 立體氣囊 手機架 適合各手機 氣囊 黏貼式 懶人氣囊</t>
        </is>
      </c>
      <c r="C252">
        <f>IMAGE("https://cf.shopee.tw/file/8ac1cc4f5aa5fb76d7776690585e5175_tn")</f>
        <v/>
      </c>
      <c r="D252" t="inlineStr">
        <is>
          <t>E09</t>
        </is>
      </c>
      <c r="E252" t="inlineStr">
        <is>
          <t>92291528077</t>
        </is>
      </c>
      <c r="F252">
        <f>IMAGE("https://cf.shopee.tw/file/f5d913a2a28ddade7cacc5ce30083073_tn")</f>
        <v/>
      </c>
    </row>
    <row r="253">
      <c r="A253" t="inlineStr">
        <is>
          <t>9159438193</t>
        </is>
      </c>
      <c r="B253" t="inlineStr">
        <is>
          <t>隔日到貨🔥 ins風 手機氣囊 多功能指環扣 伸縮折疊 立體氣囊 手機架 適合各手機 氣囊 黏貼式 懶人氣囊</t>
        </is>
      </c>
      <c r="C253">
        <f>IMAGE("https://cf.shopee.tw/file/8ac1cc4f5aa5fb76d7776690585e5175_tn")</f>
        <v/>
      </c>
      <c r="D253" t="inlineStr">
        <is>
          <t>E10</t>
        </is>
      </c>
      <c r="E253" t="inlineStr">
        <is>
          <t>92291528088</t>
        </is>
      </c>
      <c r="F253">
        <f>IMAGE("https://cf.shopee.tw/file/66d38f15c33667f53445ed5bc3b2a506_tn")</f>
        <v/>
      </c>
    </row>
    <row r="254">
      <c r="A254" t="inlineStr">
        <is>
          <t>9159438193</t>
        </is>
      </c>
      <c r="B254" t="inlineStr">
        <is>
          <t>隔日到貨🔥 ins風 手機氣囊 多功能指環扣 伸縮折疊 立體氣囊 手機架 適合各手機 氣囊 黏貼式 懶人氣囊</t>
        </is>
      </c>
      <c r="C254">
        <f>IMAGE("https://cf.shopee.tw/file/8ac1cc4f5aa5fb76d7776690585e5175_tn")</f>
        <v/>
      </c>
      <c r="D254" t="inlineStr">
        <is>
          <t>E11</t>
        </is>
      </c>
      <c r="E254" t="inlineStr">
        <is>
          <t>92291528089</t>
        </is>
      </c>
      <c r="F254">
        <f>IMAGE("https://cf.shopee.tw/file/01259490c41e13719866d061b0fb4bee_tn")</f>
        <v/>
      </c>
    </row>
    <row r="255">
      <c r="A255" t="inlineStr">
        <is>
          <t>9159438193</t>
        </is>
      </c>
      <c r="B255" t="inlineStr">
        <is>
          <t>隔日到貨🔥 ins風 手機氣囊 多功能指環扣 伸縮折疊 立體氣囊 手機架 適合各手機 氣囊 黏貼式 懶人氣囊</t>
        </is>
      </c>
      <c r="C255">
        <f>IMAGE("https://cf.shopee.tw/file/8ac1cc4f5aa5fb76d7776690585e5175_tn")</f>
        <v/>
      </c>
      <c r="D255" t="inlineStr">
        <is>
          <t>E12</t>
        </is>
      </c>
      <c r="E255" t="inlineStr">
        <is>
          <t>92291528085</t>
        </is>
      </c>
      <c r="F255">
        <f>IMAGE("https://cf.shopee.tw/file/e481d6c02bba7ce4eccf43ed8f38c573_tn")</f>
        <v/>
      </c>
    </row>
    <row r="256">
      <c r="A256" t="inlineStr">
        <is>
          <t>9159438193</t>
        </is>
      </c>
      <c r="B256" t="inlineStr">
        <is>
          <t>隔日到貨🔥 ins風 手機氣囊 多功能指環扣 伸縮折疊 立體氣囊 手機架 適合各手機 氣囊 黏貼式 懶人氣囊</t>
        </is>
      </c>
      <c r="C256">
        <f>IMAGE("https://cf.shopee.tw/file/8ac1cc4f5aa5fb76d7776690585e5175_tn")</f>
        <v/>
      </c>
      <c r="D256" t="inlineStr">
        <is>
          <t>E13</t>
        </is>
      </c>
      <c r="E256" t="inlineStr">
        <is>
          <t>92291528078</t>
        </is>
      </c>
      <c r="F256">
        <f>IMAGE("https://cf.shopee.tw/file/b5c5903ee37f7e3c96cd191a9b484aba_tn")</f>
        <v/>
      </c>
    </row>
    <row r="257">
      <c r="A257" t="inlineStr">
        <is>
          <t>9159438193</t>
        </is>
      </c>
      <c r="B257" t="inlineStr">
        <is>
          <t>隔日到貨🔥 ins風 手機氣囊 多功能指環扣 伸縮折疊 立體氣囊 手機架 適合各手機 氣囊 黏貼式 懶人氣囊</t>
        </is>
      </c>
      <c r="C257">
        <f>IMAGE("https://cf.shopee.tw/file/8ac1cc4f5aa5fb76d7776690585e5175_tn")</f>
        <v/>
      </c>
      <c r="D257" t="inlineStr">
        <is>
          <t>E14</t>
        </is>
      </c>
      <c r="E257" t="inlineStr">
        <is>
          <t>92291528083</t>
        </is>
      </c>
      <c r="F257">
        <f>IMAGE("https://cf.shopee.tw/file/a81a4cc4184ea69458ec814f602dab1d_tn")</f>
        <v/>
      </c>
    </row>
    <row r="258">
      <c r="A258" t="inlineStr">
        <is>
          <t>9159438193</t>
        </is>
      </c>
      <c r="B258" t="inlineStr">
        <is>
          <t>隔日到貨🔥 ins風 手機氣囊 多功能指環扣 伸縮折疊 立體氣囊 手機架 適合各手機 氣囊 黏貼式 懶人氣囊</t>
        </is>
      </c>
      <c r="C258">
        <f>IMAGE("https://cf.shopee.tw/file/8ac1cc4f5aa5fb76d7776690585e5175_tn")</f>
        <v/>
      </c>
      <c r="D258" t="inlineStr">
        <is>
          <t>E16</t>
        </is>
      </c>
      <c r="E258" t="inlineStr">
        <is>
          <t>92291528090</t>
        </is>
      </c>
      <c r="F258">
        <f>IMAGE("https://cf.shopee.tw/file/2b4cb1e771edecf42e909c42e000f94d_tn")</f>
        <v/>
      </c>
    </row>
    <row r="259">
      <c r="A259" t="inlineStr">
        <is>
          <t>9159438193</t>
        </is>
      </c>
      <c r="B259" t="inlineStr">
        <is>
          <t>隔日到貨🔥 ins風 手機氣囊 多功能指環扣 伸縮折疊 立體氣囊 手機架 適合各手機 氣囊 黏貼式 懶人氣囊</t>
        </is>
      </c>
      <c r="C259">
        <f>IMAGE("https://cf.shopee.tw/file/8ac1cc4f5aa5fb76d7776690585e5175_tn")</f>
        <v/>
      </c>
      <c r="D259" t="inlineStr">
        <is>
          <t>F1</t>
        </is>
      </c>
      <c r="E259" t="inlineStr"/>
      <c r="F259">
        <f>IMAGE("https://cf.shopee.tw/file/10c501d501d0561c1df6e659e9e2ef07_tn")</f>
        <v/>
      </c>
    </row>
    <row r="260">
      <c r="A260" t="inlineStr">
        <is>
          <t>9159438193</t>
        </is>
      </c>
      <c r="B260" t="inlineStr">
        <is>
          <t>隔日到貨🔥 ins風 手機氣囊 多功能指環扣 伸縮折疊 立體氣囊 手機架 適合各手機 氣囊 黏貼式 懶人氣囊</t>
        </is>
      </c>
      <c r="C260">
        <f>IMAGE("https://cf.shopee.tw/file/8ac1cc4f5aa5fb76d7776690585e5175_tn")</f>
        <v/>
      </c>
      <c r="D260" t="inlineStr">
        <is>
          <t>F2</t>
        </is>
      </c>
      <c r="E260" t="inlineStr">
        <is>
          <t>55615134596</t>
        </is>
      </c>
      <c r="F260">
        <f>IMAGE("https://cf.shopee.tw/file/e2e9d07c6f34427df5ee3fb563d58705_tn")</f>
        <v/>
      </c>
    </row>
    <row r="261">
      <c r="A261" t="inlineStr">
        <is>
          <t>9159438193</t>
        </is>
      </c>
      <c r="B261" t="inlineStr">
        <is>
          <t>隔日到貨🔥 ins風 手機氣囊 多功能指環扣 伸縮折疊 立體氣囊 手機架 適合各手機 氣囊 黏貼式 懶人氣囊</t>
        </is>
      </c>
      <c r="C261">
        <f>IMAGE("https://cf.shopee.tw/file/8ac1cc4f5aa5fb76d7776690585e5175_tn")</f>
        <v/>
      </c>
      <c r="D261" t="inlineStr">
        <is>
          <t>F3</t>
        </is>
      </c>
      <c r="E261" t="inlineStr">
        <is>
          <t>45615134666</t>
        </is>
      </c>
      <c r="F261">
        <f>IMAGE("https://cf.shopee.tw/file/198c62c4d35e51bfcbce64b2d3f5ce6e_tn")</f>
        <v/>
      </c>
    </row>
    <row r="262">
      <c r="A262" t="inlineStr">
        <is>
          <t>9159438193</t>
        </is>
      </c>
      <c r="B262" t="inlineStr">
        <is>
          <t>隔日到貨🔥 ins風 手機氣囊 多功能指環扣 伸縮折疊 立體氣囊 手機架 適合各手機 氣囊 黏貼式 懶人氣囊</t>
        </is>
      </c>
      <c r="C262">
        <f>IMAGE("https://cf.shopee.tw/file/8ac1cc4f5aa5fb76d7776690585e5175_tn")</f>
        <v/>
      </c>
      <c r="D262" t="inlineStr">
        <is>
          <t>F4</t>
        </is>
      </c>
      <c r="E262" t="inlineStr">
        <is>
          <t>45615134668</t>
        </is>
      </c>
      <c r="F262">
        <f>IMAGE("https://cf.shopee.tw/file/9e95288923b7af690c47a68a277bc178_tn")</f>
        <v/>
      </c>
    </row>
    <row r="263">
      <c r="A263" t="inlineStr">
        <is>
          <t>9159438193</t>
        </is>
      </c>
      <c r="B263" t="inlineStr">
        <is>
          <t>隔日到貨🔥 ins風 手機氣囊 多功能指環扣 伸縮折疊 立體氣囊 手機架 適合各手機 氣囊 黏貼式 懶人氣囊</t>
        </is>
      </c>
      <c r="C263">
        <f>IMAGE("https://cf.shopee.tw/file/8ac1cc4f5aa5fb76d7776690585e5175_tn")</f>
        <v/>
      </c>
      <c r="D263" t="inlineStr">
        <is>
          <t>F5</t>
        </is>
      </c>
      <c r="E263" t="inlineStr">
        <is>
          <t>45615134667</t>
        </is>
      </c>
      <c r="F263">
        <f>IMAGE("https://cf.shopee.tw/file/a41bbb9aeda73af7ee83d2b8a5062d96_tn")</f>
        <v/>
      </c>
    </row>
    <row r="264">
      <c r="A264" t="inlineStr">
        <is>
          <t>9159438193</t>
        </is>
      </c>
      <c r="B264" t="inlineStr">
        <is>
          <t>隔日到貨🔥 ins風 手機氣囊 多功能指環扣 伸縮折疊 立體氣囊 手機架 適合各手機 氣囊 黏貼式 懶人氣囊</t>
        </is>
      </c>
      <c r="C264">
        <f>IMAGE("https://cf.shopee.tw/file/8ac1cc4f5aa5fb76d7776690585e5175_tn")</f>
        <v/>
      </c>
      <c r="D264" t="inlineStr">
        <is>
          <t>c1</t>
        </is>
      </c>
      <c r="E264" t="inlineStr">
        <is>
          <t>92320578628</t>
        </is>
      </c>
      <c r="F264">
        <f>IMAGE("https://cf.shopee.tw/file/24587eb292fa20d23906ebd26b4e1666_tn")</f>
        <v/>
      </c>
    </row>
    <row r="265">
      <c r="A265" t="inlineStr">
        <is>
          <t>9159438193</t>
        </is>
      </c>
      <c r="B265" t="inlineStr">
        <is>
          <t>隔日到貨🔥 ins風 手機氣囊 多功能指環扣 伸縮折疊 立體氣囊 手機架 適合各手機 氣囊 黏貼式 懶人氣囊</t>
        </is>
      </c>
      <c r="C265">
        <f>IMAGE("https://cf.shopee.tw/file/8ac1cc4f5aa5fb76d7776690585e5175_tn")</f>
        <v/>
      </c>
      <c r="D265" t="inlineStr">
        <is>
          <t>c3</t>
        </is>
      </c>
      <c r="E265" t="inlineStr">
        <is>
          <t>92320578618</t>
        </is>
      </c>
      <c r="F265">
        <f>IMAGE("https://cf.shopee.tw/file/dcddac72fb6dda99a93c233283fd395b_tn")</f>
        <v/>
      </c>
    </row>
    <row r="266">
      <c r="A266" t="inlineStr">
        <is>
          <t>9159438193</t>
        </is>
      </c>
      <c r="B266" t="inlineStr">
        <is>
          <t>隔日到貨🔥 ins風 手機氣囊 多功能指環扣 伸縮折疊 立體氣囊 手機架 適合各手機 氣囊 黏貼式 懶人氣囊</t>
        </is>
      </c>
      <c r="C266">
        <f>IMAGE("https://cf.shopee.tw/file/8ac1cc4f5aa5fb76d7776690585e5175_tn")</f>
        <v/>
      </c>
      <c r="D266" t="inlineStr">
        <is>
          <t>c4</t>
        </is>
      </c>
      <c r="E266" t="inlineStr">
        <is>
          <t>92320578623</t>
        </is>
      </c>
      <c r="F266">
        <f>IMAGE("https://cf.shopee.tw/file/b7002e43190ee32e5fc40f2c8b024e3f_tn")</f>
        <v/>
      </c>
    </row>
    <row r="267">
      <c r="A267" t="inlineStr">
        <is>
          <t>9159438193</t>
        </is>
      </c>
      <c r="B267" t="inlineStr">
        <is>
          <t>隔日到貨🔥 ins風 手機氣囊 多功能指環扣 伸縮折疊 立體氣囊 手機架 適合各手機 氣囊 黏貼式 懶人氣囊</t>
        </is>
      </c>
      <c r="C267">
        <f>IMAGE("https://cf.shopee.tw/file/8ac1cc4f5aa5fb76d7776690585e5175_tn")</f>
        <v/>
      </c>
      <c r="D267" t="inlineStr">
        <is>
          <t>c5 (顏色偏黃)</t>
        </is>
      </c>
      <c r="E267" t="inlineStr">
        <is>
          <t>92320578624</t>
        </is>
      </c>
      <c r="F267">
        <f>IMAGE("https://cf.shopee.tw/file/942f5b57319707f8be644fccb8fcd237_tn")</f>
        <v/>
      </c>
    </row>
    <row r="268">
      <c r="A268" t="inlineStr">
        <is>
          <t>9159438193</t>
        </is>
      </c>
      <c r="B268" t="inlineStr">
        <is>
          <t>隔日到貨🔥 ins風 手機氣囊 多功能指環扣 伸縮折疊 立體氣囊 手機架 適合各手機 氣囊 黏貼式 懶人氣囊</t>
        </is>
      </c>
      <c r="C268">
        <f>IMAGE("https://cf.shopee.tw/file/8ac1cc4f5aa5fb76d7776690585e5175_tn")</f>
        <v/>
      </c>
      <c r="D268" t="inlineStr">
        <is>
          <t>c6</t>
        </is>
      </c>
      <c r="E268" t="inlineStr">
        <is>
          <t>92320578619</t>
        </is>
      </c>
      <c r="F268">
        <f>IMAGE("https://cf.shopee.tw/file/296e16353da35fe74872c9ca9af917b9_tn")</f>
        <v/>
      </c>
    </row>
    <row r="269">
      <c r="A269" t="inlineStr">
        <is>
          <t>9159438193</t>
        </is>
      </c>
      <c r="B269" t="inlineStr">
        <is>
          <t>隔日到貨🔥 ins風 手機氣囊 多功能指環扣 伸縮折疊 立體氣囊 手機架 適合各手機 氣囊 黏貼式 懶人氣囊</t>
        </is>
      </c>
      <c r="C269">
        <f>IMAGE("https://cf.shopee.tw/file/8ac1cc4f5aa5fb76d7776690585e5175_tn")</f>
        <v/>
      </c>
      <c r="D269" t="inlineStr">
        <is>
          <t>c9</t>
        </is>
      </c>
      <c r="E269" t="inlineStr">
        <is>
          <t>92320578634</t>
        </is>
      </c>
      <c r="F269">
        <f>IMAGE("https://cf.shopee.tw/file/8bbdcc39c637debbfa01daafd6edca9b_tn")</f>
        <v/>
      </c>
    </row>
    <row r="270">
      <c r="A270" t="inlineStr">
        <is>
          <t>9159438193</t>
        </is>
      </c>
      <c r="B270" t="inlineStr">
        <is>
          <t>隔日到貨🔥 ins風 手機氣囊 多功能指環扣 伸縮折疊 立體氣囊 手機架 適合各手機 氣囊 黏貼式 懶人氣囊</t>
        </is>
      </c>
      <c r="C270">
        <f>IMAGE("https://cf.shopee.tw/file/8ac1cc4f5aa5fb76d7776690585e5175_tn")</f>
        <v/>
      </c>
      <c r="D270" t="inlineStr">
        <is>
          <t>c11</t>
        </is>
      </c>
      <c r="E270" t="inlineStr">
        <is>
          <t>92320578629</t>
        </is>
      </c>
      <c r="F270">
        <f>IMAGE("https://cf.shopee.tw/file/4a639da6d50ce7d10881998b7663bfa4_tn")</f>
        <v/>
      </c>
    </row>
    <row r="271">
      <c r="A271" t="inlineStr">
        <is>
          <t>9159438193</t>
        </is>
      </c>
      <c r="B271" t="inlineStr">
        <is>
          <t>隔日到貨🔥 ins風 手機氣囊 多功能指環扣 伸縮折疊 立體氣囊 手機架 適合各手機 氣囊 黏貼式 懶人氣囊</t>
        </is>
      </c>
      <c r="C271">
        <f>IMAGE("https://cf.shopee.tw/file/8ac1cc4f5aa5fb76d7776690585e5175_tn")</f>
        <v/>
      </c>
      <c r="D271" t="inlineStr">
        <is>
          <t>c12</t>
        </is>
      </c>
      <c r="E271" t="inlineStr">
        <is>
          <t>92320578636</t>
        </is>
      </c>
      <c r="F271">
        <f>IMAGE("https://cf.shopee.tw/file/bbd4b7dedc26fe0e791ea489acc03469_tn")</f>
        <v/>
      </c>
    </row>
    <row r="272">
      <c r="A272" t="inlineStr">
        <is>
          <t>9159438193</t>
        </is>
      </c>
      <c r="B272" t="inlineStr">
        <is>
          <t>隔日到貨🔥 ins風 手機氣囊 多功能指環扣 伸縮折疊 立體氣囊 手機架 適合各手機 氣囊 黏貼式 懶人氣囊</t>
        </is>
      </c>
      <c r="C272">
        <f>IMAGE("https://cf.shopee.tw/file/8ac1cc4f5aa5fb76d7776690585e5175_tn")</f>
        <v/>
      </c>
      <c r="D272" t="inlineStr">
        <is>
          <t>c13</t>
        </is>
      </c>
      <c r="E272" t="inlineStr">
        <is>
          <t>92320578621</t>
        </is>
      </c>
      <c r="F272">
        <f>IMAGE("https://cf.shopee.tw/file/f465268f43b9a6e88124ec839ae2b92f_tn")</f>
        <v/>
      </c>
    </row>
    <row r="273">
      <c r="A273" t="inlineStr">
        <is>
          <t>9159438193</t>
        </is>
      </c>
      <c r="B273" t="inlineStr">
        <is>
          <t>隔日到貨🔥 ins風 手機氣囊 多功能指環扣 伸縮折疊 立體氣囊 手機架 適合各手機 氣囊 黏貼式 懶人氣囊</t>
        </is>
      </c>
      <c r="C273">
        <f>IMAGE("https://cf.shopee.tw/file/8ac1cc4f5aa5fb76d7776690585e5175_tn")</f>
        <v/>
      </c>
      <c r="D273" t="inlineStr">
        <is>
          <t>c15</t>
        </is>
      </c>
      <c r="E273" t="inlineStr">
        <is>
          <t>92320578637</t>
        </is>
      </c>
      <c r="F273">
        <f>IMAGE("https://cf.shopee.tw/file/2bee82ab07ec4383479d506ead23ef1b_tn")</f>
        <v/>
      </c>
    </row>
    <row r="274">
      <c r="A274" t="inlineStr">
        <is>
          <t>9159438193</t>
        </is>
      </c>
      <c r="B274" t="inlineStr">
        <is>
          <t>隔日到貨🔥 ins風 手機氣囊 多功能指環扣 伸縮折疊 立體氣囊 手機架 適合各手機 氣囊 黏貼式 懶人氣囊</t>
        </is>
      </c>
      <c r="C274">
        <f>IMAGE("https://cf.shopee.tw/file/8ac1cc4f5aa5fb76d7776690585e5175_tn")</f>
        <v/>
      </c>
      <c r="D274" t="inlineStr">
        <is>
          <t>c17</t>
        </is>
      </c>
      <c r="E274" t="inlineStr">
        <is>
          <t>92320578630</t>
        </is>
      </c>
      <c r="F274">
        <f>IMAGE("https://cf.shopee.tw/file/e38482a724ff1fda9254d0bc978c254b_tn")</f>
        <v/>
      </c>
    </row>
    <row r="275">
      <c r="A275" t="inlineStr">
        <is>
          <t>9159438193</t>
        </is>
      </c>
      <c r="B275" t="inlineStr">
        <is>
          <t>隔日到貨🔥 ins風 手機氣囊 多功能指環扣 伸縮折疊 立體氣囊 手機架 適合各手機 氣囊 黏貼式 懶人氣囊</t>
        </is>
      </c>
      <c r="C275">
        <f>IMAGE("https://cf.shopee.tw/file/8ac1cc4f5aa5fb76d7776690585e5175_tn")</f>
        <v/>
      </c>
      <c r="D275" t="inlineStr">
        <is>
          <t>c18</t>
        </is>
      </c>
      <c r="E275" t="inlineStr">
        <is>
          <t>92320578615</t>
        </is>
      </c>
      <c r="F275">
        <f>IMAGE("https://cf.shopee.tw/file/27e3c06b8ae0a8798a7f1892b3de8749_tn")</f>
        <v/>
      </c>
    </row>
    <row r="276">
      <c r="A276" t="inlineStr">
        <is>
          <t>9159438193</t>
        </is>
      </c>
      <c r="B276" t="inlineStr">
        <is>
          <t>隔日到貨🔥 ins風 手機氣囊 多功能指環扣 伸縮折疊 立體氣囊 手機架 適合各手機 氣囊 黏貼式 懶人氣囊</t>
        </is>
      </c>
      <c r="C276">
        <f>IMAGE("https://cf.shopee.tw/file/8ac1cc4f5aa5fb76d7776690585e5175_tn")</f>
        <v/>
      </c>
      <c r="D276" t="inlineStr">
        <is>
          <t>c19</t>
        </is>
      </c>
      <c r="E276" t="inlineStr">
        <is>
          <t>92320578626</t>
        </is>
      </c>
      <c r="F276">
        <f>IMAGE("https://cf.shopee.tw/file/10533b00b1f5c0a1f8281f835d347979_tn")</f>
        <v/>
      </c>
    </row>
    <row r="277">
      <c r="A277" t="inlineStr">
        <is>
          <t>9159438193</t>
        </is>
      </c>
      <c r="B277" t="inlineStr">
        <is>
          <t>隔日到貨🔥 ins風 手機氣囊 多功能指環扣 伸縮折疊 立體氣囊 手機架 適合各手機 氣囊 黏貼式 懶人氣囊</t>
        </is>
      </c>
      <c r="C277">
        <f>IMAGE("https://cf.shopee.tw/file/8ac1cc4f5aa5fb76d7776690585e5175_tn")</f>
        <v/>
      </c>
      <c r="D277" t="inlineStr">
        <is>
          <t>c21</t>
        </is>
      </c>
      <c r="E277" t="inlineStr">
        <is>
          <t>92320578616</t>
        </is>
      </c>
      <c r="F277">
        <f>IMAGE("https://cf.shopee.tw/file/67570b7a7458f582fa7ca28781b3f0e2_tn")</f>
        <v/>
      </c>
    </row>
    <row r="278">
      <c r="A278" t="inlineStr">
        <is>
          <t>9159438193</t>
        </is>
      </c>
      <c r="B278" t="inlineStr">
        <is>
          <t>隔日到貨🔥 ins風 手機氣囊 多功能指環扣 伸縮折疊 立體氣囊 手機架 適合各手機 氣囊 黏貼式 懶人氣囊</t>
        </is>
      </c>
      <c r="C278">
        <f>IMAGE("https://cf.shopee.tw/file/8ac1cc4f5aa5fb76d7776690585e5175_tn")</f>
        <v/>
      </c>
      <c r="D278" t="inlineStr">
        <is>
          <t>c23</t>
        </is>
      </c>
      <c r="E278" t="inlineStr">
        <is>
          <t>92320578622</t>
        </is>
      </c>
      <c r="F278">
        <f>IMAGE("https://cf.shopee.tw/file/e1ad9a162430be106682575c4adfd4f2_tn")</f>
        <v/>
      </c>
    </row>
    <row r="279">
      <c r="A279" t="inlineStr">
        <is>
          <t>16049155079</t>
        </is>
      </c>
      <c r="B279" t="inlineStr">
        <is>
          <t>隔日到貨🔥 iPhone 鏡頭貼 17 16 15 14 13 12 11 合金玻璃 保護貼 鏡頭保護 鏡頭圈 鏡頭框</t>
        </is>
      </c>
      <c r="C279">
        <f>IMAGE("https://cf.shopee.tw/file/04eaeb3ecdfef981bb6e35878995d1b3_tn")</f>
        <v/>
      </c>
      <c r="D279" t="inlineStr">
        <is>
          <t>紫色(單顆),16pro / 16proMax</t>
        </is>
      </c>
      <c r="E279" t="inlineStr"/>
      <c r="F279">
        <f>IMAGE("https://cf.shopee.tw/file/578e10a4d1af51481b2ca214030d09dc_tn")</f>
        <v/>
      </c>
    </row>
    <row r="280">
      <c r="A280" t="inlineStr">
        <is>
          <t>16049155079</t>
        </is>
      </c>
      <c r="B280" t="inlineStr">
        <is>
          <t>隔日到貨🔥 iPhone 鏡頭貼 17 16 15 14 13 12 11 合金玻璃 保護貼 鏡頭保護 鏡頭圈 鏡頭框</t>
        </is>
      </c>
      <c r="C280">
        <f>IMAGE("https://cf.shopee.tw/file/04eaeb3ecdfef981bb6e35878995d1b3_tn")</f>
        <v/>
      </c>
      <c r="D280" t="inlineStr">
        <is>
          <t>黑色(單顆),11/12/12mini</t>
        </is>
      </c>
      <c r="E280" t="inlineStr">
        <is>
          <t>125252725200</t>
        </is>
      </c>
      <c r="F280">
        <f>IMAGE("https://cf.shopee.tw/file/4735c4c61303cc1e12d134c7e55ad21a_tn")</f>
        <v/>
      </c>
    </row>
    <row r="281">
      <c r="A281" t="inlineStr">
        <is>
          <t>16049155079</t>
        </is>
      </c>
      <c r="B281" t="inlineStr">
        <is>
          <t>隔日到貨🔥 iPhone 鏡頭貼 17 16 15 14 13 12 11 合金玻璃 保護貼 鏡頭保護 鏡頭圈 鏡頭框</t>
        </is>
      </c>
      <c r="C281">
        <f>IMAGE("https://cf.shopee.tw/file/04eaeb3ecdfef981bb6e35878995d1b3_tn")</f>
        <v/>
      </c>
      <c r="D281" t="inlineStr">
        <is>
          <t>黑色(單顆),12 pro</t>
        </is>
      </c>
      <c r="E281" t="inlineStr">
        <is>
          <t>135252725079</t>
        </is>
      </c>
      <c r="F281">
        <f>IMAGE("https://cf.shopee.tw/file/4735c4c61303cc1e12d134c7e55ad21a_tn")</f>
        <v/>
      </c>
    </row>
    <row r="282">
      <c r="A282" t="inlineStr">
        <is>
          <t>16049155079</t>
        </is>
      </c>
      <c r="B282" t="inlineStr">
        <is>
          <t>隔日到貨🔥 iPhone 鏡頭貼 17 16 15 14 13 12 11 合金玻璃 保護貼 鏡頭保護 鏡頭圈 鏡頭框</t>
        </is>
      </c>
      <c r="C282">
        <f>IMAGE("https://cf.shopee.tw/file/04eaeb3ecdfef981bb6e35878995d1b3_tn")</f>
        <v/>
      </c>
      <c r="D282" t="inlineStr">
        <is>
          <t>黑色(單顆),12 pro Max</t>
        </is>
      </c>
      <c r="E282" t="inlineStr">
        <is>
          <t>135252725080</t>
        </is>
      </c>
      <c r="F282">
        <f>IMAGE("https://cf.shopee.tw/file/4735c4c61303cc1e12d134c7e55ad21a_tn")</f>
        <v/>
      </c>
    </row>
    <row r="283">
      <c r="A283" t="inlineStr">
        <is>
          <t>16049155079</t>
        </is>
      </c>
      <c r="B283" t="inlineStr">
        <is>
          <t>隔日到貨🔥 iPhone 鏡頭貼 17 16 15 14 13 12 11 合金玻璃 保護貼 鏡頭保護 鏡頭圈 鏡頭框</t>
        </is>
      </c>
      <c r="C283">
        <f>IMAGE("https://cf.shopee.tw/file/04eaeb3ecdfef981bb6e35878995d1b3_tn")</f>
        <v/>
      </c>
      <c r="D283" t="inlineStr">
        <is>
          <t>黑色(單顆),13 / 13mini</t>
        </is>
      </c>
      <c r="E283" t="inlineStr">
        <is>
          <t>125252725195</t>
        </is>
      </c>
      <c r="F283">
        <f>IMAGE("https://cf.shopee.tw/file/4735c4c61303cc1e12d134c7e55ad21a_tn")</f>
        <v/>
      </c>
    </row>
    <row r="284">
      <c r="A284" t="inlineStr">
        <is>
          <t>16049155079</t>
        </is>
      </c>
      <c r="B284" t="inlineStr">
        <is>
          <t>隔日到貨🔥 iPhone 鏡頭貼 17 16 15 14 13 12 11 合金玻璃 保護貼 鏡頭保護 鏡頭圈 鏡頭框</t>
        </is>
      </c>
      <c r="C284">
        <f>IMAGE("https://cf.shopee.tw/file/04eaeb3ecdfef981bb6e35878995d1b3_tn")</f>
        <v/>
      </c>
      <c r="D284" t="inlineStr">
        <is>
          <t>黑色(單顆),13pro/13proMax/17Air</t>
        </is>
      </c>
      <c r="E284" t="inlineStr">
        <is>
          <t>116248718825</t>
        </is>
      </c>
      <c r="F284">
        <f>IMAGE("https://cf.shopee.tw/file/4735c4c61303cc1e12d134c7e55ad21a_tn")</f>
        <v/>
      </c>
    </row>
    <row r="285">
      <c r="A285" t="inlineStr">
        <is>
          <t>16049155079</t>
        </is>
      </c>
      <c r="B285" t="inlineStr">
        <is>
          <t>隔日到貨🔥 iPhone 鏡頭貼 17 16 15 14 13 12 11 合金玻璃 保護貼 鏡頭保護 鏡頭圈 鏡頭框</t>
        </is>
      </c>
      <c r="C285">
        <f>IMAGE("https://cf.shopee.tw/file/04eaeb3ecdfef981bb6e35878995d1b3_tn")</f>
        <v/>
      </c>
      <c r="D285" t="inlineStr">
        <is>
          <t>黑色(單顆),14 / 14Plus</t>
        </is>
      </c>
      <c r="E285" t="inlineStr">
        <is>
          <t>182583716911</t>
        </is>
      </c>
      <c r="F285">
        <f>IMAGE("https://cf.shopee.tw/file/4735c4c61303cc1e12d134c7e55ad21a_tn")</f>
        <v/>
      </c>
    </row>
    <row r="286">
      <c r="A286" t="inlineStr">
        <is>
          <t>16049155079</t>
        </is>
      </c>
      <c r="B286" t="inlineStr">
        <is>
          <t>隔日到貨🔥 iPhone 鏡頭貼 17 16 15 14 13 12 11 合金玻璃 保護貼 鏡頭保護 鏡頭圈 鏡頭框</t>
        </is>
      </c>
      <c r="C286">
        <f>IMAGE("https://cf.shopee.tw/file/04eaeb3ecdfef981bb6e35878995d1b3_tn")</f>
        <v/>
      </c>
      <c r="D286" t="inlineStr">
        <is>
          <t>黑色(單顆),14 pro / 14 proMax</t>
        </is>
      </c>
      <c r="E286" t="inlineStr">
        <is>
          <t>182583716909</t>
        </is>
      </c>
      <c r="F286">
        <f>IMAGE("https://cf.shopee.tw/file/4735c4c61303cc1e12d134c7e55ad21a_tn")</f>
        <v/>
      </c>
    </row>
    <row r="287">
      <c r="A287" t="inlineStr">
        <is>
          <t>16049155079</t>
        </is>
      </c>
      <c r="B287" t="inlineStr">
        <is>
          <t>隔日到貨🔥 iPhone 鏡頭貼 17 16 15 14 13 12 11 合金玻璃 保護貼 鏡頭保護 鏡頭圈 鏡頭框</t>
        </is>
      </c>
      <c r="C287">
        <f>IMAGE("https://cf.shopee.tw/file/04eaeb3ecdfef981bb6e35878995d1b3_tn")</f>
        <v/>
      </c>
      <c r="D287" t="inlineStr">
        <is>
          <t>黑色(單顆),15/15Plus/16e</t>
        </is>
      </c>
      <c r="E287" t="inlineStr">
        <is>
          <t>232234478249</t>
        </is>
      </c>
      <c r="F287">
        <f>IMAGE("https://cf.shopee.tw/file/4735c4c61303cc1e12d134c7e55ad21a_tn")</f>
        <v/>
      </c>
    </row>
    <row r="288">
      <c r="A288" t="inlineStr">
        <is>
          <t>16049155079</t>
        </is>
      </c>
      <c r="B288" t="inlineStr">
        <is>
          <t>隔日到貨🔥 iPhone 鏡頭貼 17 16 15 14 13 12 11 合金玻璃 保護貼 鏡頭保護 鏡頭圈 鏡頭框</t>
        </is>
      </c>
      <c r="C288">
        <f>IMAGE("https://cf.shopee.tw/file/04eaeb3ecdfef981bb6e35878995d1b3_tn")</f>
        <v/>
      </c>
      <c r="D288" t="inlineStr">
        <is>
          <t>黑色(單顆),15pro / 15proMax</t>
        </is>
      </c>
      <c r="E288" t="inlineStr">
        <is>
          <t>232234478250</t>
        </is>
      </c>
      <c r="F288">
        <f>IMAGE("https://cf.shopee.tw/file/4735c4c61303cc1e12d134c7e55ad21a_tn")</f>
        <v/>
      </c>
    </row>
    <row r="289">
      <c r="A289" t="inlineStr">
        <is>
          <t>16049155079</t>
        </is>
      </c>
      <c r="B289" t="inlineStr">
        <is>
          <t>隔日到貨🔥 iPhone 鏡頭貼 17 16 15 14 13 12 11 合金玻璃 保護貼 鏡頭保護 鏡頭圈 鏡頭框</t>
        </is>
      </c>
      <c r="C289">
        <f>IMAGE("https://cf.shopee.tw/file/04eaeb3ecdfef981bb6e35878995d1b3_tn")</f>
        <v/>
      </c>
      <c r="D289" t="inlineStr">
        <is>
          <t>黑色(單顆),16/16Plus</t>
        </is>
      </c>
      <c r="E289" t="inlineStr">
        <is>
          <t>241535792610</t>
        </is>
      </c>
      <c r="F289">
        <f>IMAGE("https://cf.shopee.tw/file/4735c4c61303cc1e12d134c7e55ad21a_tn")</f>
        <v/>
      </c>
    </row>
    <row r="290">
      <c r="A290" t="inlineStr">
        <is>
          <t>16049155079</t>
        </is>
      </c>
      <c r="B290" t="inlineStr">
        <is>
          <t>隔日到貨🔥 iPhone 鏡頭貼 17 16 15 14 13 12 11 合金玻璃 保護貼 鏡頭保護 鏡頭圈 鏡頭框</t>
        </is>
      </c>
      <c r="C290">
        <f>IMAGE("https://cf.shopee.tw/file/04eaeb3ecdfef981bb6e35878995d1b3_tn")</f>
        <v/>
      </c>
      <c r="D290" t="inlineStr">
        <is>
          <t>黑色(單顆),16pro / 16proMax</t>
        </is>
      </c>
      <c r="E290" t="inlineStr">
        <is>
          <t>241535792611</t>
        </is>
      </c>
      <c r="F290">
        <f>IMAGE("https://cf.shopee.tw/file/4735c4c61303cc1e12d134c7e55ad21a_tn")</f>
        <v/>
      </c>
    </row>
    <row r="291">
      <c r="A291" t="inlineStr">
        <is>
          <t>16049155079</t>
        </is>
      </c>
      <c r="B291" t="inlineStr">
        <is>
          <t>隔日到貨🔥 iPhone 鏡頭貼 17 16 15 14 13 12 11 合金玻璃 保護貼 鏡頭保護 鏡頭圈 鏡頭框</t>
        </is>
      </c>
      <c r="C291">
        <f>IMAGE("https://cf.shopee.tw/file/04eaeb3ecdfef981bb6e35878995d1b3_tn")</f>
        <v/>
      </c>
      <c r="D291" t="inlineStr">
        <is>
          <t>黑色(單顆),17/17pro/17proMax</t>
        </is>
      </c>
      <c r="E291" t="inlineStr">
        <is>
          <t>281550036733</t>
        </is>
      </c>
      <c r="F291">
        <f>IMAGE("https://cf.shopee.tw/file/4735c4c61303cc1e12d134c7e55ad21a_tn")</f>
        <v/>
      </c>
    </row>
    <row r="292">
      <c r="A292" t="inlineStr">
        <is>
          <t>16049155079</t>
        </is>
      </c>
      <c r="B292" t="inlineStr">
        <is>
          <t>隔日到貨🔥 iPhone 鏡頭貼 17 16 15 14 13 12 11 合金玻璃 保護貼 鏡頭保護 鏡頭圈 鏡頭框</t>
        </is>
      </c>
      <c r="C292">
        <f>IMAGE("https://cf.shopee.tw/file/04eaeb3ecdfef981bb6e35878995d1b3_tn")</f>
        <v/>
      </c>
      <c r="D292" t="inlineStr">
        <is>
          <t>銀色(單顆),11/12/12mini</t>
        </is>
      </c>
      <c r="E292" t="inlineStr">
        <is>
          <t>125252725196</t>
        </is>
      </c>
      <c r="F292">
        <f>IMAGE("https://cf.shopee.tw/file/4da174c9d3bb9381588f9f437a830d16_tn")</f>
        <v/>
      </c>
    </row>
    <row r="293">
      <c r="A293" t="inlineStr">
        <is>
          <t>16049155079</t>
        </is>
      </c>
      <c r="B293" t="inlineStr">
        <is>
          <t>隔日到貨🔥 iPhone 鏡頭貼 17 16 15 14 13 12 11 合金玻璃 保護貼 鏡頭保護 鏡頭圈 鏡頭框</t>
        </is>
      </c>
      <c r="C293">
        <f>IMAGE("https://cf.shopee.tw/file/04eaeb3ecdfef981bb6e35878995d1b3_tn")</f>
        <v/>
      </c>
      <c r="D293" t="inlineStr">
        <is>
          <t>銀色(單顆),12 pro</t>
        </is>
      </c>
      <c r="E293" t="inlineStr">
        <is>
          <t>125252725197</t>
        </is>
      </c>
      <c r="F293">
        <f>IMAGE("https://cf.shopee.tw/file/4da174c9d3bb9381588f9f437a830d16_tn")</f>
        <v/>
      </c>
    </row>
    <row r="294">
      <c r="A294" t="inlineStr">
        <is>
          <t>16049155079</t>
        </is>
      </c>
      <c r="B294" t="inlineStr">
        <is>
          <t>隔日到貨🔥 iPhone 鏡頭貼 17 16 15 14 13 12 11 合金玻璃 保護貼 鏡頭保護 鏡頭圈 鏡頭框</t>
        </is>
      </c>
      <c r="C294">
        <f>IMAGE("https://cf.shopee.tw/file/04eaeb3ecdfef981bb6e35878995d1b3_tn")</f>
        <v/>
      </c>
      <c r="D294" t="inlineStr">
        <is>
          <t>銀色(單顆),12 pro Max</t>
        </is>
      </c>
      <c r="E294" t="inlineStr">
        <is>
          <t>135252725081</t>
        </is>
      </c>
      <c r="F294">
        <f>IMAGE("https://cf.shopee.tw/file/4da174c9d3bb9381588f9f437a830d16_tn")</f>
        <v/>
      </c>
    </row>
    <row r="295">
      <c r="A295" t="inlineStr">
        <is>
          <t>16049155079</t>
        </is>
      </c>
      <c r="B295" t="inlineStr">
        <is>
          <t>隔日到貨🔥 iPhone 鏡頭貼 17 16 15 14 13 12 11 合金玻璃 保護貼 鏡頭保護 鏡頭圈 鏡頭框</t>
        </is>
      </c>
      <c r="C295">
        <f>IMAGE("https://cf.shopee.tw/file/04eaeb3ecdfef981bb6e35878995d1b3_tn")</f>
        <v/>
      </c>
      <c r="D295" t="inlineStr">
        <is>
          <t>銀色(單顆),13 / 13mini</t>
        </is>
      </c>
      <c r="E295" t="inlineStr">
        <is>
          <t>135252725082</t>
        </is>
      </c>
      <c r="F295">
        <f>IMAGE("https://cf.shopee.tw/file/4da174c9d3bb9381588f9f437a830d16_tn")</f>
        <v/>
      </c>
    </row>
    <row r="296">
      <c r="A296" t="inlineStr">
        <is>
          <t>16049155079</t>
        </is>
      </c>
      <c r="B296" t="inlineStr">
        <is>
          <t>隔日到貨🔥 iPhone 鏡頭貼 17 16 15 14 13 12 11 合金玻璃 保護貼 鏡頭保護 鏡頭圈 鏡頭框</t>
        </is>
      </c>
      <c r="C296">
        <f>IMAGE("https://cf.shopee.tw/file/04eaeb3ecdfef981bb6e35878995d1b3_tn")</f>
        <v/>
      </c>
      <c r="D296" t="inlineStr">
        <is>
          <t>銀色(單顆),13pro/13proMax/17Air</t>
        </is>
      </c>
      <c r="E296" t="inlineStr">
        <is>
          <t>116248718826</t>
        </is>
      </c>
      <c r="F296">
        <f>IMAGE("https://cf.shopee.tw/file/4da174c9d3bb9381588f9f437a830d16_tn")</f>
        <v/>
      </c>
    </row>
    <row r="297">
      <c r="A297" t="inlineStr">
        <is>
          <t>16049155079</t>
        </is>
      </c>
      <c r="B297" t="inlineStr">
        <is>
          <t>隔日到貨🔥 iPhone 鏡頭貼 17 16 15 14 13 12 11 合金玻璃 保護貼 鏡頭保護 鏡頭圈 鏡頭框</t>
        </is>
      </c>
      <c r="C297">
        <f>IMAGE("https://cf.shopee.tw/file/04eaeb3ecdfef981bb6e35878995d1b3_tn")</f>
        <v/>
      </c>
      <c r="D297" t="inlineStr">
        <is>
          <t>銀色(單顆),14 / 14Plus</t>
        </is>
      </c>
      <c r="E297" t="inlineStr">
        <is>
          <t>182583716912</t>
        </is>
      </c>
      <c r="F297">
        <f>IMAGE("https://cf.shopee.tw/file/4da174c9d3bb9381588f9f437a830d16_tn")</f>
        <v/>
      </c>
    </row>
    <row r="298">
      <c r="A298" t="inlineStr">
        <is>
          <t>16049155079</t>
        </is>
      </c>
      <c r="B298" t="inlineStr">
        <is>
          <t>隔日到貨🔥 iPhone 鏡頭貼 17 16 15 14 13 12 11 合金玻璃 保護貼 鏡頭保護 鏡頭圈 鏡頭框</t>
        </is>
      </c>
      <c r="C298">
        <f>IMAGE("https://cf.shopee.tw/file/04eaeb3ecdfef981bb6e35878995d1b3_tn")</f>
        <v/>
      </c>
      <c r="D298" t="inlineStr">
        <is>
          <t>銀色(單顆),14 pro / 14 proMax</t>
        </is>
      </c>
      <c r="E298" t="inlineStr">
        <is>
          <t>182583716913</t>
        </is>
      </c>
      <c r="F298">
        <f>IMAGE("https://cf.shopee.tw/file/4da174c9d3bb9381588f9f437a830d16_tn")</f>
        <v/>
      </c>
    </row>
    <row r="299">
      <c r="A299" t="inlineStr">
        <is>
          <t>16049155079</t>
        </is>
      </c>
      <c r="B299" t="inlineStr">
        <is>
          <t>隔日到貨🔥 iPhone 鏡頭貼 17 16 15 14 13 12 11 合金玻璃 保護貼 鏡頭保護 鏡頭圈 鏡頭框</t>
        </is>
      </c>
      <c r="C299">
        <f>IMAGE("https://cf.shopee.tw/file/04eaeb3ecdfef981bb6e35878995d1b3_tn")</f>
        <v/>
      </c>
      <c r="D299" t="inlineStr">
        <is>
          <t>銀色(單顆),15/15Plus/16e</t>
        </is>
      </c>
      <c r="E299" t="inlineStr">
        <is>
          <t>232234478251</t>
        </is>
      </c>
      <c r="F299">
        <f>IMAGE("https://cf.shopee.tw/file/4da174c9d3bb9381588f9f437a830d16_tn")</f>
        <v/>
      </c>
    </row>
    <row r="300">
      <c r="A300" t="inlineStr">
        <is>
          <t>16049155079</t>
        </is>
      </c>
      <c r="B300" t="inlineStr">
        <is>
          <t>隔日到貨🔥 iPhone 鏡頭貼 17 16 15 14 13 12 11 合金玻璃 保護貼 鏡頭保護 鏡頭圈 鏡頭框</t>
        </is>
      </c>
      <c r="C300">
        <f>IMAGE("https://cf.shopee.tw/file/04eaeb3ecdfef981bb6e35878995d1b3_tn")</f>
        <v/>
      </c>
      <c r="D300" t="inlineStr">
        <is>
          <t>銀色(單顆),15pro / 15proMax</t>
        </is>
      </c>
      <c r="E300" t="inlineStr">
        <is>
          <t>232234478252</t>
        </is>
      </c>
      <c r="F300">
        <f>IMAGE("https://cf.shopee.tw/file/4da174c9d3bb9381588f9f437a830d16_tn")</f>
        <v/>
      </c>
    </row>
    <row r="301">
      <c r="A301" t="inlineStr">
        <is>
          <t>16049155079</t>
        </is>
      </c>
      <c r="B301" t="inlineStr">
        <is>
          <t>隔日到貨🔥 iPhone 鏡頭貼 17 16 15 14 13 12 11 合金玻璃 保護貼 鏡頭保護 鏡頭圈 鏡頭框</t>
        </is>
      </c>
      <c r="C301">
        <f>IMAGE("https://cf.shopee.tw/file/04eaeb3ecdfef981bb6e35878995d1b3_tn")</f>
        <v/>
      </c>
      <c r="D301" t="inlineStr">
        <is>
          <t>銀色(單顆),16/16Plus</t>
        </is>
      </c>
      <c r="E301" t="inlineStr">
        <is>
          <t>256535792258</t>
        </is>
      </c>
      <c r="F301">
        <f>IMAGE("https://cf.shopee.tw/file/4da174c9d3bb9381588f9f437a830d16_tn")</f>
        <v/>
      </c>
    </row>
    <row r="302">
      <c r="A302" t="inlineStr">
        <is>
          <t>16049155079</t>
        </is>
      </c>
      <c r="B302" t="inlineStr">
        <is>
          <t>隔日到貨🔥 iPhone 鏡頭貼 17 16 15 14 13 12 11 合金玻璃 保護貼 鏡頭保護 鏡頭圈 鏡頭框</t>
        </is>
      </c>
      <c r="C302">
        <f>IMAGE("https://cf.shopee.tw/file/04eaeb3ecdfef981bb6e35878995d1b3_tn")</f>
        <v/>
      </c>
      <c r="D302" t="inlineStr">
        <is>
          <t>銀色(單顆),16pro / 16proMax</t>
        </is>
      </c>
      <c r="E302" t="inlineStr">
        <is>
          <t>256535792259</t>
        </is>
      </c>
      <c r="F302">
        <f>IMAGE("https://cf.shopee.tw/file/4da174c9d3bb9381588f9f437a830d16_tn")</f>
        <v/>
      </c>
    </row>
    <row r="303">
      <c r="A303" t="inlineStr">
        <is>
          <t>16049155079</t>
        </is>
      </c>
      <c r="B303" t="inlineStr">
        <is>
          <t>隔日到貨🔥 iPhone 鏡頭貼 17 16 15 14 13 12 11 合金玻璃 保護貼 鏡頭保護 鏡頭圈 鏡頭框</t>
        </is>
      </c>
      <c r="C303">
        <f>IMAGE("https://cf.shopee.tw/file/04eaeb3ecdfef981bb6e35878995d1b3_tn")</f>
        <v/>
      </c>
      <c r="D303" t="inlineStr">
        <is>
          <t>銀色(單顆),17/17pro/17proMax</t>
        </is>
      </c>
      <c r="E303" t="inlineStr">
        <is>
          <t>281550036734</t>
        </is>
      </c>
      <c r="F303">
        <f>IMAGE("https://cf.shopee.tw/file/4da174c9d3bb9381588f9f437a830d16_tn")</f>
        <v/>
      </c>
    </row>
    <row r="304">
      <c r="A304" t="inlineStr">
        <is>
          <t>16049155079</t>
        </is>
      </c>
      <c r="B304" t="inlineStr">
        <is>
          <t>隔日到貨🔥 iPhone 鏡頭貼 17 16 15 14 13 12 11 合金玻璃 保護貼 鏡頭保護 鏡頭圈 鏡頭框</t>
        </is>
      </c>
      <c r="C304">
        <f>IMAGE("https://cf.shopee.tw/file/04eaeb3ecdfef981bb6e35878995d1b3_tn")</f>
        <v/>
      </c>
      <c r="D304" t="inlineStr">
        <is>
          <t>金色(單顆),11/12/12mini</t>
        </is>
      </c>
      <c r="E304" t="inlineStr">
        <is>
          <t>125252725203</t>
        </is>
      </c>
      <c r="F304">
        <f>IMAGE("https://cf.shopee.tw/file/tw-11134207-7qul8-lhbjhc5ps7qk2e_tn")</f>
        <v/>
      </c>
    </row>
    <row r="305">
      <c r="A305" t="inlineStr">
        <is>
          <t>16049155079</t>
        </is>
      </c>
      <c r="B305" t="inlineStr">
        <is>
          <t>隔日到貨🔥 iPhone 鏡頭貼 17 16 15 14 13 12 11 合金玻璃 保護貼 鏡頭保護 鏡頭圈 鏡頭框</t>
        </is>
      </c>
      <c r="C305">
        <f>IMAGE("https://cf.shopee.tw/file/04eaeb3ecdfef981bb6e35878995d1b3_tn")</f>
        <v/>
      </c>
      <c r="D305" t="inlineStr">
        <is>
          <t>金色(單顆),12 pro</t>
        </is>
      </c>
      <c r="E305" t="inlineStr">
        <is>
          <t>125252725198</t>
        </is>
      </c>
      <c r="F305">
        <f>IMAGE("https://cf.shopee.tw/file/tw-11134207-7qul8-lhbjhc5ps7qk2e_tn")</f>
        <v/>
      </c>
    </row>
    <row r="306">
      <c r="A306" t="inlineStr">
        <is>
          <t>16049155079</t>
        </is>
      </c>
      <c r="B306" t="inlineStr">
        <is>
          <t>隔日到貨🔥 iPhone 鏡頭貼 17 16 15 14 13 12 11 合金玻璃 保護貼 鏡頭保護 鏡頭圈 鏡頭框</t>
        </is>
      </c>
      <c r="C306">
        <f>IMAGE("https://cf.shopee.tw/file/04eaeb3ecdfef981bb6e35878995d1b3_tn")</f>
        <v/>
      </c>
      <c r="D306" t="inlineStr">
        <is>
          <t>金色(單顆),12 pro Max</t>
        </is>
      </c>
      <c r="E306" t="inlineStr">
        <is>
          <t>125252725201</t>
        </is>
      </c>
      <c r="F306">
        <f>IMAGE("https://cf.shopee.tw/file/tw-11134207-7qul8-lhbjhc5ps7qk2e_tn")</f>
        <v/>
      </c>
    </row>
    <row r="307">
      <c r="A307" t="inlineStr">
        <is>
          <t>16049155079</t>
        </is>
      </c>
      <c r="B307" t="inlineStr">
        <is>
          <t>隔日到貨🔥 iPhone 鏡頭貼 17 16 15 14 13 12 11 合金玻璃 保護貼 鏡頭保護 鏡頭圈 鏡頭框</t>
        </is>
      </c>
      <c r="C307">
        <f>IMAGE("https://cf.shopee.tw/file/04eaeb3ecdfef981bb6e35878995d1b3_tn")</f>
        <v/>
      </c>
      <c r="D307" t="inlineStr">
        <is>
          <t>金色(單顆),13 / 13mini</t>
        </is>
      </c>
      <c r="E307" t="inlineStr">
        <is>
          <t>125252725204</t>
        </is>
      </c>
      <c r="F307">
        <f>IMAGE("https://cf.shopee.tw/file/tw-11134207-7qul8-lhbjhc5ps7qk2e_tn")</f>
        <v/>
      </c>
    </row>
    <row r="308">
      <c r="A308" t="inlineStr">
        <is>
          <t>16049155079</t>
        </is>
      </c>
      <c r="B308" t="inlineStr">
        <is>
          <t>隔日到貨🔥 iPhone 鏡頭貼 17 16 15 14 13 12 11 合金玻璃 保護貼 鏡頭保護 鏡頭圈 鏡頭框</t>
        </is>
      </c>
      <c r="C308">
        <f>IMAGE("https://cf.shopee.tw/file/04eaeb3ecdfef981bb6e35878995d1b3_tn")</f>
        <v/>
      </c>
      <c r="D308" t="inlineStr">
        <is>
          <t>金色(單顆),13pro/13proMax/17Air</t>
        </is>
      </c>
      <c r="E308" t="inlineStr">
        <is>
          <t>116248718824</t>
        </is>
      </c>
      <c r="F308">
        <f>IMAGE("https://cf.shopee.tw/file/tw-11134207-7qul8-lhbjhc5ps7qk2e_tn")</f>
        <v/>
      </c>
    </row>
    <row r="309">
      <c r="A309" t="inlineStr">
        <is>
          <t>16049155079</t>
        </is>
      </c>
      <c r="B309" t="inlineStr">
        <is>
          <t>隔日到貨🔥 iPhone 鏡頭貼 17 16 15 14 13 12 11 合金玻璃 保護貼 鏡頭保護 鏡頭圈 鏡頭框</t>
        </is>
      </c>
      <c r="C309">
        <f>IMAGE("https://cf.shopee.tw/file/04eaeb3ecdfef981bb6e35878995d1b3_tn")</f>
        <v/>
      </c>
      <c r="D309" t="inlineStr">
        <is>
          <t>金色(單顆),14 / 14Plus</t>
        </is>
      </c>
      <c r="E309" t="inlineStr"/>
      <c r="F309">
        <f>IMAGE("https://cf.shopee.tw/file/tw-11134207-7qul8-lhbjhc5ps7qk2e_tn")</f>
        <v/>
      </c>
    </row>
    <row r="310">
      <c r="A310" t="inlineStr">
        <is>
          <t>16049155079</t>
        </is>
      </c>
      <c r="B310" t="inlineStr">
        <is>
          <t>隔日到貨🔥 iPhone 鏡頭貼 17 16 15 14 13 12 11 合金玻璃 保護貼 鏡頭保護 鏡頭圈 鏡頭框</t>
        </is>
      </c>
      <c r="C310">
        <f>IMAGE("https://cf.shopee.tw/file/04eaeb3ecdfef981bb6e35878995d1b3_tn")</f>
        <v/>
      </c>
      <c r="D310" t="inlineStr">
        <is>
          <t>金色(單顆),14 pro / 14 proMax</t>
        </is>
      </c>
      <c r="E310" t="inlineStr">
        <is>
          <t>182583716914</t>
        </is>
      </c>
      <c r="F310">
        <f>IMAGE("https://cf.shopee.tw/file/tw-11134207-7qul8-lhbjhc5ps7qk2e_tn")</f>
        <v/>
      </c>
    </row>
    <row r="311">
      <c r="A311" t="inlineStr">
        <is>
          <t>16049155079</t>
        </is>
      </c>
      <c r="B311" t="inlineStr">
        <is>
          <t>隔日到貨🔥 iPhone 鏡頭貼 17 16 15 14 13 12 11 合金玻璃 保護貼 鏡頭保護 鏡頭圈 鏡頭框</t>
        </is>
      </c>
      <c r="C311">
        <f>IMAGE("https://cf.shopee.tw/file/04eaeb3ecdfef981bb6e35878995d1b3_tn")</f>
        <v/>
      </c>
      <c r="D311" t="inlineStr">
        <is>
          <t>金色(單顆),15/15Plus/16e</t>
        </is>
      </c>
      <c r="E311" t="inlineStr">
        <is>
          <t>232234478253</t>
        </is>
      </c>
      <c r="F311">
        <f>IMAGE("https://cf.shopee.tw/file/tw-11134207-7qul8-lhbjhc5ps7qk2e_tn")</f>
        <v/>
      </c>
    </row>
    <row r="312">
      <c r="A312" t="inlineStr">
        <is>
          <t>16049155079</t>
        </is>
      </c>
      <c r="B312" t="inlineStr">
        <is>
          <t>隔日到貨🔥 iPhone 鏡頭貼 17 16 15 14 13 12 11 合金玻璃 保護貼 鏡頭保護 鏡頭圈 鏡頭框</t>
        </is>
      </c>
      <c r="C312">
        <f>IMAGE("https://cf.shopee.tw/file/04eaeb3ecdfef981bb6e35878995d1b3_tn")</f>
        <v/>
      </c>
      <c r="D312" t="inlineStr">
        <is>
          <t>金色(單顆),15pro / 15proMax</t>
        </is>
      </c>
      <c r="E312" t="inlineStr">
        <is>
          <t>232234478254</t>
        </is>
      </c>
      <c r="F312">
        <f>IMAGE("https://cf.shopee.tw/file/tw-11134207-7qul8-lhbjhc5ps7qk2e_tn")</f>
        <v/>
      </c>
    </row>
    <row r="313">
      <c r="A313" t="inlineStr">
        <is>
          <t>16049155079</t>
        </is>
      </c>
      <c r="B313" t="inlineStr">
        <is>
          <t>隔日到貨🔥 iPhone 鏡頭貼 17 16 15 14 13 12 11 合金玻璃 保護貼 鏡頭保護 鏡頭圈 鏡頭框</t>
        </is>
      </c>
      <c r="C313">
        <f>IMAGE("https://cf.shopee.tw/file/04eaeb3ecdfef981bb6e35878995d1b3_tn")</f>
        <v/>
      </c>
      <c r="D313" t="inlineStr">
        <is>
          <t>金色(單顆),16/16Plus</t>
        </is>
      </c>
      <c r="E313" t="inlineStr">
        <is>
          <t>256535792260</t>
        </is>
      </c>
      <c r="F313">
        <f>IMAGE("https://cf.shopee.tw/file/tw-11134207-7qul8-lhbjhc5ps7qk2e_tn")</f>
        <v/>
      </c>
    </row>
    <row r="314">
      <c r="A314" t="inlineStr">
        <is>
          <t>16049155079</t>
        </is>
      </c>
      <c r="B314" t="inlineStr">
        <is>
          <t>隔日到貨🔥 iPhone 鏡頭貼 17 16 15 14 13 12 11 合金玻璃 保護貼 鏡頭保護 鏡頭圈 鏡頭框</t>
        </is>
      </c>
      <c r="C314">
        <f>IMAGE("https://cf.shopee.tw/file/04eaeb3ecdfef981bb6e35878995d1b3_tn")</f>
        <v/>
      </c>
      <c r="D314" t="inlineStr">
        <is>
          <t>金色(單顆),16pro / 16proMax</t>
        </is>
      </c>
      <c r="E314" t="inlineStr">
        <is>
          <t>256535792261</t>
        </is>
      </c>
      <c r="F314">
        <f>IMAGE("https://cf.shopee.tw/file/tw-11134207-7qul8-lhbjhc5ps7qk2e_tn")</f>
        <v/>
      </c>
    </row>
    <row r="315">
      <c r="A315" t="inlineStr">
        <is>
          <t>16049155079</t>
        </is>
      </c>
      <c r="B315" t="inlineStr">
        <is>
          <t>隔日到貨🔥 iPhone 鏡頭貼 17 16 15 14 13 12 11 合金玻璃 保護貼 鏡頭保護 鏡頭圈 鏡頭框</t>
        </is>
      </c>
      <c r="C315">
        <f>IMAGE("https://cf.shopee.tw/file/04eaeb3ecdfef981bb6e35878995d1b3_tn")</f>
        <v/>
      </c>
      <c r="D315" t="inlineStr">
        <is>
          <t>金色(單顆),17/17pro/17proMax</t>
        </is>
      </c>
      <c r="E315" t="inlineStr">
        <is>
          <t>281550036735</t>
        </is>
      </c>
      <c r="F315">
        <f>IMAGE("https://cf.shopee.tw/file/tw-11134207-7qul8-lhbjhc5ps7qk2e_tn")</f>
        <v/>
      </c>
    </row>
    <row r="316">
      <c r="A316" t="inlineStr">
        <is>
          <t>16049155079</t>
        </is>
      </c>
      <c r="B316" t="inlineStr">
        <is>
          <t>隔日到貨🔥 iPhone 鏡頭貼 17 16 15 14 13 12 11 合金玻璃 保護貼 鏡頭保護 鏡頭圈 鏡頭框</t>
        </is>
      </c>
      <c r="C316">
        <f>IMAGE("https://cf.shopee.tw/file/04eaeb3ecdfef981bb6e35878995d1b3_tn")</f>
        <v/>
      </c>
      <c r="D316" t="inlineStr">
        <is>
          <t>藍色(單顆),11/12/12mini</t>
        </is>
      </c>
      <c r="E316" t="inlineStr"/>
      <c r="F316">
        <f>IMAGE("https://cf.shopee.tw/file/555028d0cd46bf8dfd06684b51fc4b51_tn")</f>
        <v/>
      </c>
    </row>
    <row r="317">
      <c r="A317" t="inlineStr">
        <is>
          <t>16049155079</t>
        </is>
      </c>
      <c r="B317" t="inlineStr">
        <is>
          <t>隔日到貨🔥 iPhone 鏡頭貼 17 16 15 14 13 12 11 合金玻璃 保護貼 鏡頭保護 鏡頭圈 鏡頭框</t>
        </is>
      </c>
      <c r="C317">
        <f>IMAGE("https://cf.shopee.tw/file/04eaeb3ecdfef981bb6e35878995d1b3_tn")</f>
        <v/>
      </c>
      <c r="D317" t="inlineStr">
        <is>
          <t>藍色(單顆),12 pro</t>
        </is>
      </c>
      <c r="E317" t="inlineStr">
        <is>
          <t>125252725192</t>
        </is>
      </c>
      <c r="F317">
        <f>IMAGE("https://cf.shopee.tw/file/555028d0cd46bf8dfd06684b51fc4b51_tn")</f>
        <v/>
      </c>
    </row>
    <row r="318">
      <c r="A318" t="inlineStr">
        <is>
          <t>16049155079</t>
        </is>
      </c>
      <c r="B318" t="inlineStr">
        <is>
          <t>隔日到貨🔥 iPhone 鏡頭貼 17 16 15 14 13 12 11 合金玻璃 保護貼 鏡頭保護 鏡頭圈 鏡頭框</t>
        </is>
      </c>
      <c r="C318">
        <f>IMAGE("https://cf.shopee.tw/file/04eaeb3ecdfef981bb6e35878995d1b3_tn")</f>
        <v/>
      </c>
      <c r="D318" t="inlineStr">
        <is>
          <t>藍色(單顆),12 pro Max</t>
        </is>
      </c>
      <c r="E318" t="inlineStr">
        <is>
          <t>125252725205</t>
        </is>
      </c>
      <c r="F318">
        <f>IMAGE("https://cf.shopee.tw/file/555028d0cd46bf8dfd06684b51fc4b51_tn")</f>
        <v/>
      </c>
    </row>
    <row r="319">
      <c r="A319" t="inlineStr">
        <is>
          <t>16049155079</t>
        </is>
      </c>
      <c r="B319" t="inlineStr">
        <is>
          <t>隔日到貨🔥 iPhone 鏡頭貼 17 16 15 14 13 12 11 合金玻璃 保護貼 鏡頭保護 鏡頭圈 鏡頭框</t>
        </is>
      </c>
      <c r="C319">
        <f>IMAGE("https://cf.shopee.tw/file/04eaeb3ecdfef981bb6e35878995d1b3_tn")</f>
        <v/>
      </c>
      <c r="D319" t="inlineStr">
        <is>
          <t>藍色(單顆),13 / 13mini</t>
        </is>
      </c>
      <c r="E319" t="inlineStr"/>
      <c r="F319">
        <f>IMAGE("https://cf.shopee.tw/file/555028d0cd46bf8dfd06684b51fc4b51_tn")</f>
        <v/>
      </c>
    </row>
    <row r="320">
      <c r="A320" t="inlineStr">
        <is>
          <t>16049155079</t>
        </is>
      </c>
      <c r="B320" t="inlineStr">
        <is>
          <t>隔日到貨🔥 iPhone 鏡頭貼 17 16 15 14 13 12 11 合金玻璃 保護貼 鏡頭保護 鏡頭圈 鏡頭框</t>
        </is>
      </c>
      <c r="C320">
        <f>IMAGE("https://cf.shopee.tw/file/04eaeb3ecdfef981bb6e35878995d1b3_tn")</f>
        <v/>
      </c>
      <c r="D320" t="inlineStr">
        <is>
          <t>藍色(單顆),13pro/13proMax/17Air</t>
        </is>
      </c>
      <c r="E320" t="inlineStr">
        <is>
          <t>116248718827</t>
        </is>
      </c>
      <c r="F320">
        <f>IMAGE("https://cf.shopee.tw/file/555028d0cd46bf8dfd06684b51fc4b51_tn")</f>
        <v/>
      </c>
    </row>
    <row r="321">
      <c r="A321" t="inlineStr">
        <is>
          <t>16049155079</t>
        </is>
      </c>
      <c r="B321" t="inlineStr">
        <is>
          <t>隔日到貨🔥 iPhone 鏡頭貼 17 16 15 14 13 12 11 合金玻璃 保護貼 鏡頭保護 鏡頭圈 鏡頭框</t>
        </is>
      </c>
      <c r="C321">
        <f>IMAGE("https://cf.shopee.tw/file/04eaeb3ecdfef981bb6e35878995d1b3_tn")</f>
        <v/>
      </c>
      <c r="D321" t="inlineStr">
        <is>
          <t>藍色(單顆),14 / 14Plus</t>
        </is>
      </c>
      <c r="E321" t="inlineStr"/>
      <c r="F321">
        <f>IMAGE("https://cf.shopee.tw/file/555028d0cd46bf8dfd06684b51fc4b51_tn")</f>
        <v/>
      </c>
    </row>
    <row r="322">
      <c r="A322" t="inlineStr">
        <is>
          <t>16049155079</t>
        </is>
      </c>
      <c r="B322" t="inlineStr">
        <is>
          <t>隔日到貨🔥 iPhone 鏡頭貼 17 16 15 14 13 12 11 合金玻璃 保護貼 鏡頭保護 鏡頭圈 鏡頭框</t>
        </is>
      </c>
      <c r="C322">
        <f>IMAGE("https://cf.shopee.tw/file/04eaeb3ecdfef981bb6e35878995d1b3_tn")</f>
        <v/>
      </c>
      <c r="D322" t="inlineStr">
        <is>
          <t>藍色(單顆),14 pro / 14 proMax</t>
        </is>
      </c>
      <c r="E322" t="inlineStr">
        <is>
          <t>182583716916</t>
        </is>
      </c>
      <c r="F322">
        <f>IMAGE("https://cf.shopee.tw/file/555028d0cd46bf8dfd06684b51fc4b51_tn")</f>
        <v/>
      </c>
    </row>
    <row r="323">
      <c r="A323" t="inlineStr">
        <is>
          <t>16049155079</t>
        </is>
      </c>
      <c r="B323" t="inlineStr">
        <is>
          <t>隔日到貨🔥 iPhone 鏡頭貼 17 16 15 14 13 12 11 合金玻璃 保護貼 鏡頭保護 鏡頭圈 鏡頭框</t>
        </is>
      </c>
      <c r="C323">
        <f>IMAGE("https://cf.shopee.tw/file/04eaeb3ecdfef981bb6e35878995d1b3_tn")</f>
        <v/>
      </c>
      <c r="D323" t="inlineStr">
        <is>
          <t>藍色(單顆),15/15Plus/16e</t>
        </is>
      </c>
      <c r="E323" t="inlineStr"/>
      <c r="F323">
        <f>IMAGE("https://cf.shopee.tw/file/555028d0cd46bf8dfd06684b51fc4b51_tn")</f>
        <v/>
      </c>
    </row>
    <row r="324">
      <c r="A324" t="inlineStr">
        <is>
          <t>16049155079</t>
        </is>
      </c>
      <c r="B324" t="inlineStr">
        <is>
          <t>隔日到貨🔥 iPhone 鏡頭貼 17 16 15 14 13 12 11 合金玻璃 保護貼 鏡頭保護 鏡頭圈 鏡頭框</t>
        </is>
      </c>
      <c r="C324">
        <f>IMAGE("https://cf.shopee.tw/file/04eaeb3ecdfef981bb6e35878995d1b3_tn")</f>
        <v/>
      </c>
      <c r="D324" t="inlineStr">
        <is>
          <t>藍色(單顆),15pro / 15proMax</t>
        </is>
      </c>
      <c r="E324" t="inlineStr">
        <is>
          <t>232234478256</t>
        </is>
      </c>
      <c r="F324">
        <f>IMAGE("https://cf.shopee.tw/file/555028d0cd46bf8dfd06684b51fc4b51_tn")</f>
        <v/>
      </c>
    </row>
    <row r="325">
      <c r="A325" t="inlineStr">
        <is>
          <t>16049155079</t>
        </is>
      </c>
      <c r="B325" t="inlineStr">
        <is>
          <t>隔日到貨🔥 iPhone 鏡頭貼 17 16 15 14 13 12 11 合金玻璃 保護貼 鏡頭保護 鏡頭圈 鏡頭框</t>
        </is>
      </c>
      <c r="C325">
        <f>IMAGE("https://cf.shopee.tw/file/04eaeb3ecdfef981bb6e35878995d1b3_tn")</f>
        <v/>
      </c>
      <c r="D325" t="inlineStr">
        <is>
          <t>藍色(單顆),16/16Plus</t>
        </is>
      </c>
      <c r="E325" t="inlineStr">
        <is>
          <t>256535792262</t>
        </is>
      </c>
      <c r="F325">
        <f>IMAGE("https://cf.shopee.tw/file/555028d0cd46bf8dfd06684b51fc4b51_tn")</f>
        <v/>
      </c>
    </row>
    <row r="326">
      <c r="A326" t="inlineStr">
        <is>
          <t>16049155079</t>
        </is>
      </c>
      <c r="B326" t="inlineStr">
        <is>
          <t>隔日到貨🔥 iPhone 鏡頭貼 17 16 15 14 13 12 11 合金玻璃 保護貼 鏡頭保護 鏡頭圈 鏡頭框</t>
        </is>
      </c>
      <c r="C326">
        <f>IMAGE("https://cf.shopee.tw/file/04eaeb3ecdfef981bb6e35878995d1b3_tn")</f>
        <v/>
      </c>
      <c r="D326" t="inlineStr">
        <is>
          <t>藍色(單顆),16pro / 16proMax</t>
        </is>
      </c>
      <c r="E326" t="inlineStr">
        <is>
          <t>256535792263</t>
        </is>
      </c>
      <c r="F326">
        <f>IMAGE("https://cf.shopee.tw/file/555028d0cd46bf8dfd06684b51fc4b51_tn")</f>
        <v/>
      </c>
    </row>
    <row r="327">
      <c r="A327" t="inlineStr">
        <is>
          <t>16049155079</t>
        </is>
      </c>
      <c r="B327" t="inlineStr">
        <is>
          <t>隔日到貨🔥 iPhone 鏡頭貼 17 16 15 14 13 12 11 合金玻璃 保護貼 鏡頭保護 鏡頭圈 鏡頭框</t>
        </is>
      </c>
      <c r="C327">
        <f>IMAGE("https://cf.shopee.tw/file/04eaeb3ecdfef981bb6e35878995d1b3_tn")</f>
        <v/>
      </c>
      <c r="D327" t="inlineStr">
        <is>
          <t>藍色(單顆),17/17pro/17proMax</t>
        </is>
      </c>
      <c r="E327" t="inlineStr">
        <is>
          <t>281550036736</t>
        </is>
      </c>
      <c r="F327">
        <f>IMAGE("https://cf.shopee.tw/file/555028d0cd46bf8dfd06684b51fc4b51_tn")</f>
        <v/>
      </c>
    </row>
    <row r="328">
      <c r="A328" t="inlineStr">
        <is>
          <t>16049155079</t>
        </is>
      </c>
      <c r="B328" t="inlineStr">
        <is>
          <t>隔日到貨🔥 iPhone 鏡頭貼 17 16 15 14 13 12 11 合金玻璃 保護貼 鏡頭保護 鏡頭圈 鏡頭框</t>
        </is>
      </c>
      <c r="C328">
        <f>IMAGE("https://cf.shopee.tw/file/04eaeb3ecdfef981bb6e35878995d1b3_tn")</f>
        <v/>
      </c>
      <c r="D328" t="inlineStr">
        <is>
          <t>紫色(單顆),11/12/12mini</t>
        </is>
      </c>
      <c r="E328" t="inlineStr">
        <is>
          <t>29198172309</t>
        </is>
      </c>
      <c r="F328">
        <f>IMAGE("https://cf.shopee.tw/file/578e10a4d1af51481b2ca214030d09dc_tn")</f>
        <v/>
      </c>
    </row>
    <row r="329">
      <c r="A329" t="inlineStr">
        <is>
          <t>16049155079</t>
        </is>
      </c>
      <c r="B329" t="inlineStr">
        <is>
          <t>隔日到貨🔥 iPhone 鏡頭貼 17 16 15 14 13 12 11 合金玻璃 保護貼 鏡頭保護 鏡頭圈 鏡頭框</t>
        </is>
      </c>
      <c r="C329">
        <f>IMAGE("https://cf.shopee.tw/file/04eaeb3ecdfef981bb6e35878995d1b3_tn")</f>
        <v/>
      </c>
      <c r="D329" t="inlineStr">
        <is>
          <t>紫色(單顆),12 pro</t>
        </is>
      </c>
      <c r="E329" t="inlineStr"/>
      <c r="F329">
        <f>IMAGE("https://cf.shopee.tw/file/578e10a4d1af51481b2ca214030d09dc_tn")</f>
        <v/>
      </c>
    </row>
    <row r="330">
      <c r="A330" t="inlineStr">
        <is>
          <t>16049155079</t>
        </is>
      </c>
      <c r="B330" t="inlineStr">
        <is>
          <t>隔日到貨🔥 iPhone 鏡頭貼 17 16 15 14 13 12 11 合金玻璃 保護貼 鏡頭保護 鏡頭圈 鏡頭框</t>
        </is>
      </c>
      <c r="C330">
        <f>IMAGE("https://cf.shopee.tw/file/04eaeb3ecdfef981bb6e35878995d1b3_tn")</f>
        <v/>
      </c>
      <c r="D330" t="inlineStr">
        <is>
          <t>紫色(單顆),12 pro Max</t>
        </is>
      </c>
      <c r="E330" t="inlineStr"/>
      <c r="F330">
        <f>IMAGE("https://cf.shopee.tw/file/578e10a4d1af51481b2ca214030d09dc_tn")</f>
        <v/>
      </c>
    </row>
    <row r="331">
      <c r="A331" t="inlineStr">
        <is>
          <t>16049155079</t>
        </is>
      </c>
      <c r="B331" t="inlineStr">
        <is>
          <t>隔日到貨🔥 iPhone 鏡頭貼 17 16 15 14 13 12 11 合金玻璃 保護貼 鏡頭保護 鏡頭圈 鏡頭框</t>
        </is>
      </c>
      <c r="C331">
        <f>IMAGE("https://cf.shopee.tw/file/04eaeb3ecdfef981bb6e35878995d1b3_tn")</f>
        <v/>
      </c>
      <c r="D331" t="inlineStr">
        <is>
          <t>紫色(單顆),13 / 13mini</t>
        </is>
      </c>
      <c r="E331" t="inlineStr"/>
      <c r="F331">
        <f>IMAGE("https://cf.shopee.tw/file/578e10a4d1af51481b2ca214030d09dc_tn")</f>
        <v/>
      </c>
    </row>
    <row r="332">
      <c r="A332" t="inlineStr">
        <is>
          <t>16049155079</t>
        </is>
      </c>
      <c r="B332" t="inlineStr">
        <is>
          <t>隔日到貨🔥 iPhone 鏡頭貼 17 16 15 14 13 12 11 合金玻璃 保護貼 鏡頭保護 鏡頭圈 鏡頭框</t>
        </is>
      </c>
      <c r="C332">
        <f>IMAGE("https://cf.shopee.tw/file/04eaeb3ecdfef981bb6e35878995d1b3_tn")</f>
        <v/>
      </c>
      <c r="D332" t="inlineStr">
        <is>
          <t>紫色(單顆),13pro/13proMax/17Air</t>
        </is>
      </c>
      <c r="E332" t="inlineStr"/>
      <c r="F332">
        <f>IMAGE("https://cf.shopee.tw/file/578e10a4d1af51481b2ca214030d09dc_tn")</f>
        <v/>
      </c>
    </row>
    <row r="333">
      <c r="A333" t="inlineStr">
        <is>
          <t>16049155079</t>
        </is>
      </c>
      <c r="B333" t="inlineStr">
        <is>
          <t>隔日到貨🔥 iPhone 鏡頭貼 17 16 15 14 13 12 11 合金玻璃 保護貼 鏡頭保護 鏡頭圈 鏡頭框</t>
        </is>
      </c>
      <c r="C333">
        <f>IMAGE("https://cf.shopee.tw/file/04eaeb3ecdfef981bb6e35878995d1b3_tn")</f>
        <v/>
      </c>
      <c r="D333" t="inlineStr">
        <is>
          <t>紫色(單顆),14 / 14Plus</t>
        </is>
      </c>
      <c r="E333" t="inlineStr">
        <is>
          <t>29198172305</t>
        </is>
      </c>
      <c r="F333">
        <f>IMAGE("https://cf.shopee.tw/file/578e10a4d1af51481b2ca214030d09dc_tn")</f>
        <v/>
      </c>
    </row>
    <row r="334">
      <c r="A334" t="inlineStr">
        <is>
          <t>16049155079</t>
        </is>
      </c>
      <c r="B334" t="inlineStr">
        <is>
          <t>隔日到貨🔥 iPhone 鏡頭貼 17 16 15 14 13 12 11 合金玻璃 保護貼 鏡頭保護 鏡頭圈 鏡頭框</t>
        </is>
      </c>
      <c r="C334">
        <f>IMAGE("https://cf.shopee.tw/file/04eaeb3ecdfef981bb6e35878995d1b3_tn")</f>
        <v/>
      </c>
      <c r="D334" t="inlineStr">
        <is>
          <t>紫色(單顆),14 pro / 14 proMax</t>
        </is>
      </c>
      <c r="E334" t="inlineStr"/>
      <c r="F334">
        <f>IMAGE("https://cf.shopee.tw/file/578e10a4d1af51481b2ca214030d09dc_tn")</f>
        <v/>
      </c>
    </row>
    <row r="335">
      <c r="A335" t="inlineStr">
        <is>
          <t>16049155079</t>
        </is>
      </c>
      <c r="B335" t="inlineStr">
        <is>
          <t>隔日到貨🔥 iPhone 鏡頭貼 17 16 15 14 13 12 11 合金玻璃 保護貼 鏡頭保護 鏡頭圈 鏡頭框</t>
        </is>
      </c>
      <c r="C335">
        <f>IMAGE("https://cf.shopee.tw/file/04eaeb3ecdfef981bb6e35878995d1b3_tn")</f>
        <v/>
      </c>
      <c r="D335" t="inlineStr">
        <is>
          <t>紫色(單顆),15/15Plus/16e</t>
        </is>
      </c>
      <c r="E335" t="inlineStr"/>
      <c r="F335">
        <f>IMAGE("https://cf.shopee.tw/file/578e10a4d1af51481b2ca214030d09dc_tn")</f>
        <v/>
      </c>
    </row>
    <row r="336">
      <c r="A336" t="inlineStr">
        <is>
          <t>16049155079</t>
        </is>
      </c>
      <c r="B336" t="inlineStr">
        <is>
          <t>隔日到貨🔥 iPhone 鏡頭貼 17 16 15 14 13 12 11 合金玻璃 保護貼 鏡頭保護 鏡頭圈 鏡頭框</t>
        </is>
      </c>
      <c r="C336">
        <f>IMAGE("https://cf.shopee.tw/file/04eaeb3ecdfef981bb6e35878995d1b3_tn")</f>
        <v/>
      </c>
      <c r="D336" t="inlineStr">
        <is>
          <t>紫色(單顆),15pro / 15proMax</t>
        </is>
      </c>
      <c r="E336" t="inlineStr">
        <is>
          <t>232234478258</t>
        </is>
      </c>
      <c r="F336">
        <f>IMAGE("https://cf.shopee.tw/file/578e10a4d1af51481b2ca214030d09dc_tn")</f>
        <v/>
      </c>
    </row>
    <row r="337">
      <c r="A337" t="inlineStr">
        <is>
          <t>16049155079</t>
        </is>
      </c>
      <c r="B337" t="inlineStr">
        <is>
          <t>隔日到貨🔥 iPhone 鏡頭貼 17 16 15 14 13 12 11 合金玻璃 保護貼 鏡頭保護 鏡頭圈 鏡頭框</t>
        </is>
      </c>
      <c r="C337">
        <f>IMAGE("https://cf.shopee.tw/file/04eaeb3ecdfef981bb6e35878995d1b3_tn")</f>
        <v/>
      </c>
      <c r="D337" t="inlineStr">
        <is>
          <t>紫色(單顆),16/16Plus</t>
        </is>
      </c>
      <c r="E337" t="inlineStr"/>
      <c r="F337">
        <f>IMAGE("https://cf.shopee.tw/file/578e10a4d1af51481b2ca214030d09dc_tn")</f>
        <v/>
      </c>
    </row>
    <row r="338">
      <c r="A338" t="inlineStr">
        <is>
          <t>16049155079</t>
        </is>
      </c>
      <c r="B338" t="inlineStr">
        <is>
          <t>隔日到貨🔥 iPhone 鏡頭貼 17 16 15 14 13 12 11 合金玻璃 保護貼 鏡頭保護 鏡頭圈 鏡頭框</t>
        </is>
      </c>
      <c r="C338">
        <f>IMAGE("https://cf.shopee.tw/file/04eaeb3ecdfef981bb6e35878995d1b3_tn")</f>
        <v/>
      </c>
      <c r="D338" t="inlineStr">
        <is>
          <t>紫色(單顆),17/17pro/17proMax</t>
        </is>
      </c>
      <c r="E338" t="inlineStr">
        <is>
          <t>281550036737</t>
        </is>
      </c>
      <c r="F338">
        <f>IMAGE("https://cf.shopee.tw/file/578e10a4d1af51481b2ca214030d09dc_tn")</f>
        <v/>
      </c>
    </row>
    <row r="339">
      <c r="A339" t="inlineStr">
        <is>
          <t>29709802185</t>
        </is>
      </c>
      <c r="B339" t="inlineStr">
        <is>
          <t>隔日到貨🔥 馬卡龍色系長襪 S8 襪子 長襪 棉襪 白長襪 中筒襪 女襪 白色襪子 女生襪子 女長襪 襪子女</t>
        </is>
      </c>
      <c r="C339">
        <f>IMAGE("https://cf.shopee.tw/file/tw-11134207-7r98s-lzm4096v4cv24c_tn")</f>
        <v/>
      </c>
      <c r="D339" t="inlineStr">
        <is>
          <t>黑色</t>
        </is>
      </c>
      <c r="E339" t="inlineStr">
        <is>
          <t>185357092537</t>
        </is>
      </c>
      <c r="F339">
        <f>IMAGE("https://cf.shopee.tw/file/tw-11134207-7r98u-lzm4m1sqxxcuaf_tn")</f>
        <v/>
      </c>
    </row>
    <row r="340">
      <c r="A340" t="inlineStr">
        <is>
          <t>29709802185</t>
        </is>
      </c>
      <c r="B340" t="inlineStr">
        <is>
          <t>隔日到貨🔥 馬卡龍色系長襪 S8 襪子 長襪 棉襪 白長襪 中筒襪 女襪 白色襪子 女生襪子 女長襪 襪子女</t>
        </is>
      </c>
      <c r="C340">
        <f>IMAGE("https://cf.shopee.tw/file/tw-11134207-7r98s-lzm4096v4cv24c_tn")</f>
        <v/>
      </c>
      <c r="D340" t="inlineStr">
        <is>
          <t>奶油</t>
        </is>
      </c>
      <c r="E340" t="inlineStr">
        <is>
          <t>185357092538</t>
        </is>
      </c>
      <c r="F340">
        <f>IMAGE("https://cf.shopee.tw/file/tw-11134207-7r98s-lzm4m1ss8a3i99_tn")</f>
        <v/>
      </c>
    </row>
    <row r="341">
      <c r="A341" t="inlineStr">
        <is>
          <t>29709802185</t>
        </is>
      </c>
      <c r="B341" t="inlineStr">
        <is>
          <t>隔日到貨🔥 馬卡龍色系長襪 S8 襪子 長襪 棉襪 白長襪 中筒襪 女襪 白色襪子 女生襪子 女長襪 襪子女</t>
        </is>
      </c>
      <c r="C341">
        <f>IMAGE("https://cf.shopee.tw/file/tw-11134207-7r98s-lzm4096v4cv24c_tn")</f>
        <v/>
      </c>
      <c r="D341" t="inlineStr">
        <is>
          <t>米色</t>
        </is>
      </c>
      <c r="E341" t="inlineStr">
        <is>
          <t>185357092539</t>
        </is>
      </c>
      <c r="F341">
        <f>IMAGE("https://cf.shopee.tw/file/tw-11134207-7r992-lzm4m1ss8a2cc4_tn")</f>
        <v/>
      </c>
    </row>
    <row r="342">
      <c r="A342" t="inlineStr">
        <is>
          <t>29709802185</t>
        </is>
      </c>
      <c r="B342" t="inlineStr">
        <is>
          <t>隔日到貨🔥 馬卡龍色系長襪 S8 襪子 長襪 棉襪 白長襪 中筒襪 女襪 白色襪子 女生襪子 女長襪 襪子女</t>
        </is>
      </c>
      <c r="C342">
        <f>IMAGE("https://cf.shopee.tw/file/tw-11134207-7r98s-lzm4096v4cv24c_tn")</f>
        <v/>
      </c>
      <c r="D342" t="inlineStr">
        <is>
          <t>奶藍</t>
        </is>
      </c>
      <c r="E342" t="inlineStr">
        <is>
          <t>185357092540</t>
        </is>
      </c>
      <c r="F342">
        <f>IMAGE("https://cf.shopee.tw/file/tw-11134207-7r98x-lzm4m1sqxxboe6_tn")</f>
        <v/>
      </c>
    </row>
    <row r="343">
      <c r="A343" t="inlineStr">
        <is>
          <t>29709802185</t>
        </is>
      </c>
      <c r="B343" t="inlineStr">
        <is>
          <t>隔日到貨🔥 馬卡龍色系長襪 S8 襪子 長襪 棉襪 白長襪 中筒襪 女襪 白色襪子 女生襪子 女長襪 襪子女</t>
        </is>
      </c>
      <c r="C343">
        <f>IMAGE("https://cf.shopee.tw/file/tw-11134207-7r98s-lzm4096v4cv24c_tn")</f>
        <v/>
      </c>
      <c r="D343" t="inlineStr">
        <is>
          <t>奶綠</t>
        </is>
      </c>
      <c r="E343" t="inlineStr">
        <is>
          <t>185357092541</t>
        </is>
      </c>
      <c r="F343">
        <f>IMAGE("https://cf.shopee.tw/file/tw-11134207-7r98p-lzm4m1srddkkeb_tn")</f>
        <v/>
      </c>
    </row>
    <row r="344">
      <c r="A344" t="inlineStr">
        <is>
          <t>29709802185</t>
        </is>
      </c>
      <c r="B344" t="inlineStr">
        <is>
          <t>隔日到貨🔥 馬卡龍色系長襪 S8 襪子 長襪 棉襪 白長襪 中筒襪 女襪 白色襪子 女生襪子 女長襪 襪子女</t>
        </is>
      </c>
      <c r="C344">
        <f>IMAGE("https://cf.shopee.tw/file/tw-11134207-7r98s-lzm4096v4cv24c_tn")</f>
        <v/>
      </c>
      <c r="D344" t="inlineStr">
        <is>
          <t>奶粉</t>
        </is>
      </c>
      <c r="E344" t="inlineStr">
        <is>
          <t>185357092542</t>
        </is>
      </c>
      <c r="F344">
        <f>IMAGE("https://cf.shopee.tw/file/tw-11134207-7r990-lzm4m1srddlqf8_tn")</f>
        <v/>
      </c>
    </row>
    <row r="345">
      <c r="A345" t="inlineStr">
        <is>
          <t>29709802185</t>
        </is>
      </c>
      <c r="B345" t="inlineStr">
        <is>
          <t>隔日到貨🔥 馬卡龍色系長襪 S8 襪子 長襪 棉襪 白長襪 中筒襪 女襪 白色襪子 女生襪子 女長襪 襪子女</t>
        </is>
      </c>
      <c r="C345">
        <f>IMAGE("https://cf.shopee.tw/file/tw-11134207-7r98s-lzm4096v4cv24c_tn")</f>
        <v/>
      </c>
      <c r="D345" t="inlineStr">
        <is>
          <t>奶黃</t>
        </is>
      </c>
      <c r="E345" t="inlineStr">
        <is>
          <t>185357092543</t>
        </is>
      </c>
      <c r="F345">
        <f>IMAGE("https://cf.shopee.tw/file/tw-11134207-7r98u-lzm4m1srsttg51_tn")</f>
        <v/>
      </c>
    </row>
    <row r="346">
      <c r="A346" t="inlineStr">
        <is>
          <t>29709802185</t>
        </is>
      </c>
      <c r="B346" t="inlineStr">
        <is>
          <t>隔日到貨🔥 馬卡龍色系長襪 S8 襪子 長襪 棉襪 白長襪 中筒襪 女襪 白色襪子 女生襪子 女長襪 襪子女</t>
        </is>
      </c>
      <c r="C346">
        <f>IMAGE("https://cf.shopee.tw/file/tw-11134207-7r98s-lzm4096v4cv24c_tn")</f>
        <v/>
      </c>
      <c r="D346" t="inlineStr">
        <is>
          <t>奶紫</t>
        </is>
      </c>
      <c r="E346" t="inlineStr">
        <is>
          <t>185357092544</t>
        </is>
      </c>
      <c r="F346">
        <f>IMAGE("https://cf.shopee.tw/file/tw-11134207-7r98s-lzm4m1srstumac_tn")</f>
        <v/>
      </c>
    </row>
    <row r="347">
      <c r="A347" t="inlineStr">
        <is>
          <t>29559801000</t>
        </is>
      </c>
      <c r="B347" t="inlineStr">
        <is>
          <t>隔日到貨🔥 棉襪 提耳襪 襪子 短襪 船型襪 短襪 船襪 S32 踝襪 薄襪 腳踝襪 夏天襪子 薄短襪 防滑襪 素色</t>
        </is>
      </c>
      <c r="C347">
        <f>IMAGE("https://cf.shopee.tw/file/tw-11134207-7r98u-lzm1zcx07j78dd_tn")</f>
        <v/>
      </c>
      <c r="D347" t="inlineStr">
        <is>
          <t>奶黃</t>
        </is>
      </c>
      <c r="E347" t="inlineStr"/>
      <c r="F347">
        <f>IMAGE("https://cf.shopee.tw/file/tw-11134207-7r990-lzm1zcwzuw4e6f_tn")</f>
        <v/>
      </c>
    </row>
    <row r="348">
      <c r="A348" t="inlineStr">
        <is>
          <t>29559801000</t>
        </is>
      </c>
      <c r="B348" t="inlineStr">
        <is>
          <t>隔日到貨🔥 棉襪 提耳襪 襪子 短襪 船型襪 短襪 船襪 S32 踝襪 薄襪 腳踝襪 夏天襪子 薄短襪 防滑襪 素色</t>
        </is>
      </c>
      <c r="C348">
        <f>IMAGE("https://cf.shopee.tw/file/tw-11134207-7r98u-lzm1zcx07j78dd_tn")</f>
        <v/>
      </c>
      <c r="D348" t="inlineStr">
        <is>
          <t>黑色</t>
        </is>
      </c>
      <c r="E348" t="inlineStr">
        <is>
          <t>217771292773</t>
        </is>
      </c>
      <c r="F348">
        <f>IMAGE("https://cf.shopee.tw/file/tw-11134207-7r98x-lzm1zcwzffuccc_tn")</f>
        <v/>
      </c>
    </row>
    <row r="349">
      <c r="A349" t="inlineStr">
        <is>
          <t>29559801000</t>
        </is>
      </c>
      <c r="B349" t="inlineStr">
        <is>
          <t>隔日到貨🔥 棉襪 提耳襪 襪子 短襪 船型襪 短襪 船襪 S32 踝襪 薄襪 腳踝襪 夏天襪子 薄短襪 防滑襪 素色</t>
        </is>
      </c>
      <c r="C349">
        <f>IMAGE("https://cf.shopee.tw/file/tw-11134207-7r98u-lzm1zcx07j78dd_tn")</f>
        <v/>
      </c>
      <c r="D349" t="inlineStr">
        <is>
          <t>白色</t>
        </is>
      </c>
      <c r="E349" t="inlineStr">
        <is>
          <t>217771292774</t>
        </is>
      </c>
      <c r="F349">
        <f>IMAGE("https://cf.shopee.tw/file/tw-11134207-7r98x-lzm1zcwzffvic4_tn")</f>
        <v/>
      </c>
    </row>
    <row r="350">
      <c r="A350" t="inlineStr">
        <is>
          <t>29559801000</t>
        </is>
      </c>
      <c r="B350" t="inlineStr">
        <is>
          <t>隔日到貨🔥 棉襪 提耳襪 襪子 短襪 船型襪 短襪 船襪 S32 踝襪 薄襪 腳踝襪 夏天襪子 薄短襪 防滑襪 素色</t>
        </is>
      </c>
      <c r="C350">
        <f>IMAGE("https://cf.shopee.tw/file/tw-11134207-7r98u-lzm1zcx07j78dd_tn")</f>
        <v/>
      </c>
      <c r="D350" t="inlineStr">
        <is>
          <t>奶白</t>
        </is>
      </c>
      <c r="E350" t="inlineStr">
        <is>
          <t>217771292779</t>
        </is>
      </c>
      <c r="F350">
        <f>IMAGE("https://cf.shopee.tw/file/tw-11134207-7r98w-lzm1zcx0acdaf5_tn")</f>
        <v/>
      </c>
    </row>
    <row r="351">
      <c r="A351" t="inlineStr">
        <is>
          <t>29559801000</t>
        </is>
      </c>
      <c r="B351" t="inlineStr">
        <is>
          <t>隔日到貨🔥 棉襪 提耳襪 襪子 短襪 船型襪 短襪 船襪 S32 踝襪 薄襪 腳踝襪 夏天襪子 薄短襪 防滑襪 素色</t>
        </is>
      </c>
      <c r="C351">
        <f>IMAGE("https://cf.shopee.tw/file/tw-11134207-7r98u-lzm1zcx07j78dd_tn")</f>
        <v/>
      </c>
      <c r="D351" t="inlineStr">
        <is>
          <t>香芋紫</t>
        </is>
      </c>
      <c r="E351" t="inlineStr">
        <is>
          <t>217771292775</t>
        </is>
      </c>
      <c r="F351">
        <f>IMAGE("https://cf.shopee.tw/file/tw-11134207-7r992-lzm1zcx064msfa_tn")</f>
        <v/>
      </c>
    </row>
    <row r="352">
      <c r="A352" t="inlineStr">
        <is>
          <t>29559801000</t>
        </is>
      </c>
      <c r="B352" t="inlineStr">
        <is>
          <t>隔日到貨🔥 棉襪 提耳襪 襪子 短襪 船型襪 短襪 船襪 S32 踝襪 薄襪 腳踝襪 夏天襪子 薄短襪 防滑襪 素色</t>
        </is>
      </c>
      <c r="C352">
        <f>IMAGE("https://cf.shopee.tw/file/tw-11134207-7r98u-lzm1zcx07j78dd_tn")</f>
        <v/>
      </c>
      <c r="D352" t="inlineStr">
        <is>
          <t>天藍</t>
        </is>
      </c>
      <c r="E352" t="inlineStr">
        <is>
          <t>217771292776</t>
        </is>
      </c>
      <c r="F352">
        <f>IMAGE("https://cf.shopee.tw/file/tw-11134207-7r98u-lzm1zcx0bqwk81_tn")</f>
        <v/>
      </c>
    </row>
    <row r="353">
      <c r="A353" t="inlineStr">
        <is>
          <t>29559801000</t>
        </is>
      </c>
      <c r="B353" t="inlineStr">
        <is>
          <t>隔日到貨🔥 棉襪 提耳襪 襪子 短襪 船型襪 短襪 船襪 S32 踝襪 薄襪 腳踝襪 夏天襪子 薄短襪 防滑襪 素色</t>
        </is>
      </c>
      <c r="C353">
        <f>IMAGE("https://cf.shopee.tw/file/tw-11134207-7r98u-lzm1zcx07j78dd_tn")</f>
        <v/>
      </c>
      <c r="D353" t="inlineStr">
        <is>
          <t>淡粉</t>
        </is>
      </c>
      <c r="E353" t="inlineStr">
        <is>
          <t>217771292777</t>
        </is>
      </c>
      <c r="F353">
        <f>IMAGE("https://cf.shopee.tw/file/tw-11134207-7r98y-lzm1zcwzuw3807_tn")</f>
        <v/>
      </c>
    </row>
    <row r="354">
      <c r="A354" t="inlineStr">
        <is>
          <t>29559801000</t>
        </is>
      </c>
      <c r="B354" t="inlineStr">
        <is>
          <t>隔日到貨🔥 棉襪 提耳襪 襪子 短襪 船型襪 短襪 船襪 S32 踝襪 薄襪 腳踝襪 夏天襪子 薄短襪 防滑襪 素色</t>
        </is>
      </c>
      <c r="C354">
        <f>IMAGE("https://cf.shopee.tw/file/tw-11134207-7r98u-lzm1zcx07j78dd_tn")</f>
        <v/>
      </c>
      <c r="D354" t="inlineStr">
        <is>
          <t>芽綠</t>
        </is>
      </c>
      <c r="E354" t="inlineStr">
        <is>
          <t>217771292780</t>
        </is>
      </c>
      <c r="F354">
        <f>IMAGE("https://cf.shopee.tw/file/tw-11134207-7r98u-lzm1zcx158tw86_tn")</f>
        <v/>
      </c>
    </row>
    <row r="355">
      <c r="A355" t="inlineStr">
        <is>
          <t>26377085183</t>
        </is>
      </c>
      <c r="B355" t="inlineStr">
        <is>
          <t>隔日到貨🔥 ins 韓風 糖果色捲邊襪 S32 襪子 女襪 中筒襪 潮襪 棉襪 薄款 熱銷 純色 百搭 短襪 情侶襪</t>
        </is>
      </c>
      <c r="C355">
        <f>IMAGE("https://cf.shopee.tw/file/tw-11134207-7rbk6-m6jpkwjnslsyba_tn")</f>
        <v/>
      </c>
      <c r="D355" t="inlineStr">
        <is>
          <t>咖啡</t>
        </is>
      </c>
      <c r="E355" t="inlineStr"/>
      <c r="F355">
        <f>IMAGE("https://cf.shopee.tw/file/tw-11134207-7rbk6-m6joh5v1i8ys69_tn")</f>
        <v/>
      </c>
    </row>
    <row r="356">
      <c r="A356" t="inlineStr">
        <is>
          <t>26377085183</t>
        </is>
      </c>
      <c r="B356" t="inlineStr">
        <is>
          <t>隔日到貨🔥 ins 韓風 糖果色捲邊襪 S32 襪子 女襪 中筒襪 潮襪 棉襪 薄款 熱銷 純色 百搭 短襪 情侶襪</t>
        </is>
      </c>
      <c r="C356">
        <f>IMAGE("https://cf.shopee.tw/file/tw-11134207-7rbk6-m6jpkwjnslsyba_tn")</f>
        <v/>
      </c>
      <c r="D356" t="inlineStr">
        <is>
          <t>黑色</t>
        </is>
      </c>
      <c r="E356" t="inlineStr">
        <is>
          <t>242700728643</t>
        </is>
      </c>
      <c r="F356">
        <f>IMAGE("https://cf.shopee.tw/file/tw-11134207-7rbk2-m6jogwgt6e67e0_tn")</f>
        <v/>
      </c>
    </row>
    <row r="357">
      <c r="A357" t="inlineStr">
        <is>
          <t>26377085183</t>
        </is>
      </c>
      <c r="B357" t="inlineStr">
        <is>
          <t>隔日到貨🔥 ins 韓風 糖果色捲邊襪 S32 襪子 女襪 中筒襪 潮襪 棉襪 薄款 熱銷 純色 百搭 短襪 情侶襪</t>
        </is>
      </c>
      <c r="C357">
        <f>IMAGE("https://cf.shopee.tw/file/tw-11134207-7rbk6-m6jpkwjnslsyba_tn")</f>
        <v/>
      </c>
      <c r="D357" t="inlineStr">
        <is>
          <t>白色</t>
        </is>
      </c>
      <c r="E357" t="inlineStr">
        <is>
          <t>242700728644</t>
        </is>
      </c>
      <c r="F357">
        <f>IMAGE("https://cf.shopee.tw/file/tw-11134207-7rbkc-m6jogytpq5es1a_tn")</f>
        <v/>
      </c>
    </row>
    <row r="358">
      <c r="A358" t="inlineStr">
        <is>
          <t>26377085183</t>
        </is>
      </c>
      <c r="B358" t="inlineStr">
        <is>
          <t>隔日到貨🔥 ins 韓風 糖果色捲邊襪 S32 襪子 女襪 中筒襪 潮襪 棉襪 薄款 熱銷 純色 百搭 短襪 情侶襪</t>
        </is>
      </c>
      <c r="C358">
        <f>IMAGE("https://cf.shopee.tw/file/tw-11134207-7rbk6-m6jpkwjnslsyba_tn")</f>
        <v/>
      </c>
      <c r="D358" t="inlineStr">
        <is>
          <t>抹茶</t>
        </is>
      </c>
      <c r="E358" t="inlineStr">
        <is>
          <t>242700728645</t>
        </is>
      </c>
      <c r="F358">
        <f>IMAGE("https://cf.shopee.tw/file/tw-11134207-7rbk8-m6joh2e6i5hbb3_tn")</f>
        <v/>
      </c>
    </row>
    <row r="359">
      <c r="A359" t="inlineStr">
        <is>
          <t>26377085183</t>
        </is>
      </c>
      <c r="B359" t="inlineStr">
        <is>
          <t>隔日到貨🔥 ins 韓風 糖果色捲邊襪 S32 襪子 女襪 中筒襪 潮襪 棉襪 薄款 熱銷 純色 百搭 短襪 情侶襪</t>
        </is>
      </c>
      <c r="C359">
        <f>IMAGE("https://cf.shopee.tw/file/tw-11134207-7rbk6-m6jpkwjnslsyba_tn")</f>
        <v/>
      </c>
      <c r="D359" t="inlineStr">
        <is>
          <t>淺紫</t>
        </is>
      </c>
      <c r="E359" t="inlineStr">
        <is>
          <t>242700728647</t>
        </is>
      </c>
      <c r="F359">
        <f>IMAGE("https://cf.shopee.tw/file/tw-11134207-7rbka-m6joh8nhcg8vb0_tn")</f>
        <v/>
      </c>
    </row>
    <row r="360">
      <c r="A360" t="inlineStr">
        <is>
          <t>26377085183</t>
        </is>
      </c>
      <c r="B360" t="inlineStr">
        <is>
          <t>隔日到貨🔥 ins 韓風 糖果色捲邊襪 S32 襪子 女襪 中筒襪 潮襪 棉襪 薄款 熱銷 純色 百搭 短襪 情侶襪</t>
        </is>
      </c>
      <c r="C360">
        <f>IMAGE("https://cf.shopee.tw/file/tw-11134207-7rbk6-m6jpkwjnslsyba_tn")</f>
        <v/>
      </c>
      <c r="D360" t="inlineStr">
        <is>
          <t>淺灰</t>
        </is>
      </c>
      <c r="E360" t="inlineStr">
        <is>
          <t>242700728648</t>
        </is>
      </c>
      <c r="F360">
        <f>IMAGE("https://cf.shopee.tw/file/tw-11134207-7rbk3-m6johbhb7ftw4c_tn")</f>
        <v/>
      </c>
    </row>
    <row r="361">
      <c r="A361" t="inlineStr">
        <is>
          <t>26377085183</t>
        </is>
      </c>
      <c r="B361" t="inlineStr">
        <is>
          <t>隔日到貨🔥 ins 韓風 糖果色捲邊襪 S32 襪子 女襪 中筒襪 潮襪 棉襪 薄款 熱銷 純色 百搭 短襪 情侶襪</t>
        </is>
      </c>
      <c r="C361">
        <f>IMAGE("https://cf.shopee.tw/file/tw-11134207-7rbk6-m6jpkwjnslsyba_tn")</f>
        <v/>
      </c>
      <c r="D361" t="inlineStr">
        <is>
          <t>奶白</t>
        </is>
      </c>
      <c r="E361" t="inlineStr">
        <is>
          <t>242700728649</t>
        </is>
      </c>
      <c r="F361">
        <f>IMAGE("https://cf.shopee.tw/file/tw-11134207-7rbk9-m6johfipao8v50_tn")</f>
        <v/>
      </c>
    </row>
    <row r="362">
      <c r="A362" t="inlineStr">
        <is>
          <t>26377085183</t>
        </is>
      </c>
      <c r="B362" t="inlineStr">
        <is>
          <t>隔日到貨🔥 ins 韓風 糖果色捲邊襪 S32 襪子 女襪 中筒襪 潮襪 棉襪 薄款 熱銷 純色 百搭 短襪 情侶襪</t>
        </is>
      </c>
      <c r="C362">
        <f>IMAGE("https://cf.shopee.tw/file/tw-11134207-7rbk6-m6jpkwjnslsyba_tn")</f>
        <v/>
      </c>
      <c r="D362" t="inlineStr">
        <is>
          <t>卡其</t>
        </is>
      </c>
      <c r="E362" t="inlineStr">
        <is>
          <t>242700728650</t>
        </is>
      </c>
      <c r="F362">
        <f>IMAGE("https://cf.shopee.tw/file/tw-11134207-7rbk9-m6johjlhbvtwb8_tn")</f>
        <v/>
      </c>
    </row>
    <row r="363">
      <c r="A363" t="inlineStr">
        <is>
          <t>26377085183</t>
        </is>
      </c>
      <c r="B363" t="inlineStr">
        <is>
          <t>隔日到貨🔥 ins 韓風 糖果色捲邊襪 S32 襪子 女襪 中筒襪 潮襪 棉襪 薄款 熱銷 純色 百搭 短襪 情侶襪</t>
        </is>
      </c>
      <c r="C363">
        <f>IMAGE("https://cf.shopee.tw/file/tw-11134207-7rbk6-m6jpkwjnslsyba_tn")</f>
        <v/>
      </c>
      <c r="D363" t="inlineStr">
        <is>
          <t>淺粉</t>
        </is>
      </c>
      <c r="E363" t="inlineStr">
        <is>
          <t>242700728651</t>
        </is>
      </c>
      <c r="F363">
        <f>IMAGE("https://cf.shopee.tw/file/tw-11134207-820la-mk3g3kzbneh2f5_tn")</f>
        <v/>
      </c>
    </row>
    <row r="364">
      <c r="A364" t="inlineStr">
        <is>
          <t>26377085183</t>
        </is>
      </c>
      <c r="B364" t="inlineStr">
        <is>
          <t>隔日到貨🔥 ins 韓風 糖果色捲邊襪 S32 襪子 女襪 中筒襪 潮襪 棉襪 薄款 熱銷 純色 百搭 短襪 情侶襪</t>
        </is>
      </c>
      <c r="C364">
        <f>IMAGE("https://cf.shopee.tw/file/tw-11134207-7rbk6-m6jpkwjnslsyba_tn")</f>
        <v/>
      </c>
      <c r="D364" t="inlineStr">
        <is>
          <t>淺寶藍</t>
        </is>
      </c>
      <c r="E364" t="inlineStr">
        <is>
          <t>242700728652</t>
        </is>
      </c>
      <c r="F364">
        <f>IMAGE("https://cf.shopee.tw/file/tw-11134207-7rbk4-m6johre9wz0f15_tn")</f>
        <v/>
      </c>
    </row>
    <row r="365">
      <c r="A365" t="inlineStr">
        <is>
          <t>19960782914</t>
        </is>
      </c>
      <c r="B365" t="inlineStr">
        <is>
          <t>隔日到貨🔥 iPhone 軍規 防摔殼 手機殼 17 16 15 14 13 12 11 XS XR SE 保護殼 蘋果</t>
        </is>
      </c>
      <c r="C365">
        <f>IMAGE("https://cf.shopee.tw/file/sg-11134201-22110-cycsa5p7lqjve2_tn")</f>
        <v/>
      </c>
      <c r="D365" t="inlineStr">
        <is>
          <t>黑色軍規,7/8/SE2/SE3</t>
        </is>
      </c>
      <c r="E365" t="inlineStr"/>
      <c r="F365">
        <f>IMAGE("https://cf.shopee.tw/file/sg-11134201-22110-u0qudeq35ljv56_tn")</f>
        <v/>
      </c>
    </row>
    <row r="366">
      <c r="A366" t="inlineStr">
        <is>
          <t>19960782914</t>
        </is>
      </c>
      <c r="B366" t="inlineStr">
        <is>
          <t>隔日到貨🔥 iPhone 軍規 防摔殼 手機殼 17 16 15 14 13 12 11 XS XR SE 保護殼 蘋果</t>
        </is>
      </c>
      <c r="C366">
        <f>IMAGE("https://cf.shopee.tw/file/sg-11134201-22110-cycsa5p7lqjve2_tn")</f>
        <v/>
      </c>
      <c r="D366" t="inlineStr">
        <is>
          <t>抹茶綠軍規,XR</t>
        </is>
      </c>
      <c r="E366" t="inlineStr"/>
      <c r="F366">
        <f>IMAGE("https://cf.shopee.tw/file/sg-11134201-22110-o1vai35xjnjvf1_tn")</f>
        <v/>
      </c>
    </row>
    <row r="367">
      <c r="A367" t="inlineStr">
        <is>
          <t>19960782914</t>
        </is>
      </c>
      <c r="B367" t="inlineStr">
        <is>
          <t>隔日到貨🔥 iPhone 軍規 防摔殼 手機殼 17 16 15 14 13 12 11 XS XR SE 保護殼 蘋果</t>
        </is>
      </c>
      <c r="C367">
        <f>IMAGE("https://cf.shopee.tw/file/sg-11134201-22110-cycsa5p7lqjve2_tn")</f>
        <v/>
      </c>
      <c r="D367" t="inlineStr">
        <is>
          <t>抹茶綠軍規,11 proMax</t>
        </is>
      </c>
      <c r="E367" t="inlineStr">
        <is>
          <t>157234980240</t>
        </is>
      </c>
      <c r="F367">
        <f>IMAGE("https://cf.shopee.tw/file/sg-11134201-22110-o1vai35xjnjvf1_tn")</f>
        <v/>
      </c>
    </row>
    <row r="368">
      <c r="A368" t="inlineStr">
        <is>
          <t>19960782914</t>
        </is>
      </c>
      <c r="B368" t="inlineStr">
        <is>
          <t>隔日到貨🔥 iPhone 軍規 防摔殼 手機殼 17 16 15 14 13 12 11 XS XR SE 保護殼 蘋果</t>
        </is>
      </c>
      <c r="C368">
        <f>IMAGE("https://cf.shopee.tw/file/sg-11134201-22110-cycsa5p7lqjve2_tn")</f>
        <v/>
      </c>
      <c r="D368" t="inlineStr">
        <is>
          <t>抹茶綠軍規,16</t>
        </is>
      </c>
      <c r="E368" t="inlineStr"/>
      <c r="F368">
        <f>IMAGE("https://cf.shopee.tw/file/sg-11134201-22110-o1vai35xjnjvf1_tn")</f>
        <v/>
      </c>
    </row>
    <row r="369">
      <c r="A369" t="inlineStr">
        <is>
          <t>19960782914</t>
        </is>
      </c>
      <c r="B369" t="inlineStr">
        <is>
          <t>隔日到貨🔥 iPhone 軍規 防摔殼 手機殼 17 16 15 14 13 12 11 XS XR SE 保護殼 蘋果</t>
        </is>
      </c>
      <c r="C369">
        <f>IMAGE("https://cf.shopee.tw/file/sg-11134201-22110-cycsa5p7lqjve2_tn")</f>
        <v/>
      </c>
      <c r="D369" t="inlineStr">
        <is>
          <t>抹茶綠軍規,16 pro</t>
        </is>
      </c>
      <c r="E369" t="inlineStr"/>
      <c r="F369">
        <f>IMAGE("https://cf.shopee.tw/file/sg-11134201-22110-o1vai35xjnjvf1_tn")</f>
        <v/>
      </c>
    </row>
    <row r="370">
      <c r="A370" t="inlineStr">
        <is>
          <t>19960782914</t>
        </is>
      </c>
      <c r="B370" t="inlineStr">
        <is>
          <t>隔日到貨🔥 iPhone 軍規 防摔殼 手機殼 17 16 15 14 13 12 11 XS XR SE 保護殼 蘋果</t>
        </is>
      </c>
      <c r="C370">
        <f>IMAGE("https://cf.shopee.tw/file/sg-11134201-22110-cycsa5p7lqjve2_tn")</f>
        <v/>
      </c>
      <c r="D370" t="inlineStr">
        <is>
          <t>抹茶綠軍規,16 pro Max</t>
        </is>
      </c>
      <c r="E370" t="inlineStr"/>
      <c r="F370">
        <f>IMAGE("https://cf.shopee.tw/file/sg-11134201-22110-o1vai35xjnjvf1_tn")</f>
        <v/>
      </c>
    </row>
    <row r="371">
      <c r="A371" t="inlineStr">
        <is>
          <t>19960782914</t>
        </is>
      </c>
      <c r="B371" t="inlineStr">
        <is>
          <t>隔日到貨🔥 iPhone 軍規 防摔殼 手機殼 17 16 15 14 13 12 11 XS XR SE 保護殼 蘋果</t>
        </is>
      </c>
      <c r="C371">
        <f>IMAGE("https://cf.shopee.tw/file/sg-11134201-22110-cycsa5p7lqjve2_tn")</f>
        <v/>
      </c>
      <c r="D371" t="inlineStr">
        <is>
          <t>抹茶綠軍規,16 Plus</t>
        </is>
      </c>
      <c r="E371" t="inlineStr"/>
      <c r="F371">
        <f>IMAGE("https://cf.shopee.tw/file/sg-11134201-22110-o1vai35xjnjvf1_tn")</f>
        <v/>
      </c>
    </row>
    <row r="372">
      <c r="A372" t="inlineStr">
        <is>
          <t>19960782914</t>
        </is>
      </c>
      <c r="B372" t="inlineStr">
        <is>
          <t>隔日到貨🔥 iPhone 軍規 防摔殼 手機殼 17 16 15 14 13 12 11 XS XR SE 保護殼 蘋果</t>
        </is>
      </c>
      <c r="C372">
        <f>IMAGE("https://cf.shopee.tw/file/sg-11134201-22110-cycsa5p7lqjve2_tn")</f>
        <v/>
      </c>
      <c r="D372" t="inlineStr">
        <is>
          <t>抹茶綠軍規,17</t>
        </is>
      </c>
      <c r="E372" t="inlineStr"/>
      <c r="F372">
        <f>IMAGE("https://cf.shopee.tw/file/sg-11134201-22110-o1vai35xjnjvf1_tn")</f>
        <v/>
      </c>
    </row>
    <row r="373">
      <c r="A373" t="inlineStr">
        <is>
          <t>19960782914</t>
        </is>
      </c>
      <c r="B373" t="inlineStr">
        <is>
          <t>隔日到貨🔥 iPhone 軍規 防摔殼 手機殼 17 16 15 14 13 12 11 XS XR SE 保護殼 蘋果</t>
        </is>
      </c>
      <c r="C373">
        <f>IMAGE("https://cf.shopee.tw/file/sg-11134201-22110-cycsa5p7lqjve2_tn")</f>
        <v/>
      </c>
      <c r="D373" t="inlineStr">
        <is>
          <t>抹茶綠軍規,17 pro</t>
        </is>
      </c>
      <c r="E373" t="inlineStr"/>
      <c r="F373">
        <f>IMAGE("https://cf.shopee.tw/file/sg-11134201-22110-o1vai35xjnjvf1_tn")</f>
        <v/>
      </c>
    </row>
    <row r="374">
      <c r="A374" t="inlineStr">
        <is>
          <t>19960782914</t>
        </is>
      </c>
      <c r="B374" t="inlineStr">
        <is>
          <t>隔日到貨🔥 iPhone 軍規 防摔殼 手機殼 17 16 15 14 13 12 11 XS XR SE 保護殼 蘋果</t>
        </is>
      </c>
      <c r="C374">
        <f>IMAGE("https://cf.shopee.tw/file/sg-11134201-22110-cycsa5p7lqjve2_tn")</f>
        <v/>
      </c>
      <c r="D374" t="inlineStr">
        <is>
          <t>抹茶綠軍規,17 pro Max</t>
        </is>
      </c>
      <c r="E374" t="inlineStr"/>
      <c r="F374">
        <f>IMAGE("https://cf.shopee.tw/file/sg-11134201-22110-o1vai35xjnjvf1_tn")</f>
        <v/>
      </c>
    </row>
    <row r="375">
      <c r="A375" t="inlineStr">
        <is>
          <t>19960782914</t>
        </is>
      </c>
      <c r="B375" t="inlineStr">
        <is>
          <t>隔日到貨🔥 iPhone 軍規 防摔殼 手機殼 17 16 15 14 13 12 11 XS XR SE 保護殼 蘋果</t>
        </is>
      </c>
      <c r="C375">
        <f>IMAGE("https://cf.shopee.tw/file/sg-11134201-22110-cycsa5p7lqjve2_tn")</f>
        <v/>
      </c>
      <c r="D375" t="inlineStr">
        <is>
          <t>粉色軍規,14Plus/15Plus</t>
        </is>
      </c>
      <c r="E375" t="inlineStr"/>
      <c r="F375">
        <f>IMAGE("https://cf.shopee.tw/file/sg-11134201-22110-8a9x1ia1jnjv22_tn")</f>
        <v/>
      </c>
    </row>
    <row r="376">
      <c r="A376" t="inlineStr">
        <is>
          <t>19960782914</t>
        </is>
      </c>
      <c r="B376" t="inlineStr">
        <is>
          <t>隔日到貨🔥 iPhone 軍規 防摔殼 手機殼 17 16 15 14 13 12 11 XS XR SE 保護殼 蘋果</t>
        </is>
      </c>
      <c r="C376">
        <f>IMAGE("https://cf.shopee.tw/file/sg-11134201-22110-cycsa5p7lqjve2_tn")</f>
        <v/>
      </c>
      <c r="D376" t="inlineStr">
        <is>
          <t>粉色軍規,17</t>
        </is>
      </c>
      <c r="E376" t="inlineStr"/>
      <c r="F376">
        <f>IMAGE("https://cf.shopee.tw/file/sg-11134201-22110-8a9x1ia1jnjv22_tn")</f>
        <v/>
      </c>
    </row>
    <row r="377">
      <c r="A377" t="inlineStr">
        <is>
          <t>19960782914</t>
        </is>
      </c>
      <c r="B377" t="inlineStr">
        <is>
          <t>隔日到貨🔥 iPhone 軍規 防摔殼 手機殼 17 16 15 14 13 12 11 XS XR SE 保護殼 蘋果</t>
        </is>
      </c>
      <c r="C377">
        <f>IMAGE("https://cf.shopee.tw/file/sg-11134201-22110-cycsa5p7lqjve2_tn")</f>
        <v/>
      </c>
      <c r="D377" t="inlineStr">
        <is>
          <t>粉色軍規,17 pro</t>
        </is>
      </c>
      <c r="E377" t="inlineStr"/>
      <c r="F377">
        <f>IMAGE("https://cf.shopee.tw/file/sg-11134201-22110-8a9x1ia1jnjv22_tn")</f>
        <v/>
      </c>
    </row>
    <row r="378">
      <c r="A378" t="inlineStr">
        <is>
          <t>19960782914</t>
        </is>
      </c>
      <c r="B378" t="inlineStr">
        <is>
          <t>隔日到貨🔥 iPhone 軍規 防摔殼 手機殼 17 16 15 14 13 12 11 XS XR SE 保護殼 蘋果</t>
        </is>
      </c>
      <c r="C378">
        <f>IMAGE("https://cf.shopee.tw/file/sg-11134201-22110-cycsa5p7lqjve2_tn")</f>
        <v/>
      </c>
      <c r="D378" t="inlineStr">
        <is>
          <t>粉色軍規,17 pro Max</t>
        </is>
      </c>
      <c r="E378" t="inlineStr"/>
      <c r="F378">
        <f>IMAGE("https://cf.shopee.tw/file/sg-11134201-22110-8a9x1ia1jnjv22_tn")</f>
        <v/>
      </c>
    </row>
    <row r="379">
      <c r="A379" t="inlineStr">
        <is>
          <t>19960782914</t>
        </is>
      </c>
      <c r="B379" t="inlineStr">
        <is>
          <t>隔日到貨🔥 iPhone 軍規 防摔殼 手機殼 17 16 15 14 13 12 11 XS XR SE 保護殼 蘋果</t>
        </is>
      </c>
      <c r="C379">
        <f>IMAGE("https://cf.shopee.tw/file/sg-11134201-22110-cycsa5p7lqjve2_tn")</f>
        <v/>
      </c>
      <c r="D379" t="inlineStr">
        <is>
          <t>藍色軍規,7/8/SE2/SE3</t>
        </is>
      </c>
      <c r="E379" t="inlineStr">
        <is>
          <t>157234980251</t>
        </is>
      </c>
      <c r="F379">
        <f>IMAGE("https://cf.shopee.tw/file/sg-11134201-22110-y6rkf9s1jnjv15_tn")</f>
        <v/>
      </c>
    </row>
    <row r="380">
      <c r="A380" t="inlineStr">
        <is>
          <t>19960782914</t>
        </is>
      </c>
      <c r="B380" t="inlineStr">
        <is>
          <t>隔日到貨🔥 iPhone 軍規 防摔殼 手機殼 17 16 15 14 13 12 11 XS XR SE 保護殼 蘋果</t>
        </is>
      </c>
      <c r="C380">
        <f>IMAGE("https://cf.shopee.tw/file/sg-11134201-22110-cycsa5p7lqjve2_tn")</f>
        <v/>
      </c>
      <c r="D380" t="inlineStr">
        <is>
          <t>藍色軍規,17</t>
        </is>
      </c>
      <c r="E380" t="inlineStr"/>
      <c r="F380">
        <f>IMAGE("https://cf.shopee.tw/file/sg-11134201-22110-y6rkf9s1jnjv15_tn")</f>
        <v/>
      </c>
    </row>
    <row r="381">
      <c r="A381" t="inlineStr">
        <is>
          <t>19960782914</t>
        </is>
      </c>
      <c r="B381" t="inlineStr">
        <is>
          <t>隔日到貨🔥 iPhone 軍規 防摔殼 手機殼 17 16 15 14 13 12 11 XS XR SE 保護殼 蘋果</t>
        </is>
      </c>
      <c r="C381">
        <f>IMAGE("https://cf.shopee.tw/file/sg-11134201-22110-cycsa5p7lqjve2_tn")</f>
        <v/>
      </c>
      <c r="D381" t="inlineStr">
        <is>
          <t>藍色軍規,17 pro</t>
        </is>
      </c>
      <c r="E381" t="inlineStr"/>
      <c r="F381">
        <f>IMAGE("https://cf.shopee.tw/file/sg-11134201-22110-y6rkf9s1jnjv15_tn")</f>
        <v/>
      </c>
    </row>
    <row r="382">
      <c r="A382" t="inlineStr">
        <is>
          <t>19960782914</t>
        </is>
      </c>
      <c r="B382" t="inlineStr">
        <is>
          <t>隔日到貨🔥 iPhone 軍規 防摔殼 手機殼 17 16 15 14 13 12 11 XS XR SE 保護殼 蘋果</t>
        </is>
      </c>
      <c r="C382">
        <f>IMAGE("https://cf.shopee.tw/file/sg-11134201-22110-cycsa5p7lqjve2_tn")</f>
        <v/>
      </c>
      <c r="D382" t="inlineStr">
        <is>
          <t>藍色軍規,17 pro Max</t>
        </is>
      </c>
      <c r="E382" t="inlineStr"/>
      <c r="F382">
        <f>IMAGE("https://cf.shopee.tw/file/sg-11134201-22110-y6rkf9s1jnjv15_tn")</f>
        <v/>
      </c>
    </row>
    <row r="383">
      <c r="A383" t="inlineStr">
        <is>
          <t>19960782914</t>
        </is>
      </c>
      <c r="B383" t="inlineStr">
        <is>
          <t>隔日到貨🔥 iPhone 軍規 防摔殼 手機殼 17 16 15 14 13 12 11 XS XR SE 保護殼 蘋果</t>
        </is>
      </c>
      <c r="C383">
        <f>IMAGE("https://cf.shopee.tw/file/sg-11134201-22110-cycsa5p7lqjve2_tn")</f>
        <v/>
      </c>
      <c r="D383" t="inlineStr">
        <is>
          <t>黑色軍規,7Plus/8Plus</t>
        </is>
      </c>
      <c r="E383" t="inlineStr"/>
      <c r="F383">
        <f>IMAGE("https://cf.shopee.tw/file/sg-11134201-22110-u0qudeq35ljv56_tn")</f>
        <v/>
      </c>
    </row>
    <row r="384">
      <c r="A384" t="inlineStr">
        <is>
          <t>19960782914</t>
        </is>
      </c>
      <c r="B384" t="inlineStr">
        <is>
          <t>隔日到貨🔥 iPhone 軍規 防摔殼 手機殼 17 16 15 14 13 12 11 XS XR SE 保護殼 蘋果</t>
        </is>
      </c>
      <c r="C384">
        <f>IMAGE("https://cf.shopee.tw/file/sg-11134201-22110-cycsa5p7lqjve2_tn")</f>
        <v/>
      </c>
      <c r="D384" t="inlineStr">
        <is>
          <t>黑色軍規,X/XS</t>
        </is>
      </c>
      <c r="E384" t="inlineStr">
        <is>
          <t>157234980229</t>
        </is>
      </c>
      <c r="F384">
        <f>IMAGE("https://cf.shopee.tw/file/sg-11134201-22110-u0qudeq35ljv56_tn")</f>
        <v/>
      </c>
    </row>
    <row r="385">
      <c r="A385" t="inlineStr">
        <is>
          <t>19960782914</t>
        </is>
      </c>
      <c r="B385" t="inlineStr">
        <is>
          <t>隔日到貨🔥 iPhone 軍規 防摔殼 手機殼 17 16 15 14 13 12 11 XS XR SE 保護殼 蘋果</t>
        </is>
      </c>
      <c r="C385">
        <f>IMAGE("https://cf.shopee.tw/file/sg-11134201-22110-cycsa5p7lqjve2_tn")</f>
        <v/>
      </c>
      <c r="D385" t="inlineStr">
        <is>
          <t>黑色軍規,XR</t>
        </is>
      </c>
      <c r="E385" t="inlineStr">
        <is>
          <t>157234980230</t>
        </is>
      </c>
      <c r="F385">
        <f>IMAGE("https://cf.shopee.tw/file/sg-11134201-22110-u0qudeq35ljv56_tn")</f>
        <v/>
      </c>
    </row>
    <row r="386">
      <c r="A386" t="inlineStr">
        <is>
          <t>19960782914</t>
        </is>
      </c>
      <c r="B386" t="inlineStr">
        <is>
          <t>隔日到貨🔥 iPhone 軍規 防摔殼 手機殼 17 16 15 14 13 12 11 XS XR SE 保護殼 蘋果</t>
        </is>
      </c>
      <c r="C386">
        <f>IMAGE("https://cf.shopee.tw/file/sg-11134201-22110-cycsa5p7lqjve2_tn")</f>
        <v/>
      </c>
      <c r="D386" t="inlineStr">
        <is>
          <t>黑色軍規,11</t>
        </is>
      </c>
      <c r="E386" t="inlineStr">
        <is>
          <t>156212462941</t>
        </is>
      </c>
      <c r="F386">
        <f>IMAGE("https://cf.shopee.tw/file/sg-11134201-22110-u0qudeq35ljv56_tn")</f>
        <v/>
      </c>
    </row>
    <row r="387">
      <c r="A387" t="inlineStr">
        <is>
          <t>19960782914</t>
        </is>
      </c>
      <c r="B387" t="inlineStr">
        <is>
          <t>隔日到貨🔥 iPhone 軍規 防摔殼 手機殼 17 16 15 14 13 12 11 XS XR SE 保護殼 蘋果</t>
        </is>
      </c>
      <c r="C387">
        <f>IMAGE("https://cf.shopee.tw/file/sg-11134201-22110-cycsa5p7lqjve2_tn")</f>
        <v/>
      </c>
      <c r="D387" t="inlineStr">
        <is>
          <t>黑色軍規,11 pro</t>
        </is>
      </c>
      <c r="E387" t="inlineStr">
        <is>
          <t>157234980231</t>
        </is>
      </c>
      <c r="F387">
        <f>IMAGE("https://cf.shopee.tw/file/sg-11134201-22110-u0qudeq35ljv56_tn")</f>
        <v/>
      </c>
    </row>
    <row r="388">
      <c r="A388" t="inlineStr">
        <is>
          <t>19960782914</t>
        </is>
      </c>
      <c r="B388" t="inlineStr">
        <is>
          <t>隔日到貨🔥 iPhone 軍規 防摔殼 手機殼 17 16 15 14 13 12 11 XS XR SE 保護殼 蘋果</t>
        </is>
      </c>
      <c r="C388">
        <f>IMAGE("https://cf.shopee.tw/file/sg-11134201-22110-cycsa5p7lqjve2_tn")</f>
        <v/>
      </c>
      <c r="D388" t="inlineStr">
        <is>
          <t>黑色軍規,11 proMax</t>
        </is>
      </c>
      <c r="E388" t="inlineStr">
        <is>
          <t>157234980232</t>
        </is>
      </c>
      <c r="F388">
        <f>IMAGE("https://cf.shopee.tw/file/sg-11134201-22110-u0qudeq35ljv56_tn")</f>
        <v/>
      </c>
    </row>
    <row r="389">
      <c r="A389" t="inlineStr">
        <is>
          <t>19960782914</t>
        </is>
      </c>
      <c r="B389" t="inlineStr">
        <is>
          <t>隔日到貨🔥 iPhone 軍規 防摔殼 手機殼 17 16 15 14 13 12 11 XS XR SE 保護殼 蘋果</t>
        </is>
      </c>
      <c r="C389">
        <f>IMAGE("https://cf.shopee.tw/file/sg-11134201-22110-cycsa5p7lqjve2_tn")</f>
        <v/>
      </c>
      <c r="D389" t="inlineStr">
        <is>
          <t>黑色軍規,12/12 pro</t>
        </is>
      </c>
      <c r="E389" t="inlineStr">
        <is>
          <t>156212462929</t>
        </is>
      </c>
      <c r="F389">
        <f>IMAGE("https://cf.shopee.tw/file/sg-11134201-22110-u0qudeq35ljv56_tn")</f>
        <v/>
      </c>
    </row>
    <row r="390">
      <c r="A390" t="inlineStr">
        <is>
          <t>19960782914</t>
        </is>
      </c>
      <c r="B390" t="inlineStr">
        <is>
          <t>隔日到貨🔥 iPhone 軍規 防摔殼 手機殼 17 16 15 14 13 12 11 XS XR SE 保護殼 蘋果</t>
        </is>
      </c>
      <c r="C390">
        <f>IMAGE("https://cf.shopee.tw/file/sg-11134201-22110-cycsa5p7lqjve2_tn")</f>
        <v/>
      </c>
      <c r="D390" t="inlineStr">
        <is>
          <t>黑色軍規,12 proMax</t>
        </is>
      </c>
      <c r="E390" t="inlineStr">
        <is>
          <t>156212462949</t>
        </is>
      </c>
      <c r="F390">
        <f>IMAGE("https://cf.shopee.tw/file/sg-11134201-22110-u0qudeq35ljv56_tn")</f>
        <v/>
      </c>
    </row>
    <row r="391">
      <c r="A391" t="inlineStr">
        <is>
          <t>19960782914</t>
        </is>
      </c>
      <c r="B391" t="inlineStr">
        <is>
          <t>隔日到貨🔥 iPhone 軍規 防摔殼 手機殼 17 16 15 14 13 12 11 XS XR SE 保護殼 蘋果</t>
        </is>
      </c>
      <c r="C391">
        <f>IMAGE("https://cf.shopee.tw/file/sg-11134201-22110-cycsa5p7lqjve2_tn")</f>
        <v/>
      </c>
      <c r="D391" t="inlineStr">
        <is>
          <t>黑色軍規,13/14</t>
        </is>
      </c>
      <c r="E391" t="inlineStr">
        <is>
          <t>156212462942</t>
        </is>
      </c>
      <c r="F391">
        <f>IMAGE("https://cf.shopee.tw/file/sg-11134201-22110-u0qudeq35ljv56_tn")</f>
        <v/>
      </c>
    </row>
    <row r="392">
      <c r="A392" t="inlineStr">
        <is>
          <t>19960782914</t>
        </is>
      </c>
      <c r="B392" t="inlineStr">
        <is>
          <t>隔日到貨🔥 iPhone 軍規 防摔殼 手機殼 17 16 15 14 13 12 11 XS XR SE 保護殼 蘋果</t>
        </is>
      </c>
      <c r="C392">
        <f>IMAGE("https://cf.shopee.tw/file/sg-11134201-22110-cycsa5p7lqjve2_tn")</f>
        <v/>
      </c>
      <c r="D392" t="inlineStr">
        <is>
          <t>黑色軍規,13 pro</t>
        </is>
      </c>
      <c r="E392" t="inlineStr">
        <is>
          <t>156212462965</t>
        </is>
      </c>
      <c r="F392">
        <f>IMAGE("https://cf.shopee.tw/file/sg-11134201-22110-u0qudeq35ljv56_tn")</f>
        <v/>
      </c>
    </row>
    <row r="393">
      <c r="A393" t="inlineStr">
        <is>
          <t>19960782914</t>
        </is>
      </c>
      <c r="B393" t="inlineStr">
        <is>
          <t>隔日到貨🔥 iPhone 軍規 防摔殼 手機殼 17 16 15 14 13 12 11 XS XR SE 保護殼 蘋果</t>
        </is>
      </c>
      <c r="C393">
        <f>IMAGE("https://cf.shopee.tw/file/sg-11134201-22110-cycsa5p7lqjve2_tn")</f>
        <v/>
      </c>
      <c r="D393" t="inlineStr">
        <is>
          <t>黑色軍規,13 proMax</t>
        </is>
      </c>
      <c r="E393" t="inlineStr">
        <is>
          <t>156212462961</t>
        </is>
      </c>
      <c r="F393">
        <f>IMAGE("https://cf.shopee.tw/file/sg-11134201-22110-u0qudeq35ljv56_tn")</f>
        <v/>
      </c>
    </row>
    <row r="394">
      <c r="A394" t="inlineStr">
        <is>
          <t>19960782914</t>
        </is>
      </c>
      <c r="B394" t="inlineStr">
        <is>
          <t>隔日到貨🔥 iPhone 軍規 防摔殼 手機殼 17 16 15 14 13 12 11 XS XR SE 保護殼 蘋果</t>
        </is>
      </c>
      <c r="C394">
        <f>IMAGE("https://cf.shopee.tw/file/sg-11134201-22110-cycsa5p7lqjve2_tn")</f>
        <v/>
      </c>
      <c r="D394" t="inlineStr">
        <is>
          <t>黑色軍規,14 pro</t>
        </is>
      </c>
      <c r="E394" t="inlineStr">
        <is>
          <t>183118726404</t>
        </is>
      </c>
      <c r="F394">
        <f>IMAGE("https://cf.shopee.tw/file/sg-11134201-22110-u0qudeq35ljv56_tn")</f>
        <v/>
      </c>
    </row>
    <row r="395">
      <c r="A395" t="inlineStr">
        <is>
          <t>19960782914</t>
        </is>
      </c>
      <c r="B395" t="inlineStr">
        <is>
          <t>隔日到貨🔥 iPhone 軍規 防摔殼 手機殼 17 16 15 14 13 12 11 XS XR SE 保護殼 蘋果</t>
        </is>
      </c>
      <c r="C395">
        <f>IMAGE("https://cf.shopee.tw/file/sg-11134201-22110-cycsa5p7lqjve2_tn")</f>
        <v/>
      </c>
      <c r="D395" t="inlineStr">
        <is>
          <t>黑色軍規,14 proMax</t>
        </is>
      </c>
      <c r="E395" t="inlineStr">
        <is>
          <t>183118726405</t>
        </is>
      </c>
      <c r="F395">
        <f>IMAGE("https://cf.shopee.tw/file/sg-11134201-22110-u0qudeq35ljv56_tn")</f>
        <v/>
      </c>
    </row>
    <row r="396">
      <c r="A396" t="inlineStr">
        <is>
          <t>19960782914</t>
        </is>
      </c>
      <c r="B396" t="inlineStr">
        <is>
          <t>隔日到貨🔥 iPhone 軍規 防摔殼 手機殼 17 16 15 14 13 12 11 XS XR SE 保護殼 蘋果</t>
        </is>
      </c>
      <c r="C396">
        <f>IMAGE("https://cf.shopee.tw/file/sg-11134201-22110-cycsa5p7lqjve2_tn")</f>
        <v/>
      </c>
      <c r="D396" t="inlineStr">
        <is>
          <t>黑色軍規,14Plus/15Plus</t>
        </is>
      </c>
      <c r="E396" t="inlineStr">
        <is>
          <t>157234980233</t>
        </is>
      </c>
      <c r="F396">
        <f>IMAGE("https://cf.shopee.tw/file/sg-11134201-22110-u0qudeq35ljv56_tn")</f>
        <v/>
      </c>
    </row>
    <row r="397">
      <c r="A397" t="inlineStr">
        <is>
          <t>19960782914</t>
        </is>
      </c>
      <c r="B397" t="inlineStr">
        <is>
          <t>隔日到貨🔥 iPhone 軍規 防摔殼 手機殼 17 16 15 14 13 12 11 XS XR SE 保護殼 蘋果</t>
        </is>
      </c>
      <c r="C397">
        <f>IMAGE("https://cf.shopee.tw/file/sg-11134201-22110-cycsa5p7lqjve2_tn")</f>
        <v/>
      </c>
      <c r="D397" t="inlineStr">
        <is>
          <t>黑色軍規,15</t>
        </is>
      </c>
      <c r="E397" t="inlineStr">
        <is>
          <t>225676862457</t>
        </is>
      </c>
      <c r="F397">
        <f>IMAGE("https://cf.shopee.tw/file/sg-11134201-22110-u0qudeq35ljv56_tn")</f>
        <v/>
      </c>
    </row>
    <row r="398">
      <c r="A398" t="inlineStr">
        <is>
          <t>19960782914</t>
        </is>
      </c>
      <c r="B398" t="inlineStr">
        <is>
          <t>隔日到貨🔥 iPhone 軍規 防摔殼 手機殼 17 16 15 14 13 12 11 XS XR SE 保護殼 蘋果</t>
        </is>
      </c>
      <c r="C398">
        <f>IMAGE("https://cf.shopee.tw/file/sg-11134201-22110-cycsa5p7lqjve2_tn")</f>
        <v/>
      </c>
      <c r="D398" t="inlineStr">
        <is>
          <t>黑色軍規,15 pro</t>
        </is>
      </c>
      <c r="E398" t="inlineStr">
        <is>
          <t>225676862458</t>
        </is>
      </c>
      <c r="F398">
        <f>IMAGE("https://cf.shopee.tw/file/sg-11134201-22110-u0qudeq35ljv56_tn")</f>
        <v/>
      </c>
    </row>
    <row r="399">
      <c r="A399" t="inlineStr">
        <is>
          <t>19960782914</t>
        </is>
      </c>
      <c r="B399" t="inlineStr">
        <is>
          <t>隔日到貨🔥 iPhone 軍規 防摔殼 手機殼 17 16 15 14 13 12 11 XS XR SE 保護殼 蘋果</t>
        </is>
      </c>
      <c r="C399">
        <f>IMAGE("https://cf.shopee.tw/file/sg-11134201-22110-cycsa5p7lqjve2_tn")</f>
        <v/>
      </c>
      <c r="D399" t="inlineStr">
        <is>
          <t>黑色軍規,15 pro Max</t>
        </is>
      </c>
      <c r="E399" t="inlineStr">
        <is>
          <t>225676862462</t>
        </is>
      </c>
      <c r="F399">
        <f>IMAGE("https://cf.shopee.tw/file/sg-11134201-22110-u0qudeq35ljv56_tn")</f>
        <v/>
      </c>
    </row>
    <row r="400">
      <c r="A400" t="inlineStr">
        <is>
          <t>19960782914</t>
        </is>
      </c>
      <c r="B400" t="inlineStr">
        <is>
          <t>隔日到貨🔥 iPhone 軍規 防摔殼 手機殼 17 16 15 14 13 12 11 XS XR SE 保護殼 蘋果</t>
        </is>
      </c>
      <c r="C400">
        <f>IMAGE("https://cf.shopee.tw/file/sg-11134201-22110-cycsa5p7lqjve2_tn")</f>
        <v/>
      </c>
      <c r="D400" t="inlineStr">
        <is>
          <t>黑色軍規,16</t>
        </is>
      </c>
      <c r="E400" t="inlineStr">
        <is>
          <t>207893342614</t>
        </is>
      </c>
      <c r="F400">
        <f>IMAGE("https://cf.shopee.tw/file/sg-11134201-22110-u0qudeq35ljv56_tn")</f>
        <v/>
      </c>
    </row>
    <row r="401">
      <c r="A401" t="inlineStr">
        <is>
          <t>19960782914</t>
        </is>
      </c>
      <c r="B401" t="inlineStr">
        <is>
          <t>隔日到貨🔥 iPhone 軍規 防摔殼 手機殼 17 16 15 14 13 12 11 XS XR SE 保護殼 蘋果</t>
        </is>
      </c>
      <c r="C401">
        <f>IMAGE("https://cf.shopee.tw/file/sg-11134201-22110-cycsa5p7lqjve2_tn")</f>
        <v/>
      </c>
      <c r="D401" t="inlineStr">
        <is>
          <t>黑色軍規,16 pro</t>
        </is>
      </c>
      <c r="E401" t="inlineStr">
        <is>
          <t>207893342615</t>
        </is>
      </c>
      <c r="F401">
        <f>IMAGE("https://cf.shopee.tw/file/sg-11134201-22110-u0qudeq35ljv56_tn")</f>
        <v/>
      </c>
    </row>
    <row r="402">
      <c r="A402" t="inlineStr">
        <is>
          <t>19960782914</t>
        </is>
      </c>
      <c r="B402" t="inlineStr">
        <is>
          <t>隔日到貨🔥 iPhone 軍規 防摔殼 手機殼 17 16 15 14 13 12 11 XS XR SE 保護殼 蘋果</t>
        </is>
      </c>
      <c r="C402">
        <f>IMAGE("https://cf.shopee.tw/file/sg-11134201-22110-cycsa5p7lqjve2_tn")</f>
        <v/>
      </c>
      <c r="D402" t="inlineStr">
        <is>
          <t>黑色軍規,16 pro Max</t>
        </is>
      </c>
      <c r="E402" t="inlineStr">
        <is>
          <t>207893342616</t>
        </is>
      </c>
      <c r="F402">
        <f>IMAGE("https://cf.shopee.tw/file/sg-11134201-22110-u0qudeq35ljv56_tn")</f>
        <v/>
      </c>
    </row>
    <row r="403">
      <c r="A403" t="inlineStr">
        <is>
          <t>19960782914</t>
        </is>
      </c>
      <c r="B403" t="inlineStr">
        <is>
          <t>隔日到貨🔥 iPhone 軍規 防摔殼 手機殼 17 16 15 14 13 12 11 XS XR SE 保護殼 蘋果</t>
        </is>
      </c>
      <c r="C403">
        <f>IMAGE("https://cf.shopee.tw/file/sg-11134201-22110-cycsa5p7lqjve2_tn")</f>
        <v/>
      </c>
      <c r="D403" t="inlineStr">
        <is>
          <t>黑色軍規,16 Plus</t>
        </is>
      </c>
      <c r="E403" t="inlineStr">
        <is>
          <t>207893342617</t>
        </is>
      </c>
      <c r="F403">
        <f>IMAGE("https://cf.shopee.tw/file/sg-11134201-22110-u0qudeq35ljv56_tn")</f>
        <v/>
      </c>
    </row>
    <row r="404">
      <c r="A404" t="inlineStr">
        <is>
          <t>19960782914</t>
        </is>
      </c>
      <c r="B404" t="inlineStr">
        <is>
          <t>隔日到貨🔥 iPhone 軍規 防摔殼 手機殼 17 16 15 14 13 12 11 XS XR SE 保護殼 蘋果</t>
        </is>
      </c>
      <c r="C404">
        <f>IMAGE("https://cf.shopee.tw/file/sg-11134201-22110-cycsa5p7lqjve2_tn")</f>
        <v/>
      </c>
      <c r="D404" t="inlineStr">
        <is>
          <t>黑色軍規,17</t>
        </is>
      </c>
      <c r="E404" t="inlineStr">
        <is>
          <t>282123920128</t>
        </is>
      </c>
      <c r="F404">
        <f>IMAGE("https://cf.shopee.tw/file/sg-11134201-22110-u0qudeq35ljv56_tn")</f>
        <v/>
      </c>
    </row>
    <row r="405">
      <c r="A405" t="inlineStr">
        <is>
          <t>19960782914</t>
        </is>
      </c>
      <c r="B405" t="inlineStr">
        <is>
          <t>隔日到貨🔥 iPhone 軍規 防摔殼 手機殼 17 16 15 14 13 12 11 XS XR SE 保護殼 蘋果</t>
        </is>
      </c>
      <c r="C405">
        <f>IMAGE("https://cf.shopee.tw/file/sg-11134201-22110-cycsa5p7lqjve2_tn")</f>
        <v/>
      </c>
      <c r="D405" t="inlineStr">
        <is>
          <t>黑色軍規,17 pro</t>
        </is>
      </c>
      <c r="E405" t="inlineStr">
        <is>
          <t>282123920129</t>
        </is>
      </c>
      <c r="F405">
        <f>IMAGE("https://cf.shopee.tw/file/sg-11134201-22110-u0qudeq35ljv56_tn")</f>
        <v/>
      </c>
    </row>
    <row r="406">
      <c r="A406" t="inlineStr">
        <is>
          <t>19960782914</t>
        </is>
      </c>
      <c r="B406" t="inlineStr">
        <is>
          <t>隔日到貨🔥 iPhone 軍規 防摔殼 手機殼 17 16 15 14 13 12 11 XS XR SE 保護殼 蘋果</t>
        </is>
      </c>
      <c r="C406">
        <f>IMAGE("https://cf.shopee.tw/file/sg-11134201-22110-cycsa5p7lqjve2_tn")</f>
        <v/>
      </c>
      <c r="D406" t="inlineStr">
        <is>
          <t>黑色軍規,17 pro Max</t>
        </is>
      </c>
      <c r="E406" t="inlineStr">
        <is>
          <t>282123920130</t>
        </is>
      </c>
      <c r="F406">
        <f>IMAGE("https://cf.shopee.tw/file/sg-11134201-22110-u0qudeq35ljv56_tn")</f>
        <v/>
      </c>
    </row>
    <row r="407">
      <c r="A407" t="inlineStr">
        <is>
          <t>19960782914</t>
        </is>
      </c>
      <c r="B407" t="inlineStr">
        <is>
          <t>隔日到貨🔥 iPhone 軍規 防摔殼 手機殼 17 16 15 14 13 12 11 XS XR SE 保護殼 蘋果</t>
        </is>
      </c>
      <c r="C407">
        <f>IMAGE("https://cf.shopee.tw/file/sg-11134201-22110-cycsa5p7lqjve2_tn")</f>
        <v/>
      </c>
      <c r="D407" t="inlineStr">
        <is>
          <t>抹茶綠軍規,7/8/SE2/SE3</t>
        </is>
      </c>
      <c r="E407" t="inlineStr">
        <is>
          <t>157234980235</t>
        </is>
      </c>
      <c r="F407">
        <f>IMAGE("https://cf.shopee.tw/file/sg-11134201-22110-o1vai35xjnjvf1_tn")</f>
        <v/>
      </c>
    </row>
    <row r="408">
      <c r="A408" t="inlineStr">
        <is>
          <t>19960782914</t>
        </is>
      </c>
      <c r="B408" t="inlineStr">
        <is>
          <t>隔日到貨🔥 iPhone 軍規 防摔殼 手機殼 17 16 15 14 13 12 11 XS XR SE 保護殼 蘋果</t>
        </is>
      </c>
      <c r="C408">
        <f>IMAGE("https://cf.shopee.tw/file/sg-11134201-22110-cycsa5p7lqjve2_tn")</f>
        <v/>
      </c>
      <c r="D408" t="inlineStr">
        <is>
          <t>抹茶綠軍規,7Plus/8Plus</t>
        </is>
      </c>
      <c r="E408" t="inlineStr">
        <is>
          <t>157234980236</t>
        </is>
      </c>
      <c r="F408">
        <f>IMAGE("https://cf.shopee.tw/file/sg-11134201-22110-o1vai35xjnjvf1_tn")</f>
        <v/>
      </c>
    </row>
    <row r="409">
      <c r="A409" t="inlineStr">
        <is>
          <t>19960782914</t>
        </is>
      </c>
      <c r="B409" t="inlineStr">
        <is>
          <t>隔日到貨🔥 iPhone 軍規 防摔殼 手機殼 17 16 15 14 13 12 11 XS XR SE 保護殼 蘋果</t>
        </is>
      </c>
      <c r="C409">
        <f>IMAGE("https://cf.shopee.tw/file/sg-11134201-22110-cycsa5p7lqjve2_tn")</f>
        <v/>
      </c>
      <c r="D409" t="inlineStr">
        <is>
          <t>抹茶綠軍規,X/XS</t>
        </is>
      </c>
      <c r="E409" t="inlineStr">
        <is>
          <t>157234980237</t>
        </is>
      </c>
      <c r="F409">
        <f>IMAGE("https://cf.shopee.tw/file/sg-11134201-22110-o1vai35xjnjvf1_tn")</f>
        <v/>
      </c>
    </row>
    <row r="410">
      <c r="A410" t="inlineStr">
        <is>
          <t>19960782914</t>
        </is>
      </c>
      <c r="B410" t="inlineStr">
        <is>
          <t>隔日到貨🔥 iPhone 軍規 防摔殼 手機殼 17 16 15 14 13 12 11 XS XR SE 保護殼 蘋果</t>
        </is>
      </c>
      <c r="C410">
        <f>IMAGE("https://cf.shopee.tw/file/sg-11134201-22110-cycsa5p7lqjve2_tn")</f>
        <v/>
      </c>
      <c r="D410" t="inlineStr">
        <is>
          <t>抹茶綠軍規,11</t>
        </is>
      </c>
      <c r="E410" t="inlineStr">
        <is>
          <t>156212462944</t>
        </is>
      </c>
      <c r="F410">
        <f>IMAGE("https://cf.shopee.tw/file/sg-11134201-22110-o1vai35xjnjvf1_tn")</f>
        <v/>
      </c>
    </row>
    <row r="411">
      <c r="A411" t="inlineStr">
        <is>
          <t>19960782914</t>
        </is>
      </c>
      <c r="B411" t="inlineStr">
        <is>
          <t>隔日到貨🔥 iPhone 軍規 防摔殼 手機殼 17 16 15 14 13 12 11 XS XR SE 保護殼 蘋果</t>
        </is>
      </c>
      <c r="C411">
        <f>IMAGE("https://cf.shopee.tw/file/sg-11134201-22110-cycsa5p7lqjve2_tn")</f>
        <v/>
      </c>
      <c r="D411" t="inlineStr">
        <is>
          <t>抹茶綠軍規,11 pro</t>
        </is>
      </c>
      <c r="E411" t="inlineStr">
        <is>
          <t>157234980239</t>
        </is>
      </c>
      <c r="F411">
        <f>IMAGE("https://cf.shopee.tw/file/sg-11134201-22110-o1vai35xjnjvf1_tn")</f>
        <v/>
      </c>
    </row>
    <row r="412">
      <c r="A412" t="inlineStr">
        <is>
          <t>19960782914</t>
        </is>
      </c>
      <c r="B412" t="inlineStr">
        <is>
          <t>隔日到貨🔥 iPhone 軍規 防摔殼 手機殼 17 16 15 14 13 12 11 XS XR SE 保護殼 蘋果</t>
        </is>
      </c>
      <c r="C412">
        <f>IMAGE("https://cf.shopee.tw/file/sg-11134201-22110-cycsa5p7lqjve2_tn")</f>
        <v/>
      </c>
      <c r="D412" t="inlineStr">
        <is>
          <t>抹茶綠軍規,12/12 pro</t>
        </is>
      </c>
      <c r="E412" t="inlineStr">
        <is>
          <t>156212462950</t>
        </is>
      </c>
      <c r="F412">
        <f>IMAGE("https://cf.shopee.tw/file/sg-11134201-22110-o1vai35xjnjvf1_tn")</f>
        <v/>
      </c>
    </row>
    <row r="413">
      <c r="A413" t="inlineStr">
        <is>
          <t>19960782914</t>
        </is>
      </c>
      <c r="B413" t="inlineStr">
        <is>
          <t>隔日到貨🔥 iPhone 軍規 防摔殼 手機殼 17 16 15 14 13 12 11 XS XR SE 保護殼 蘋果</t>
        </is>
      </c>
      <c r="C413">
        <f>IMAGE("https://cf.shopee.tw/file/sg-11134201-22110-cycsa5p7lqjve2_tn")</f>
        <v/>
      </c>
      <c r="D413" t="inlineStr">
        <is>
          <t>抹茶綠軍規,12 proMax</t>
        </is>
      </c>
      <c r="E413" t="inlineStr">
        <is>
          <t>156212462951</t>
        </is>
      </c>
      <c r="F413">
        <f>IMAGE("https://cf.shopee.tw/file/sg-11134201-22110-o1vai35xjnjvf1_tn")</f>
        <v/>
      </c>
    </row>
    <row r="414">
      <c r="A414" t="inlineStr">
        <is>
          <t>19960782914</t>
        </is>
      </c>
      <c r="B414" t="inlineStr">
        <is>
          <t>隔日到貨🔥 iPhone 軍規 防摔殼 手機殼 17 16 15 14 13 12 11 XS XR SE 保護殼 蘋果</t>
        </is>
      </c>
      <c r="C414">
        <f>IMAGE("https://cf.shopee.tw/file/sg-11134201-22110-cycsa5p7lqjve2_tn")</f>
        <v/>
      </c>
      <c r="D414" t="inlineStr">
        <is>
          <t>抹茶綠軍規,13/14</t>
        </is>
      </c>
      <c r="E414" t="inlineStr">
        <is>
          <t>156212462962</t>
        </is>
      </c>
      <c r="F414">
        <f>IMAGE("https://cf.shopee.tw/file/sg-11134201-22110-o1vai35xjnjvf1_tn")</f>
        <v/>
      </c>
    </row>
    <row r="415">
      <c r="A415" t="inlineStr">
        <is>
          <t>19960782914</t>
        </is>
      </c>
      <c r="B415" t="inlineStr">
        <is>
          <t>隔日到貨🔥 iPhone 軍規 防摔殼 手機殼 17 16 15 14 13 12 11 XS XR SE 保護殼 蘋果</t>
        </is>
      </c>
      <c r="C415">
        <f>IMAGE("https://cf.shopee.tw/file/sg-11134201-22110-cycsa5p7lqjve2_tn")</f>
        <v/>
      </c>
      <c r="D415" t="inlineStr">
        <is>
          <t>抹茶綠軍規,13 pro</t>
        </is>
      </c>
      <c r="E415" t="inlineStr"/>
      <c r="F415">
        <f>IMAGE("https://cf.shopee.tw/file/sg-11134201-22110-o1vai35xjnjvf1_tn")</f>
        <v/>
      </c>
    </row>
    <row r="416">
      <c r="A416" t="inlineStr">
        <is>
          <t>19960782914</t>
        </is>
      </c>
      <c r="B416" t="inlineStr">
        <is>
          <t>隔日到貨🔥 iPhone 軍規 防摔殼 手機殼 17 16 15 14 13 12 11 XS XR SE 保護殼 蘋果</t>
        </is>
      </c>
      <c r="C416">
        <f>IMAGE("https://cf.shopee.tw/file/sg-11134201-22110-cycsa5p7lqjve2_tn")</f>
        <v/>
      </c>
      <c r="D416" t="inlineStr">
        <is>
          <t>抹茶綠軍規,13 proMax</t>
        </is>
      </c>
      <c r="E416" t="inlineStr">
        <is>
          <t>156212462932</t>
        </is>
      </c>
      <c r="F416">
        <f>IMAGE("https://cf.shopee.tw/file/sg-11134201-22110-o1vai35xjnjvf1_tn")</f>
        <v/>
      </c>
    </row>
    <row r="417">
      <c r="A417" t="inlineStr">
        <is>
          <t>19960782914</t>
        </is>
      </c>
      <c r="B417" t="inlineStr">
        <is>
          <t>隔日到貨🔥 iPhone 軍規 防摔殼 手機殼 17 16 15 14 13 12 11 XS XR SE 保護殼 蘋果</t>
        </is>
      </c>
      <c r="C417">
        <f>IMAGE("https://cf.shopee.tw/file/sg-11134201-22110-cycsa5p7lqjve2_tn")</f>
        <v/>
      </c>
      <c r="D417" t="inlineStr">
        <is>
          <t>抹茶綠軍規,14 pro</t>
        </is>
      </c>
      <c r="E417" t="inlineStr">
        <is>
          <t>183118726398</t>
        </is>
      </c>
      <c r="F417">
        <f>IMAGE("https://cf.shopee.tw/file/sg-11134201-22110-o1vai35xjnjvf1_tn")</f>
        <v/>
      </c>
    </row>
    <row r="418">
      <c r="A418" t="inlineStr">
        <is>
          <t>19960782914</t>
        </is>
      </c>
      <c r="B418" t="inlineStr">
        <is>
          <t>隔日到貨🔥 iPhone 軍規 防摔殼 手機殼 17 16 15 14 13 12 11 XS XR SE 保護殼 蘋果</t>
        </is>
      </c>
      <c r="C418">
        <f>IMAGE("https://cf.shopee.tw/file/sg-11134201-22110-cycsa5p7lqjve2_tn")</f>
        <v/>
      </c>
      <c r="D418" t="inlineStr">
        <is>
          <t>抹茶綠軍規,14 proMax</t>
        </is>
      </c>
      <c r="E418" t="inlineStr">
        <is>
          <t>183118726403</t>
        </is>
      </c>
      <c r="F418">
        <f>IMAGE("https://cf.shopee.tw/file/sg-11134201-22110-o1vai35xjnjvf1_tn")</f>
        <v/>
      </c>
    </row>
    <row r="419">
      <c r="A419" t="inlineStr">
        <is>
          <t>19960782914</t>
        </is>
      </c>
      <c r="B419" t="inlineStr">
        <is>
          <t>隔日到貨🔥 iPhone 軍規 防摔殼 手機殼 17 16 15 14 13 12 11 XS XR SE 保護殼 蘋果</t>
        </is>
      </c>
      <c r="C419">
        <f>IMAGE("https://cf.shopee.tw/file/sg-11134201-22110-cycsa5p7lqjve2_tn")</f>
        <v/>
      </c>
      <c r="D419" t="inlineStr">
        <is>
          <t>抹茶綠軍規,14Plus/15Plus</t>
        </is>
      </c>
      <c r="E419" t="inlineStr">
        <is>
          <t>157234980241</t>
        </is>
      </c>
      <c r="F419">
        <f>IMAGE("https://cf.shopee.tw/file/sg-11134201-22110-o1vai35xjnjvf1_tn")</f>
        <v/>
      </c>
    </row>
    <row r="420">
      <c r="A420" t="inlineStr">
        <is>
          <t>19960782914</t>
        </is>
      </c>
      <c r="B420" t="inlineStr">
        <is>
          <t>隔日到貨🔥 iPhone 軍規 防摔殼 手機殼 17 16 15 14 13 12 11 XS XR SE 保護殼 蘋果</t>
        </is>
      </c>
      <c r="C420">
        <f>IMAGE("https://cf.shopee.tw/file/sg-11134201-22110-cycsa5p7lqjve2_tn")</f>
        <v/>
      </c>
      <c r="D420" t="inlineStr">
        <is>
          <t>抹茶綠軍規,15</t>
        </is>
      </c>
      <c r="E420" t="inlineStr">
        <is>
          <t>225676862459</t>
        </is>
      </c>
      <c r="F420">
        <f>IMAGE("https://cf.shopee.tw/file/sg-11134201-22110-o1vai35xjnjvf1_tn")</f>
        <v/>
      </c>
    </row>
    <row r="421">
      <c r="A421" t="inlineStr">
        <is>
          <t>19960782914</t>
        </is>
      </c>
      <c r="B421" t="inlineStr">
        <is>
          <t>隔日到貨🔥 iPhone 軍規 防摔殼 手機殼 17 16 15 14 13 12 11 XS XR SE 保護殼 蘋果</t>
        </is>
      </c>
      <c r="C421">
        <f>IMAGE("https://cf.shopee.tw/file/sg-11134201-22110-cycsa5p7lqjve2_tn")</f>
        <v/>
      </c>
      <c r="D421" t="inlineStr">
        <is>
          <t>抹茶綠軍規,15 pro</t>
        </is>
      </c>
      <c r="E421" t="inlineStr">
        <is>
          <t>225676862468</t>
        </is>
      </c>
      <c r="F421">
        <f>IMAGE("https://cf.shopee.tw/file/sg-11134201-22110-o1vai35xjnjvf1_tn")</f>
        <v/>
      </c>
    </row>
    <row r="422">
      <c r="A422" t="inlineStr">
        <is>
          <t>19960782914</t>
        </is>
      </c>
      <c r="B422" t="inlineStr">
        <is>
          <t>隔日到貨🔥 iPhone 軍規 防摔殼 手機殼 17 16 15 14 13 12 11 XS XR SE 保護殼 蘋果</t>
        </is>
      </c>
      <c r="C422">
        <f>IMAGE("https://cf.shopee.tw/file/sg-11134201-22110-cycsa5p7lqjve2_tn")</f>
        <v/>
      </c>
      <c r="D422" t="inlineStr">
        <is>
          <t>抹茶綠軍規,15 pro Max</t>
        </is>
      </c>
      <c r="E422" t="inlineStr">
        <is>
          <t>225676862463</t>
        </is>
      </c>
      <c r="F422">
        <f>IMAGE("https://cf.shopee.tw/file/sg-11134201-22110-o1vai35xjnjvf1_tn")</f>
        <v/>
      </c>
    </row>
    <row r="423">
      <c r="A423" t="inlineStr">
        <is>
          <t>19960782914</t>
        </is>
      </c>
      <c r="B423" t="inlineStr">
        <is>
          <t>隔日到貨🔥 iPhone 軍規 防摔殼 手機殼 17 16 15 14 13 12 11 XS XR SE 保護殼 蘋果</t>
        </is>
      </c>
      <c r="C423">
        <f>IMAGE("https://cf.shopee.tw/file/sg-11134201-22110-cycsa5p7lqjve2_tn")</f>
        <v/>
      </c>
      <c r="D423" t="inlineStr">
        <is>
          <t>粉色軍規,7/8/SE2/SE3</t>
        </is>
      </c>
      <c r="E423" t="inlineStr">
        <is>
          <t>157234980243</t>
        </is>
      </c>
      <c r="F423">
        <f>IMAGE("https://cf.shopee.tw/file/sg-11134201-22110-8a9x1ia1jnjv22_tn")</f>
        <v/>
      </c>
    </row>
    <row r="424">
      <c r="A424" t="inlineStr">
        <is>
          <t>19960782914</t>
        </is>
      </c>
      <c r="B424" t="inlineStr">
        <is>
          <t>隔日到貨🔥 iPhone 軍規 防摔殼 手機殼 17 16 15 14 13 12 11 XS XR SE 保護殼 蘋果</t>
        </is>
      </c>
      <c r="C424">
        <f>IMAGE("https://cf.shopee.tw/file/sg-11134201-22110-cycsa5p7lqjve2_tn")</f>
        <v/>
      </c>
      <c r="D424" t="inlineStr">
        <is>
          <t>粉色軍規,7Plus/8Plus</t>
        </is>
      </c>
      <c r="E424" t="inlineStr">
        <is>
          <t>157234980244</t>
        </is>
      </c>
      <c r="F424">
        <f>IMAGE("https://cf.shopee.tw/file/sg-11134201-22110-8a9x1ia1jnjv22_tn")</f>
        <v/>
      </c>
    </row>
    <row r="425">
      <c r="A425" t="inlineStr">
        <is>
          <t>19960782914</t>
        </is>
      </c>
      <c r="B425" t="inlineStr">
        <is>
          <t>隔日到貨🔥 iPhone 軍規 防摔殼 手機殼 17 16 15 14 13 12 11 XS XR SE 保護殼 蘋果</t>
        </is>
      </c>
      <c r="C425">
        <f>IMAGE("https://cf.shopee.tw/file/sg-11134201-22110-cycsa5p7lqjve2_tn")</f>
        <v/>
      </c>
      <c r="D425" t="inlineStr">
        <is>
          <t>粉色軍規,X/XS</t>
        </is>
      </c>
      <c r="E425" t="inlineStr">
        <is>
          <t>157234980245</t>
        </is>
      </c>
      <c r="F425">
        <f>IMAGE("https://cf.shopee.tw/file/sg-11134201-22110-8a9x1ia1jnjv22_tn")</f>
        <v/>
      </c>
    </row>
    <row r="426">
      <c r="A426" t="inlineStr">
        <is>
          <t>19960782914</t>
        </is>
      </c>
      <c r="B426" t="inlineStr">
        <is>
          <t>隔日到貨🔥 iPhone 軍規 防摔殼 手機殼 17 16 15 14 13 12 11 XS XR SE 保護殼 蘋果</t>
        </is>
      </c>
      <c r="C426">
        <f>IMAGE("https://cf.shopee.tw/file/sg-11134201-22110-cycsa5p7lqjve2_tn")</f>
        <v/>
      </c>
      <c r="D426" t="inlineStr">
        <is>
          <t>粉色軍規,XR</t>
        </is>
      </c>
      <c r="E426" t="inlineStr">
        <is>
          <t>157234980246</t>
        </is>
      </c>
      <c r="F426">
        <f>IMAGE("https://cf.shopee.tw/file/sg-11134201-22110-8a9x1ia1jnjv22_tn")</f>
        <v/>
      </c>
    </row>
    <row r="427">
      <c r="A427" t="inlineStr">
        <is>
          <t>19960782914</t>
        </is>
      </c>
      <c r="B427" t="inlineStr">
        <is>
          <t>隔日到貨🔥 iPhone 軍規 防摔殼 手機殼 17 16 15 14 13 12 11 XS XR SE 保護殼 蘋果</t>
        </is>
      </c>
      <c r="C427">
        <f>IMAGE("https://cf.shopee.tw/file/sg-11134201-22110-cycsa5p7lqjve2_tn")</f>
        <v/>
      </c>
      <c r="D427" t="inlineStr">
        <is>
          <t>粉色軍規,11</t>
        </is>
      </c>
      <c r="E427" t="inlineStr"/>
      <c r="F427">
        <f>IMAGE("https://cf.shopee.tw/file/sg-11134201-22110-8a9x1ia1jnjv22_tn")</f>
        <v/>
      </c>
    </row>
    <row r="428">
      <c r="A428" t="inlineStr">
        <is>
          <t>19960782914</t>
        </is>
      </c>
      <c r="B428" t="inlineStr">
        <is>
          <t>隔日到貨🔥 iPhone 軍規 防摔殼 手機殼 17 16 15 14 13 12 11 XS XR SE 保護殼 蘋果</t>
        </is>
      </c>
      <c r="C428">
        <f>IMAGE("https://cf.shopee.tw/file/sg-11134201-22110-cycsa5p7lqjve2_tn")</f>
        <v/>
      </c>
      <c r="D428" t="inlineStr">
        <is>
          <t>粉色軍規,11 pro</t>
        </is>
      </c>
      <c r="E428" t="inlineStr">
        <is>
          <t>157234980247</t>
        </is>
      </c>
      <c r="F428">
        <f>IMAGE("https://cf.shopee.tw/file/sg-11134201-22110-8a9x1ia1jnjv22_tn")</f>
        <v/>
      </c>
    </row>
    <row r="429">
      <c r="A429" t="inlineStr">
        <is>
          <t>19960782914</t>
        </is>
      </c>
      <c r="B429" t="inlineStr">
        <is>
          <t>隔日到貨🔥 iPhone 軍規 防摔殼 手機殼 17 16 15 14 13 12 11 XS XR SE 保護殼 蘋果</t>
        </is>
      </c>
      <c r="C429">
        <f>IMAGE("https://cf.shopee.tw/file/sg-11134201-22110-cycsa5p7lqjve2_tn")</f>
        <v/>
      </c>
      <c r="D429" t="inlineStr">
        <is>
          <t>粉色軍規,11 proMax</t>
        </is>
      </c>
      <c r="E429" t="inlineStr">
        <is>
          <t>157234980248</t>
        </is>
      </c>
      <c r="F429">
        <f>IMAGE("https://cf.shopee.tw/file/sg-11134201-22110-8a9x1ia1jnjv22_tn")</f>
        <v/>
      </c>
    </row>
    <row r="430">
      <c r="A430" t="inlineStr">
        <is>
          <t>19960782914</t>
        </is>
      </c>
      <c r="B430" t="inlineStr">
        <is>
          <t>隔日到貨🔥 iPhone 軍規 防摔殼 手機殼 17 16 15 14 13 12 11 XS XR SE 保護殼 蘋果</t>
        </is>
      </c>
      <c r="C430">
        <f>IMAGE("https://cf.shopee.tw/file/sg-11134201-22110-cycsa5p7lqjve2_tn")</f>
        <v/>
      </c>
      <c r="D430" t="inlineStr">
        <is>
          <t>粉色軍規,12/12 pro</t>
        </is>
      </c>
      <c r="E430" t="inlineStr">
        <is>
          <t>156212462955</t>
        </is>
      </c>
      <c r="F430">
        <f>IMAGE("https://cf.shopee.tw/file/sg-11134201-22110-8a9x1ia1jnjv22_tn")</f>
        <v/>
      </c>
    </row>
    <row r="431">
      <c r="A431" t="inlineStr">
        <is>
          <t>19960782914</t>
        </is>
      </c>
      <c r="B431" t="inlineStr">
        <is>
          <t>隔日到貨🔥 iPhone 軍規 防摔殼 手機殼 17 16 15 14 13 12 11 XS XR SE 保護殼 蘋果</t>
        </is>
      </c>
      <c r="C431">
        <f>IMAGE("https://cf.shopee.tw/file/sg-11134201-22110-cycsa5p7lqjve2_tn")</f>
        <v/>
      </c>
      <c r="D431" t="inlineStr">
        <is>
          <t>粉色軍規,12 proMax</t>
        </is>
      </c>
      <c r="E431" t="inlineStr">
        <is>
          <t>156212462935</t>
        </is>
      </c>
      <c r="F431">
        <f>IMAGE("https://cf.shopee.tw/file/sg-11134201-22110-8a9x1ia1jnjv22_tn")</f>
        <v/>
      </c>
    </row>
    <row r="432">
      <c r="A432" t="inlineStr">
        <is>
          <t>19960782914</t>
        </is>
      </c>
      <c r="B432" t="inlineStr">
        <is>
          <t>隔日到貨🔥 iPhone 軍規 防摔殼 手機殼 17 16 15 14 13 12 11 XS XR SE 保護殼 蘋果</t>
        </is>
      </c>
      <c r="C432">
        <f>IMAGE("https://cf.shopee.tw/file/sg-11134201-22110-cycsa5p7lqjve2_tn")</f>
        <v/>
      </c>
      <c r="D432" t="inlineStr">
        <is>
          <t>粉色軍規,13/14</t>
        </is>
      </c>
      <c r="E432" t="inlineStr">
        <is>
          <t>156212462963</t>
        </is>
      </c>
      <c r="F432">
        <f>IMAGE("https://cf.shopee.tw/file/sg-11134201-22110-8a9x1ia1jnjv22_tn")</f>
        <v/>
      </c>
    </row>
    <row r="433">
      <c r="A433" t="inlineStr">
        <is>
          <t>19960782914</t>
        </is>
      </c>
      <c r="B433" t="inlineStr">
        <is>
          <t>隔日到貨🔥 iPhone 軍規 防摔殼 手機殼 17 16 15 14 13 12 11 XS XR SE 保護殼 蘋果</t>
        </is>
      </c>
      <c r="C433">
        <f>IMAGE("https://cf.shopee.tw/file/sg-11134201-22110-cycsa5p7lqjve2_tn")</f>
        <v/>
      </c>
      <c r="D433" t="inlineStr">
        <is>
          <t>粉色軍規,13 pro</t>
        </is>
      </c>
      <c r="E433" t="inlineStr">
        <is>
          <t>156212462947</t>
        </is>
      </c>
      <c r="F433">
        <f>IMAGE("https://cf.shopee.tw/file/sg-11134201-22110-8a9x1ia1jnjv22_tn")</f>
        <v/>
      </c>
    </row>
    <row r="434">
      <c r="A434" t="inlineStr">
        <is>
          <t>19960782914</t>
        </is>
      </c>
      <c r="B434" t="inlineStr">
        <is>
          <t>隔日到貨🔥 iPhone 軍規 防摔殼 手機殼 17 16 15 14 13 12 11 XS XR SE 保護殼 蘋果</t>
        </is>
      </c>
      <c r="C434">
        <f>IMAGE("https://cf.shopee.tw/file/sg-11134201-22110-cycsa5p7lqjve2_tn")</f>
        <v/>
      </c>
      <c r="D434" t="inlineStr">
        <is>
          <t>粉色軍規,13 proMax</t>
        </is>
      </c>
      <c r="E434" t="inlineStr">
        <is>
          <t>156212462928</t>
        </is>
      </c>
      <c r="F434">
        <f>IMAGE("https://cf.shopee.tw/file/sg-11134201-22110-8a9x1ia1jnjv22_tn")</f>
        <v/>
      </c>
    </row>
    <row r="435">
      <c r="A435" t="inlineStr">
        <is>
          <t>19960782914</t>
        </is>
      </c>
      <c r="B435" t="inlineStr">
        <is>
          <t>隔日到貨🔥 iPhone 軍規 防摔殼 手機殼 17 16 15 14 13 12 11 XS XR SE 保護殼 蘋果</t>
        </is>
      </c>
      <c r="C435">
        <f>IMAGE("https://cf.shopee.tw/file/sg-11134201-22110-cycsa5p7lqjve2_tn")</f>
        <v/>
      </c>
      <c r="D435" t="inlineStr">
        <is>
          <t>粉色軍規,14 pro</t>
        </is>
      </c>
      <c r="E435" t="inlineStr">
        <is>
          <t>183118726400</t>
        </is>
      </c>
      <c r="F435">
        <f>IMAGE("https://cf.shopee.tw/file/sg-11134201-22110-8a9x1ia1jnjv22_tn")</f>
        <v/>
      </c>
    </row>
    <row r="436">
      <c r="A436" t="inlineStr">
        <is>
          <t>19960782914</t>
        </is>
      </c>
      <c r="B436" t="inlineStr">
        <is>
          <t>隔日到貨🔥 iPhone 軍規 防摔殼 手機殼 17 16 15 14 13 12 11 XS XR SE 保護殼 蘋果</t>
        </is>
      </c>
      <c r="C436">
        <f>IMAGE("https://cf.shopee.tw/file/sg-11134201-22110-cycsa5p7lqjve2_tn")</f>
        <v/>
      </c>
      <c r="D436" t="inlineStr">
        <is>
          <t>粉色軍規,14 proMax</t>
        </is>
      </c>
      <c r="E436" t="inlineStr">
        <is>
          <t>183118726399</t>
        </is>
      </c>
      <c r="F436">
        <f>IMAGE("https://cf.shopee.tw/file/sg-11134201-22110-8a9x1ia1jnjv22_tn")</f>
        <v/>
      </c>
    </row>
    <row r="437">
      <c r="A437" t="inlineStr">
        <is>
          <t>19960782914</t>
        </is>
      </c>
      <c r="B437" t="inlineStr">
        <is>
          <t>隔日到貨🔥 iPhone 軍規 防摔殼 手機殼 17 16 15 14 13 12 11 XS XR SE 保護殼 蘋果</t>
        </is>
      </c>
      <c r="C437">
        <f>IMAGE("https://cf.shopee.tw/file/sg-11134201-22110-cycsa5p7lqjve2_tn")</f>
        <v/>
      </c>
      <c r="D437" t="inlineStr">
        <is>
          <t>粉色軍規,15</t>
        </is>
      </c>
      <c r="E437" t="inlineStr">
        <is>
          <t>225676862464</t>
        </is>
      </c>
      <c r="F437">
        <f>IMAGE("https://cf.shopee.tw/file/sg-11134201-22110-8a9x1ia1jnjv22_tn")</f>
        <v/>
      </c>
    </row>
    <row r="438">
      <c r="A438" t="inlineStr">
        <is>
          <t>19960782914</t>
        </is>
      </c>
      <c r="B438" t="inlineStr">
        <is>
          <t>隔日到貨🔥 iPhone 軍規 防摔殼 手機殼 17 16 15 14 13 12 11 XS XR SE 保護殼 蘋果</t>
        </is>
      </c>
      <c r="C438">
        <f>IMAGE("https://cf.shopee.tw/file/sg-11134201-22110-cycsa5p7lqjve2_tn")</f>
        <v/>
      </c>
      <c r="D438" t="inlineStr">
        <is>
          <t>粉色軍規,15 pro</t>
        </is>
      </c>
      <c r="E438" t="inlineStr">
        <is>
          <t>225676862467</t>
        </is>
      </c>
      <c r="F438">
        <f>IMAGE("https://cf.shopee.tw/file/sg-11134201-22110-8a9x1ia1jnjv22_tn")</f>
        <v/>
      </c>
    </row>
    <row r="439">
      <c r="A439" t="inlineStr">
        <is>
          <t>19960782914</t>
        </is>
      </c>
      <c r="B439" t="inlineStr">
        <is>
          <t>隔日到貨🔥 iPhone 軍規 防摔殼 手機殼 17 16 15 14 13 12 11 XS XR SE 保護殼 蘋果</t>
        </is>
      </c>
      <c r="C439">
        <f>IMAGE("https://cf.shopee.tw/file/sg-11134201-22110-cycsa5p7lqjve2_tn")</f>
        <v/>
      </c>
      <c r="D439" t="inlineStr">
        <is>
          <t>粉色軍規,15 pro Max</t>
        </is>
      </c>
      <c r="E439" t="inlineStr">
        <is>
          <t>225676862465</t>
        </is>
      </c>
      <c r="F439">
        <f>IMAGE("https://cf.shopee.tw/file/sg-11134201-22110-8a9x1ia1jnjv22_tn")</f>
        <v/>
      </c>
    </row>
    <row r="440">
      <c r="A440" t="inlineStr">
        <is>
          <t>19960782914</t>
        </is>
      </c>
      <c r="B440" t="inlineStr">
        <is>
          <t>隔日到貨🔥 iPhone 軍規 防摔殼 手機殼 17 16 15 14 13 12 11 XS XR SE 保護殼 蘋果</t>
        </is>
      </c>
      <c r="C440">
        <f>IMAGE("https://cf.shopee.tw/file/sg-11134201-22110-cycsa5p7lqjve2_tn")</f>
        <v/>
      </c>
      <c r="D440" t="inlineStr">
        <is>
          <t>粉色軍規,16</t>
        </is>
      </c>
      <c r="E440" t="inlineStr">
        <is>
          <t>207893342622</t>
        </is>
      </c>
      <c r="F440">
        <f>IMAGE("https://cf.shopee.tw/file/sg-11134201-22110-8a9x1ia1jnjv22_tn")</f>
        <v/>
      </c>
    </row>
    <row r="441">
      <c r="A441" t="inlineStr">
        <is>
          <t>19960782914</t>
        </is>
      </c>
      <c r="B441" t="inlineStr">
        <is>
          <t>隔日到貨🔥 iPhone 軍規 防摔殼 手機殼 17 16 15 14 13 12 11 XS XR SE 保護殼 蘋果</t>
        </is>
      </c>
      <c r="C441">
        <f>IMAGE("https://cf.shopee.tw/file/sg-11134201-22110-cycsa5p7lqjve2_tn")</f>
        <v/>
      </c>
      <c r="D441" t="inlineStr">
        <is>
          <t>粉色軍規,16 pro</t>
        </is>
      </c>
      <c r="E441" t="inlineStr"/>
      <c r="F441">
        <f>IMAGE("https://cf.shopee.tw/file/sg-11134201-22110-8a9x1ia1jnjv22_tn")</f>
        <v/>
      </c>
    </row>
    <row r="442">
      <c r="A442" t="inlineStr">
        <is>
          <t>19960782914</t>
        </is>
      </c>
      <c r="B442" t="inlineStr">
        <is>
          <t>隔日到貨🔥 iPhone 軍規 防摔殼 手機殼 17 16 15 14 13 12 11 XS XR SE 保護殼 蘋果</t>
        </is>
      </c>
      <c r="C442">
        <f>IMAGE("https://cf.shopee.tw/file/sg-11134201-22110-cycsa5p7lqjve2_tn")</f>
        <v/>
      </c>
      <c r="D442" t="inlineStr">
        <is>
          <t>粉色軍規,16 pro Max</t>
        </is>
      </c>
      <c r="E442" t="inlineStr">
        <is>
          <t>207893342624</t>
        </is>
      </c>
      <c r="F442">
        <f>IMAGE("https://cf.shopee.tw/file/sg-11134201-22110-8a9x1ia1jnjv22_tn")</f>
        <v/>
      </c>
    </row>
    <row r="443">
      <c r="A443" t="inlineStr">
        <is>
          <t>19960782914</t>
        </is>
      </c>
      <c r="B443" t="inlineStr">
        <is>
          <t>隔日到貨🔥 iPhone 軍規 防摔殼 手機殼 17 16 15 14 13 12 11 XS XR SE 保護殼 蘋果</t>
        </is>
      </c>
      <c r="C443">
        <f>IMAGE("https://cf.shopee.tw/file/sg-11134201-22110-cycsa5p7lqjve2_tn")</f>
        <v/>
      </c>
      <c r="D443" t="inlineStr">
        <is>
          <t>粉色軍規,16 Plus</t>
        </is>
      </c>
      <c r="E443" t="inlineStr">
        <is>
          <t>207893342625</t>
        </is>
      </c>
      <c r="F443">
        <f>IMAGE("https://cf.shopee.tw/file/sg-11134201-22110-8a9x1ia1jnjv22_tn")</f>
        <v/>
      </c>
    </row>
    <row r="444">
      <c r="A444" t="inlineStr">
        <is>
          <t>19960782914</t>
        </is>
      </c>
      <c r="B444" t="inlineStr">
        <is>
          <t>隔日到貨🔥 iPhone 軍規 防摔殼 手機殼 17 16 15 14 13 12 11 XS XR SE 保護殼 蘋果</t>
        </is>
      </c>
      <c r="C444">
        <f>IMAGE("https://cf.shopee.tw/file/sg-11134201-22110-cycsa5p7lqjve2_tn")</f>
        <v/>
      </c>
      <c r="D444" t="inlineStr">
        <is>
          <t>藍色軍規,7Plus/8Plus</t>
        </is>
      </c>
      <c r="E444" t="inlineStr">
        <is>
          <t>157234980252</t>
        </is>
      </c>
      <c r="F444">
        <f>IMAGE("https://cf.shopee.tw/file/sg-11134201-22110-y6rkf9s1jnjv15_tn")</f>
        <v/>
      </c>
    </row>
    <row r="445">
      <c r="A445" t="inlineStr">
        <is>
          <t>19960782914</t>
        </is>
      </c>
      <c r="B445" t="inlineStr">
        <is>
          <t>隔日到貨🔥 iPhone 軍規 防摔殼 手機殼 17 16 15 14 13 12 11 XS XR SE 保護殼 蘋果</t>
        </is>
      </c>
      <c r="C445">
        <f>IMAGE("https://cf.shopee.tw/file/sg-11134201-22110-cycsa5p7lqjve2_tn")</f>
        <v/>
      </c>
      <c r="D445" t="inlineStr">
        <is>
          <t>藍色軍規,X/XS</t>
        </is>
      </c>
      <c r="E445" t="inlineStr">
        <is>
          <t>157234980253</t>
        </is>
      </c>
      <c r="F445">
        <f>IMAGE("https://cf.shopee.tw/file/sg-11134201-22110-y6rkf9s1jnjv15_tn")</f>
        <v/>
      </c>
    </row>
    <row r="446">
      <c r="A446" t="inlineStr">
        <is>
          <t>19960782914</t>
        </is>
      </c>
      <c r="B446" t="inlineStr">
        <is>
          <t>隔日到貨🔥 iPhone 軍規 防摔殼 手機殼 17 16 15 14 13 12 11 XS XR SE 保護殼 蘋果</t>
        </is>
      </c>
      <c r="C446">
        <f>IMAGE("https://cf.shopee.tw/file/sg-11134201-22110-cycsa5p7lqjve2_tn")</f>
        <v/>
      </c>
      <c r="D446" t="inlineStr">
        <is>
          <t>藍色軍規,XR</t>
        </is>
      </c>
      <c r="E446" t="inlineStr">
        <is>
          <t>157234980254</t>
        </is>
      </c>
      <c r="F446">
        <f>IMAGE("https://cf.shopee.tw/file/sg-11134201-22110-y6rkf9s1jnjv15_tn")</f>
        <v/>
      </c>
    </row>
    <row r="447">
      <c r="A447" t="inlineStr">
        <is>
          <t>19960782914</t>
        </is>
      </c>
      <c r="B447" t="inlineStr">
        <is>
          <t>隔日到貨🔥 iPhone 軍規 防摔殼 手機殼 17 16 15 14 13 12 11 XS XR SE 保護殼 蘋果</t>
        </is>
      </c>
      <c r="C447">
        <f>IMAGE("https://cf.shopee.tw/file/sg-11134201-22110-cycsa5p7lqjve2_tn")</f>
        <v/>
      </c>
      <c r="D447" t="inlineStr">
        <is>
          <t>藍色軍規,11</t>
        </is>
      </c>
      <c r="E447" t="inlineStr">
        <is>
          <t>156212462925</t>
        </is>
      </c>
      <c r="F447">
        <f>IMAGE("https://cf.shopee.tw/file/sg-11134201-22110-y6rkf9s1jnjv15_tn")</f>
        <v/>
      </c>
    </row>
    <row r="448">
      <c r="A448" t="inlineStr">
        <is>
          <t>19960782914</t>
        </is>
      </c>
      <c r="B448" t="inlineStr">
        <is>
          <t>隔日到貨🔥 iPhone 軍規 防摔殼 手機殼 17 16 15 14 13 12 11 XS XR SE 保護殼 蘋果</t>
        </is>
      </c>
      <c r="C448">
        <f>IMAGE("https://cf.shopee.tw/file/sg-11134201-22110-cycsa5p7lqjve2_tn")</f>
        <v/>
      </c>
      <c r="D448" t="inlineStr">
        <is>
          <t>藍色軍規,11 pro</t>
        </is>
      </c>
      <c r="E448" t="inlineStr">
        <is>
          <t>157234980255</t>
        </is>
      </c>
      <c r="F448">
        <f>IMAGE("https://cf.shopee.tw/file/sg-11134201-22110-y6rkf9s1jnjv15_tn")</f>
        <v/>
      </c>
    </row>
    <row r="449">
      <c r="A449" t="inlineStr">
        <is>
          <t>19960782914</t>
        </is>
      </c>
      <c r="B449" t="inlineStr">
        <is>
          <t>隔日到貨🔥 iPhone 軍規 防摔殼 手機殼 17 16 15 14 13 12 11 XS XR SE 保護殼 蘋果</t>
        </is>
      </c>
      <c r="C449">
        <f>IMAGE("https://cf.shopee.tw/file/sg-11134201-22110-cycsa5p7lqjve2_tn")</f>
        <v/>
      </c>
      <c r="D449" t="inlineStr">
        <is>
          <t>藍色軍規,11 proMax</t>
        </is>
      </c>
      <c r="E449" t="inlineStr">
        <is>
          <t>157234980256</t>
        </is>
      </c>
      <c r="F449">
        <f>IMAGE("https://cf.shopee.tw/file/sg-11134201-22110-y6rkf9s1jnjv15_tn")</f>
        <v/>
      </c>
    </row>
    <row r="450">
      <c r="A450" t="inlineStr">
        <is>
          <t>19960782914</t>
        </is>
      </c>
      <c r="B450" t="inlineStr">
        <is>
          <t>隔日到貨🔥 iPhone 軍規 防摔殼 手機殼 17 16 15 14 13 12 11 XS XR SE 保護殼 蘋果</t>
        </is>
      </c>
      <c r="C450">
        <f>IMAGE("https://cf.shopee.tw/file/sg-11134201-22110-cycsa5p7lqjve2_tn")</f>
        <v/>
      </c>
      <c r="D450" t="inlineStr">
        <is>
          <t>藍色軍規,12/12 pro</t>
        </is>
      </c>
      <c r="E450" t="inlineStr">
        <is>
          <t>156212462958</t>
        </is>
      </c>
      <c r="F450">
        <f>IMAGE("https://cf.shopee.tw/file/sg-11134201-22110-y6rkf9s1jnjv15_tn")</f>
        <v/>
      </c>
    </row>
    <row r="451">
      <c r="A451" t="inlineStr">
        <is>
          <t>19960782914</t>
        </is>
      </c>
      <c r="B451" t="inlineStr">
        <is>
          <t>隔日到貨🔥 iPhone 軍規 防摔殼 手機殼 17 16 15 14 13 12 11 XS XR SE 保護殼 蘋果</t>
        </is>
      </c>
      <c r="C451">
        <f>IMAGE("https://cf.shopee.tw/file/sg-11134201-22110-cycsa5p7lqjve2_tn")</f>
        <v/>
      </c>
      <c r="D451" t="inlineStr">
        <is>
          <t>藍色軍規,12 proMax</t>
        </is>
      </c>
      <c r="E451" t="inlineStr">
        <is>
          <t>156212462936</t>
        </is>
      </c>
      <c r="F451">
        <f>IMAGE("https://cf.shopee.tw/file/sg-11134201-22110-y6rkf9s1jnjv15_tn")</f>
        <v/>
      </c>
    </row>
    <row r="452">
      <c r="A452" t="inlineStr">
        <is>
          <t>19960782914</t>
        </is>
      </c>
      <c r="B452" t="inlineStr">
        <is>
          <t>隔日到貨🔥 iPhone 軍規 防摔殼 手機殼 17 16 15 14 13 12 11 XS XR SE 保護殼 蘋果</t>
        </is>
      </c>
      <c r="C452">
        <f>IMAGE("https://cf.shopee.tw/file/sg-11134201-22110-cycsa5p7lqjve2_tn")</f>
        <v/>
      </c>
      <c r="D452" t="inlineStr">
        <is>
          <t>藍色軍規,13/14</t>
        </is>
      </c>
      <c r="E452" t="inlineStr">
        <is>
          <t>156212462937</t>
        </is>
      </c>
      <c r="F452">
        <f>IMAGE("https://cf.shopee.tw/file/sg-11134201-22110-y6rkf9s1jnjv15_tn")</f>
        <v/>
      </c>
    </row>
    <row r="453">
      <c r="A453" t="inlineStr">
        <is>
          <t>19960782914</t>
        </is>
      </c>
      <c r="B453" t="inlineStr">
        <is>
          <t>隔日到貨🔥 iPhone 軍規 防摔殼 手機殼 17 16 15 14 13 12 11 XS XR SE 保護殼 蘋果</t>
        </is>
      </c>
      <c r="C453">
        <f>IMAGE("https://cf.shopee.tw/file/sg-11134201-22110-cycsa5p7lqjve2_tn")</f>
        <v/>
      </c>
      <c r="D453" t="inlineStr">
        <is>
          <t>藍色軍規,13 pro</t>
        </is>
      </c>
      <c r="E453" t="inlineStr">
        <is>
          <t>156212462926</t>
        </is>
      </c>
      <c r="F453">
        <f>IMAGE("https://cf.shopee.tw/file/sg-11134201-22110-y6rkf9s1jnjv15_tn")</f>
        <v/>
      </c>
    </row>
    <row r="454">
      <c r="A454" t="inlineStr">
        <is>
          <t>19960782914</t>
        </is>
      </c>
      <c r="B454" t="inlineStr">
        <is>
          <t>隔日到貨🔥 iPhone 軍規 防摔殼 手機殼 17 16 15 14 13 12 11 XS XR SE 保護殼 蘋果</t>
        </is>
      </c>
      <c r="C454">
        <f>IMAGE("https://cf.shopee.tw/file/sg-11134201-22110-cycsa5p7lqjve2_tn")</f>
        <v/>
      </c>
      <c r="D454" t="inlineStr">
        <is>
          <t>藍色軍規,13 proMax</t>
        </is>
      </c>
      <c r="E454" t="inlineStr">
        <is>
          <t>156212462927</t>
        </is>
      </c>
      <c r="F454">
        <f>IMAGE("https://cf.shopee.tw/file/sg-11134201-22110-y6rkf9s1jnjv15_tn")</f>
        <v/>
      </c>
    </row>
    <row r="455">
      <c r="A455" t="inlineStr">
        <is>
          <t>19960782914</t>
        </is>
      </c>
      <c r="B455" t="inlineStr">
        <is>
          <t>隔日到貨🔥 iPhone 軍規 防摔殼 手機殼 17 16 15 14 13 12 11 XS XR SE 保護殼 蘋果</t>
        </is>
      </c>
      <c r="C455">
        <f>IMAGE("https://cf.shopee.tw/file/sg-11134201-22110-cycsa5p7lqjve2_tn")</f>
        <v/>
      </c>
      <c r="D455" t="inlineStr">
        <is>
          <t>藍色軍規,14 pro</t>
        </is>
      </c>
      <c r="E455" t="inlineStr">
        <is>
          <t>183118726397</t>
        </is>
      </c>
      <c r="F455">
        <f>IMAGE("https://cf.shopee.tw/file/sg-11134201-22110-y6rkf9s1jnjv15_tn")</f>
        <v/>
      </c>
    </row>
    <row r="456">
      <c r="A456" t="inlineStr">
        <is>
          <t>19960782914</t>
        </is>
      </c>
      <c r="B456" t="inlineStr">
        <is>
          <t>隔日到貨🔥 iPhone 軍規 防摔殼 手機殼 17 16 15 14 13 12 11 XS XR SE 保護殼 蘋果</t>
        </is>
      </c>
      <c r="C456">
        <f>IMAGE("https://cf.shopee.tw/file/sg-11134201-22110-cycsa5p7lqjve2_tn")</f>
        <v/>
      </c>
      <c r="D456" t="inlineStr">
        <is>
          <t>藍色軍規,14 proMax</t>
        </is>
      </c>
      <c r="E456" t="inlineStr">
        <is>
          <t>183118726401</t>
        </is>
      </c>
      <c r="F456">
        <f>IMAGE("https://cf.shopee.tw/file/sg-11134201-22110-y6rkf9s1jnjv15_tn")</f>
        <v/>
      </c>
    </row>
    <row r="457">
      <c r="A457" t="inlineStr">
        <is>
          <t>19960782914</t>
        </is>
      </c>
      <c r="B457" t="inlineStr">
        <is>
          <t>隔日到貨🔥 iPhone 軍規 防摔殼 手機殼 17 16 15 14 13 12 11 XS XR SE 保護殼 蘋果</t>
        </is>
      </c>
      <c r="C457">
        <f>IMAGE("https://cf.shopee.tw/file/sg-11134201-22110-cycsa5p7lqjve2_tn")</f>
        <v/>
      </c>
      <c r="D457" t="inlineStr">
        <is>
          <t>藍色軍規,14Plus/15Plus</t>
        </is>
      </c>
      <c r="E457" t="inlineStr">
        <is>
          <t>157234980257</t>
        </is>
      </c>
      <c r="F457">
        <f>IMAGE("https://cf.shopee.tw/file/sg-11134201-22110-y6rkf9s1jnjv15_tn")</f>
        <v/>
      </c>
    </row>
    <row r="458">
      <c r="A458" t="inlineStr">
        <is>
          <t>19960782914</t>
        </is>
      </c>
      <c r="B458" t="inlineStr">
        <is>
          <t>隔日到貨🔥 iPhone 軍規 防摔殼 手機殼 17 16 15 14 13 12 11 XS XR SE 保護殼 蘋果</t>
        </is>
      </c>
      <c r="C458">
        <f>IMAGE("https://cf.shopee.tw/file/sg-11134201-22110-cycsa5p7lqjve2_tn")</f>
        <v/>
      </c>
      <c r="D458" t="inlineStr">
        <is>
          <t>藍色軍規,15</t>
        </is>
      </c>
      <c r="E458" t="inlineStr">
        <is>
          <t>225676862460</t>
        </is>
      </c>
      <c r="F458">
        <f>IMAGE("https://cf.shopee.tw/file/sg-11134201-22110-y6rkf9s1jnjv15_tn")</f>
        <v/>
      </c>
    </row>
    <row r="459">
      <c r="A459" t="inlineStr">
        <is>
          <t>19960782914</t>
        </is>
      </c>
      <c r="B459" t="inlineStr">
        <is>
          <t>隔日到貨🔥 iPhone 軍規 防摔殼 手機殼 17 16 15 14 13 12 11 XS XR SE 保護殼 蘋果</t>
        </is>
      </c>
      <c r="C459">
        <f>IMAGE("https://cf.shopee.tw/file/sg-11134201-22110-cycsa5p7lqjve2_tn")</f>
        <v/>
      </c>
      <c r="D459" t="inlineStr">
        <is>
          <t>藍色軍規,15 pro</t>
        </is>
      </c>
      <c r="E459" t="inlineStr">
        <is>
          <t>225676862466</t>
        </is>
      </c>
      <c r="F459">
        <f>IMAGE("https://cf.shopee.tw/file/sg-11134201-22110-y6rkf9s1jnjv15_tn")</f>
        <v/>
      </c>
    </row>
    <row r="460">
      <c r="A460" t="inlineStr">
        <is>
          <t>19960782914</t>
        </is>
      </c>
      <c r="B460" t="inlineStr">
        <is>
          <t>隔日到貨🔥 iPhone 軍規 防摔殼 手機殼 17 16 15 14 13 12 11 XS XR SE 保護殼 蘋果</t>
        </is>
      </c>
      <c r="C460">
        <f>IMAGE("https://cf.shopee.tw/file/sg-11134201-22110-cycsa5p7lqjve2_tn")</f>
        <v/>
      </c>
      <c r="D460" t="inlineStr">
        <is>
          <t>藍色軍規,15 pro Max</t>
        </is>
      </c>
      <c r="E460" t="inlineStr">
        <is>
          <t>225676862461</t>
        </is>
      </c>
      <c r="F460">
        <f>IMAGE("https://cf.shopee.tw/file/sg-11134201-22110-y6rkf9s1jnjv15_tn")</f>
        <v/>
      </c>
    </row>
    <row r="461">
      <c r="A461" t="inlineStr">
        <is>
          <t>19960782914</t>
        </is>
      </c>
      <c r="B461" t="inlineStr">
        <is>
          <t>隔日到貨🔥 iPhone 軍規 防摔殼 手機殼 17 16 15 14 13 12 11 XS XR SE 保護殼 蘋果</t>
        </is>
      </c>
      <c r="C461">
        <f>IMAGE("https://cf.shopee.tw/file/sg-11134201-22110-cycsa5p7lqjve2_tn")</f>
        <v/>
      </c>
      <c r="D461" t="inlineStr">
        <is>
          <t>藍色軍規,16</t>
        </is>
      </c>
      <c r="E461" t="inlineStr">
        <is>
          <t>207893342626</t>
        </is>
      </c>
      <c r="F461">
        <f>IMAGE("https://cf.shopee.tw/file/sg-11134201-22110-y6rkf9s1jnjv15_tn")</f>
        <v/>
      </c>
    </row>
    <row r="462">
      <c r="A462" t="inlineStr">
        <is>
          <t>19960782914</t>
        </is>
      </c>
      <c r="B462" t="inlineStr">
        <is>
          <t>隔日到貨🔥 iPhone 軍規 防摔殼 手機殼 17 16 15 14 13 12 11 XS XR SE 保護殼 蘋果</t>
        </is>
      </c>
      <c r="C462">
        <f>IMAGE("https://cf.shopee.tw/file/sg-11134201-22110-cycsa5p7lqjve2_tn")</f>
        <v/>
      </c>
      <c r="D462" t="inlineStr">
        <is>
          <t>藍色軍規,16 pro</t>
        </is>
      </c>
      <c r="E462" t="inlineStr">
        <is>
          <t>207893342627</t>
        </is>
      </c>
      <c r="F462">
        <f>IMAGE("https://cf.shopee.tw/file/sg-11134201-22110-y6rkf9s1jnjv15_tn")</f>
        <v/>
      </c>
    </row>
    <row r="463">
      <c r="A463" t="inlineStr">
        <is>
          <t>19960782914</t>
        </is>
      </c>
      <c r="B463" t="inlineStr">
        <is>
          <t>隔日到貨🔥 iPhone 軍規 防摔殼 手機殼 17 16 15 14 13 12 11 XS XR SE 保護殼 蘋果</t>
        </is>
      </c>
      <c r="C463">
        <f>IMAGE("https://cf.shopee.tw/file/sg-11134201-22110-cycsa5p7lqjve2_tn")</f>
        <v/>
      </c>
      <c r="D463" t="inlineStr">
        <is>
          <t>藍色軍規,16 pro Max</t>
        </is>
      </c>
      <c r="E463" t="inlineStr">
        <is>
          <t>207893342628</t>
        </is>
      </c>
      <c r="F463">
        <f>IMAGE("https://cf.shopee.tw/file/sg-11134201-22110-y6rkf9s1jnjv15_tn")</f>
        <v/>
      </c>
    </row>
    <row r="464">
      <c r="A464" t="inlineStr">
        <is>
          <t>19960782914</t>
        </is>
      </c>
      <c r="B464" t="inlineStr">
        <is>
          <t>隔日到貨🔥 iPhone 軍規 防摔殼 手機殼 17 16 15 14 13 12 11 XS XR SE 保護殼 蘋果</t>
        </is>
      </c>
      <c r="C464">
        <f>IMAGE("https://cf.shopee.tw/file/sg-11134201-22110-cycsa5p7lqjve2_tn")</f>
        <v/>
      </c>
      <c r="D464" t="inlineStr">
        <is>
          <t>藍色軍規,16 Plus</t>
        </is>
      </c>
      <c r="E464" t="inlineStr">
        <is>
          <t>207893342629</t>
        </is>
      </c>
      <c r="F464">
        <f>IMAGE("https://cf.shopee.tw/file/sg-11134201-22110-y6rkf9s1jnjv15_tn")</f>
        <v/>
      </c>
    </row>
    <row r="465">
      <c r="A465" t="inlineStr">
        <is>
          <t>23488032975</t>
        </is>
      </c>
      <c r="B465" t="inlineStr">
        <is>
          <t>隔日到貨🔥 中筒羊毛棉襪 S37 加厚 保暖 女襪 羊毛襪 長襪 純色 棉襪 中筒襪 襪子 ins 韓風 女襪</t>
        </is>
      </c>
      <c r="C465">
        <f>IMAGE("https://cf.shopee.tw/file/tw-11134207-7r98q-lp3d45lh0rqr07_tn")</f>
        <v/>
      </c>
      <c r="D465" t="inlineStr">
        <is>
          <t>黑色</t>
        </is>
      </c>
      <c r="E465" t="inlineStr">
        <is>
          <t>225885103646</t>
        </is>
      </c>
      <c r="F465">
        <f>IMAGE("https://cf.shopee.tw/file/tw-11134207-7r98y-lp3d45lgbhir3a_tn")</f>
        <v/>
      </c>
    </row>
    <row r="466">
      <c r="A466" t="inlineStr">
        <is>
          <t>23488032975</t>
        </is>
      </c>
      <c r="B466" t="inlineStr">
        <is>
          <t>隔日到貨🔥 中筒羊毛棉襪 S37 加厚 保暖 女襪 羊毛襪 長襪 純色 棉襪 中筒襪 襪子 ins 韓風 女襪</t>
        </is>
      </c>
      <c r="C466">
        <f>IMAGE("https://cf.shopee.tw/file/tw-11134207-7r98q-lp3d45lh0rqr07_tn")</f>
        <v/>
      </c>
      <c r="D466" t="inlineStr">
        <is>
          <t>白色</t>
        </is>
      </c>
      <c r="E466" t="inlineStr">
        <is>
          <t>225885103647</t>
        </is>
      </c>
      <c r="F466">
        <f>IMAGE("https://cf.shopee.tw/file/tw-11134207-7r98r-lp3d45lfrtbra2_tn")</f>
        <v/>
      </c>
    </row>
    <row r="467">
      <c r="A467" t="inlineStr">
        <is>
          <t>23488032975</t>
        </is>
      </c>
      <c r="B467" t="inlineStr">
        <is>
          <t>隔日到貨🔥 中筒羊毛棉襪 S37 加厚 保暖 女襪 羊毛襪 長襪 純色 棉襪 中筒襪 襪子 ins 韓風 女襪</t>
        </is>
      </c>
      <c r="C467">
        <f>IMAGE("https://cf.shopee.tw/file/tw-11134207-7r98q-lp3d45lh0rqr07_tn")</f>
        <v/>
      </c>
      <c r="D467" t="inlineStr">
        <is>
          <t>藍色</t>
        </is>
      </c>
      <c r="E467" t="inlineStr">
        <is>
          <t>225885103648</t>
        </is>
      </c>
      <c r="F467">
        <f>IMAGE("https://cf.shopee.tw/file/tw-11134207-7r990-lp3d9xs12zave1_tn")</f>
        <v/>
      </c>
    </row>
    <row r="468">
      <c r="A468" t="inlineStr">
        <is>
          <t>23488032975</t>
        </is>
      </c>
      <c r="B468" t="inlineStr">
        <is>
          <t>隔日到貨🔥 中筒羊毛棉襪 S37 加厚 保暖 女襪 羊毛襪 長襪 純色 棉襪 中筒襪 襪子 ins 韓風 女襪</t>
        </is>
      </c>
      <c r="C468">
        <f>IMAGE("https://cf.shopee.tw/file/tw-11134207-7r98q-lp3d45lh0rqr07_tn")</f>
        <v/>
      </c>
      <c r="D468" t="inlineStr">
        <is>
          <t>米色</t>
        </is>
      </c>
      <c r="E468" t="inlineStr">
        <is>
          <t>225885103649</t>
        </is>
      </c>
      <c r="F468">
        <f>IMAGE("https://cf.shopee.tw/file/tw-11134207-7r98t-lp3d45lfrtkj53_tn")</f>
        <v/>
      </c>
    </row>
    <row r="469">
      <c r="A469" t="inlineStr">
        <is>
          <t>23488032975</t>
        </is>
      </c>
      <c r="B469" t="inlineStr">
        <is>
          <t>隔日到貨🔥 中筒羊毛棉襪 S37 加厚 保暖 女襪 羊毛襪 長襪 純色 棉襪 中筒襪 襪子 ins 韓風 女襪</t>
        </is>
      </c>
      <c r="C469">
        <f>IMAGE("https://cf.shopee.tw/file/tw-11134207-7r98q-lp3d45lh0rqr07_tn")</f>
        <v/>
      </c>
      <c r="D469" t="inlineStr">
        <is>
          <t>灰色</t>
        </is>
      </c>
      <c r="E469" t="inlineStr">
        <is>
          <t>225885103650</t>
        </is>
      </c>
      <c r="F469">
        <f>IMAGE("https://cf.shopee.tw/file/tw-11134207-7r98w-lp3d45lg8odve2_tn")</f>
        <v/>
      </c>
    </row>
    <row r="470">
      <c r="A470" t="inlineStr">
        <is>
          <t>23488032975</t>
        </is>
      </c>
      <c r="B470" t="inlineStr">
        <is>
          <t>隔日到貨🔥 中筒羊毛棉襪 S37 加厚 保暖 女襪 羊毛襪 長襪 純色 棉襪 中筒襪 襪子 ins 韓風 女襪</t>
        </is>
      </c>
      <c r="C470">
        <f>IMAGE("https://cf.shopee.tw/file/tw-11134207-7r98q-lp3d45lh0rqr07_tn")</f>
        <v/>
      </c>
      <c r="D470" t="inlineStr">
        <is>
          <t>咖啡色</t>
        </is>
      </c>
      <c r="E470" t="inlineStr">
        <is>
          <t>225885103651</t>
        </is>
      </c>
      <c r="F470">
        <f>IMAGE("https://cf.shopee.tw/file/tw-11134207-7r991-lp3d45lgmptj57_tn")</f>
        <v/>
      </c>
    </row>
    <row r="471">
      <c r="A471" t="inlineStr">
        <is>
          <t>23488032975</t>
        </is>
      </c>
      <c r="B471" t="inlineStr">
        <is>
          <t>隔日到貨🔥 中筒羊毛棉襪 S37 加厚 保暖 女襪 羊毛襪 長襪 純色 棉襪 中筒襪 襪子 ins 韓風 女襪</t>
        </is>
      </c>
      <c r="C471">
        <f>IMAGE("https://cf.shopee.tw/file/tw-11134207-7r98q-lp3d45lh0rqr07_tn")</f>
        <v/>
      </c>
      <c r="D471" t="inlineStr">
        <is>
          <t>薔薇粉</t>
        </is>
      </c>
      <c r="E471" t="inlineStr">
        <is>
          <t>225885103652</t>
        </is>
      </c>
      <c r="F471">
        <f>IMAGE("https://cf.shopee.tw/file/tw-11134207-7r992-lp3d45lh262fba_tn")</f>
        <v/>
      </c>
    </row>
    <row r="472">
      <c r="A472" t="inlineStr">
        <is>
          <t>23488032975</t>
        </is>
      </c>
      <c r="B472" t="inlineStr">
        <is>
          <t>隔日到貨🔥 中筒羊毛棉襪 S37 加厚 保暖 女襪 羊毛襪 長襪 純色 棉襪 中筒襪 襪子 ins 韓風 女襪</t>
        </is>
      </c>
      <c r="C472">
        <f>IMAGE("https://cf.shopee.tw/file/tw-11134207-7r98q-lp3d45lh0rqr07_tn")</f>
        <v/>
      </c>
      <c r="D472" t="inlineStr">
        <is>
          <t>墨綠</t>
        </is>
      </c>
      <c r="E472" t="inlineStr">
        <is>
          <t>225885103653</t>
        </is>
      </c>
      <c r="F472">
        <f>IMAGE("https://cf.shopee.tw/file/tw-11134207-7r98o-lp3d45lh26b7cb_tn")</f>
        <v/>
      </c>
    </row>
    <row r="473">
      <c r="A473" t="inlineStr">
        <is>
          <t>23488032975</t>
        </is>
      </c>
      <c r="B473" t="inlineStr">
        <is>
          <t>隔日到貨🔥 中筒羊毛棉襪 S37 加厚 保暖 女襪 羊毛襪 長襪 純色 棉襪 中筒襪 襪子 ins 韓風 女襪</t>
        </is>
      </c>
      <c r="C473">
        <f>IMAGE("https://cf.shopee.tw/file/tw-11134207-7r98q-lp3d45lh0rqr07_tn")</f>
        <v/>
      </c>
      <c r="D473" t="inlineStr">
        <is>
          <t>薑黃</t>
        </is>
      </c>
      <c r="E473" t="inlineStr">
        <is>
          <t>225885103654</t>
        </is>
      </c>
      <c r="F473">
        <f>IMAGE("https://cf.shopee.tw/file/tw-11134207-7r98s-lp3d90ce0d2v3e_tn")</f>
        <v/>
      </c>
    </row>
    <row r="474">
      <c r="A474" t="inlineStr">
        <is>
          <t>23488032975</t>
        </is>
      </c>
      <c r="B474" t="inlineStr">
        <is>
          <t>隔日到貨🔥 中筒羊毛棉襪 S37 加厚 保暖 女襪 羊毛襪 長襪 純色 棉襪 中筒襪 襪子 ins 韓風 女襪</t>
        </is>
      </c>
      <c r="C474">
        <f>IMAGE("https://cf.shopee.tw/file/tw-11134207-7r98q-lp3d45lh0rqr07_tn")</f>
        <v/>
      </c>
      <c r="D474" t="inlineStr">
        <is>
          <t>卡其</t>
        </is>
      </c>
      <c r="E474" t="inlineStr">
        <is>
          <t>225885103655</t>
        </is>
      </c>
      <c r="F474">
        <f>IMAGE("https://cf.shopee.tw/file/tw-11134207-7r98t-lp3d90ce1rnb75_tn")</f>
        <v/>
      </c>
    </row>
    <row r="475">
      <c r="A475" t="inlineStr">
        <is>
          <t>23551074058</t>
        </is>
      </c>
      <c r="B475" t="inlineStr">
        <is>
          <t>隔日到貨🔥 韓版簡約原宿後背包 學生背包 大容量 B52 背包 百搭 防潑水 尼龍 手提 雙肩包 背包 書包 潮流 後背</t>
        </is>
      </c>
      <c r="C475">
        <f>IMAGE("https://cf.shopee.tw/file/tw-11134207-7qul2-lkc952m5elcm06_tn")</f>
        <v/>
      </c>
      <c r="D475" t="inlineStr">
        <is>
          <t>黑色</t>
        </is>
      </c>
      <c r="E475" t="inlineStr">
        <is>
          <t>204499705549</t>
        </is>
      </c>
      <c r="F475">
        <f>IMAGE("https://cf.shopee.tw/file/tw-11134207-7qula-lkc7izpvun2012_tn")</f>
        <v/>
      </c>
    </row>
    <row r="476">
      <c r="A476" t="inlineStr">
        <is>
          <t>23551074058</t>
        </is>
      </c>
      <c r="B476" t="inlineStr">
        <is>
          <t>隔日到貨🔥 韓版簡約原宿後背包 學生背包 大容量 B52 背包 百搭 防潑水 尼龍 手提 雙肩包 背包 書包 潮流 後背</t>
        </is>
      </c>
      <c r="C476">
        <f>IMAGE("https://cf.shopee.tw/file/tw-11134207-7qul2-lkc952m5elcm06_tn")</f>
        <v/>
      </c>
      <c r="D476" t="inlineStr">
        <is>
          <t>白色</t>
        </is>
      </c>
      <c r="E476" t="inlineStr">
        <is>
          <t>204499705550</t>
        </is>
      </c>
      <c r="F476">
        <f>IMAGE("https://cf.shopee.tw/file/tw-11134207-7qul3-lkc7izpvumja96_tn")</f>
        <v/>
      </c>
    </row>
    <row r="477">
      <c r="A477" t="inlineStr">
        <is>
          <t>23551074058</t>
        </is>
      </c>
      <c r="B477" t="inlineStr">
        <is>
          <t>隔日到貨🔥 韓版簡約原宿後背包 學生背包 大容量 B52 背包 百搭 防潑水 尼龍 手提 雙肩包 背包 書包 潮流 後背</t>
        </is>
      </c>
      <c r="C477">
        <f>IMAGE("https://cf.shopee.tw/file/tw-11134207-7qul2-lkc952m5elcm06_tn")</f>
        <v/>
      </c>
      <c r="D477" t="inlineStr">
        <is>
          <t>淺藍</t>
        </is>
      </c>
      <c r="E477" t="inlineStr">
        <is>
          <t>204499705551</t>
        </is>
      </c>
      <c r="F477">
        <f>IMAGE("https://cf.shopee.tw/file/tw-11134207-7qukx-lkc7izpwa2s669_tn")</f>
        <v/>
      </c>
    </row>
    <row r="478">
      <c r="A478" t="inlineStr">
        <is>
          <t>23551074058</t>
        </is>
      </c>
      <c r="B478" t="inlineStr">
        <is>
          <t>隔日到貨🔥 韓版簡約原宿後背包 學生背包 大容量 B52 背包 百搭 防潑水 尼龍 手提 雙肩包 背包 書包 潮流 後背</t>
        </is>
      </c>
      <c r="C478">
        <f>IMAGE("https://cf.shopee.tw/file/tw-11134207-7qul2-lkc952m5elcm06_tn")</f>
        <v/>
      </c>
      <c r="D478" t="inlineStr">
        <is>
          <t>深藍</t>
        </is>
      </c>
      <c r="E478" t="inlineStr">
        <is>
          <t>204499705552</t>
        </is>
      </c>
      <c r="F478">
        <f>IMAGE("https://cf.shopee.tw/file/tw-11134207-7qul2-lkc7mamlswie7b_tn")</f>
        <v/>
      </c>
    </row>
    <row r="479">
      <c r="A479" t="inlineStr">
        <is>
          <t>23551074058</t>
        </is>
      </c>
      <c r="B479" t="inlineStr">
        <is>
          <t>隔日到貨🔥 韓版簡約原宿後背包 學生背包 大容量 B52 背包 百搭 防潑水 尼龍 手提 雙肩包 背包 書包 潮流 後背</t>
        </is>
      </c>
      <c r="C479">
        <f>IMAGE("https://cf.shopee.tw/file/tw-11134207-7qul2-lkc952m5elcm06_tn")</f>
        <v/>
      </c>
      <c r="D479" t="inlineStr">
        <is>
          <t>紫色</t>
        </is>
      </c>
      <c r="E479" t="inlineStr">
        <is>
          <t>206949496877</t>
        </is>
      </c>
      <c r="F479">
        <f>IMAGE("https://cf.shopee.tw/file/tw-11134207-7qukw-lkc7mamlub2u43_tn")</f>
        <v/>
      </c>
    </row>
    <row r="480">
      <c r="A480" t="inlineStr">
        <is>
          <t>26500312584</t>
        </is>
      </c>
      <c r="B480" t="inlineStr">
        <is>
          <t>隔日到貨🔥 ins韓風 吊飾 Airpods殼吊飾 掛飾 手機掛件 掛飾 手機吊飾 手機掛繩 掛繩 鑰匙圈 鑰匙扣</t>
        </is>
      </c>
      <c r="C480">
        <f>IMAGE("https://cf.shopee.tw/file/tw-11134207-7r98o-lvg4hvb0jcdqb8_tn")</f>
        <v/>
      </c>
      <c r="D480" t="inlineStr">
        <is>
          <t>可愛獺兔毛球 - 焦糖咖</t>
        </is>
      </c>
      <c r="E480" t="inlineStr">
        <is>
          <t>236347453949</t>
        </is>
      </c>
      <c r="F480">
        <f>IMAGE("https://cf.shopee.tw/file/tw-11134207-7r98z-lvg58ynkrhimf2_tn")</f>
        <v/>
      </c>
    </row>
    <row r="481">
      <c r="A481" t="inlineStr">
        <is>
          <t>26500312584</t>
        </is>
      </c>
      <c r="B481" t="inlineStr">
        <is>
          <t>隔日到貨🔥 ins韓風 吊飾 Airpods殼吊飾 掛飾 手機掛件 掛飾 手機吊飾 手機掛繩 掛繩 鑰匙圈 鑰匙扣</t>
        </is>
      </c>
      <c r="C481">
        <f>IMAGE("https://cf.shopee.tw/file/tw-11134207-7r98o-lvg4hvb0jcdqb8_tn")</f>
        <v/>
      </c>
      <c r="D481" t="inlineStr">
        <is>
          <t>可愛獺兔毛球 - 薑黃色</t>
        </is>
      </c>
      <c r="E481" t="inlineStr">
        <is>
          <t>236347453951</t>
        </is>
      </c>
      <c r="F481">
        <f>IMAGE("https://cf.shopee.tw/file/tw-11134207-7r991-lvg598fegmnt2b_tn")</f>
        <v/>
      </c>
    </row>
    <row r="482">
      <c r="A482" t="inlineStr">
        <is>
          <t>26500312584</t>
        </is>
      </c>
      <c r="B482" t="inlineStr">
        <is>
          <t>隔日到貨🔥 ins韓風 吊飾 Airpods殼吊飾 掛飾 手機掛件 掛飾 手機吊飾 手機掛繩 掛繩 鑰匙圈 鑰匙扣</t>
        </is>
      </c>
      <c r="C482">
        <f>IMAGE("https://cf.shopee.tw/file/tw-11134207-7r98o-lvg4hvb0jcdqb8_tn")</f>
        <v/>
      </c>
      <c r="D482" t="inlineStr">
        <is>
          <t>可愛獺兔毛球 - 可愛綠</t>
        </is>
      </c>
      <c r="E482" t="inlineStr">
        <is>
          <t>236347453957</t>
        </is>
      </c>
      <c r="F482">
        <f>IMAGE("https://cf.shopee.tw/file/tw-11134207-7r98q-lvg5a4p58k3d61_tn")</f>
        <v/>
      </c>
    </row>
    <row r="483">
      <c r="A483" t="inlineStr">
        <is>
          <t>26500312584</t>
        </is>
      </c>
      <c r="B483" t="inlineStr">
        <is>
          <t>隔日到貨🔥 ins韓風 吊飾 Airpods殼吊飾 掛飾 手機掛件 掛飾 手機吊飾 手機掛繩 掛繩 鑰匙圈 鑰匙扣</t>
        </is>
      </c>
      <c r="C483">
        <f>IMAGE("https://cf.shopee.tw/file/tw-11134207-7r98o-lvg4hvb0jcdqb8_tn")</f>
        <v/>
      </c>
      <c r="D483" t="inlineStr">
        <is>
          <t>毛絨加油鴨 - 藍白</t>
        </is>
      </c>
      <c r="E483" t="inlineStr">
        <is>
          <t>222806186614</t>
        </is>
      </c>
      <c r="F483">
        <f>IMAGE("https://cf.shopee.tw/file/tw-11134207-7r990-lvg587egn88eb3_tn")</f>
        <v/>
      </c>
    </row>
    <row r="484">
      <c r="A484" t="inlineStr">
        <is>
          <t>26500312584</t>
        </is>
      </c>
      <c r="B484" t="inlineStr">
        <is>
          <t>隔日到貨🔥 ins韓風 吊飾 Airpods殼吊飾 掛飾 手機掛件 掛飾 手機吊飾 手機掛繩 掛繩 鑰匙圈 鑰匙扣</t>
        </is>
      </c>
      <c r="C484">
        <f>IMAGE("https://cf.shopee.tw/file/tw-11134207-7r98o-lvg4hvb0jcdqb8_tn")</f>
        <v/>
      </c>
      <c r="D484" t="inlineStr">
        <is>
          <t>毛絨加油鴨 - 藍灰</t>
        </is>
      </c>
      <c r="E484" t="inlineStr">
        <is>
          <t>222806186615</t>
        </is>
      </c>
      <c r="F484">
        <f>IMAGE("https://cf.shopee.tw/file/tw-11134207-7r98w-lvg587egomsuf7_tn")</f>
        <v/>
      </c>
    </row>
    <row r="485">
      <c r="A485" t="inlineStr">
        <is>
          <t>26500312584</t>
        </is>
      </c>
      <c r="B485" t="inlineStr">
        <is>
          <t>隔日到貨🔥 ins韓風 吊飾 Airpods殼吊飾 掛飾 手機掛件 掛飾 手機吊飾 手機掛繩 掛繩 鑰匙圈 鑰匙扣</t>
        </is>
      </c>
      <c r="C485">
        <f>IMAGE("https://cf.shopee.tw/file/tw-11134207-7r98o-lvg4hvb0jcdqb8_tn")</f>
        <v/>
      </c>
      <c r="D485" t="inlineStr">
        <is>
          <t>毛絨加油鴨 - 綠灰</t>
        </is>
      </c>
      <c r="E485" t="inlineStr">
        <is>
          <t>222806186613</t>
        </is>
      </c>
      <c r="F485">
        <f>IMAGE("https://cf.shopee.tw/file/tw-11134207-81ztn-mi5vggei11ja75_tn")</f>
        <v/>
      </c>
    </row>
    <row r="486">
      <c r="A486" t="inlineStr">
        <is>
          <t>26500312584</t>
        </is>
      </c>
      <c r="B486" t="inlineStr">
        <is>
          <t>隔日到貨🔥 ins韓風 吊飾 Airpods殼吊飾 掛飾 手機掛件 掛飾 手機吊飾 手機掛繩 掛繩 鑰匙圈 鑰匙扣</t>
        </is>
      </c>
      <c r="C486">
        <f>IMAGE("https://cf.shopee.tw/file/tw-11134207-7r98o-lvg4hvb0jcdqb8_tn")</f>
        <v/>
      </c>
      <c r="D486" t="inlineStr">
        <is>
          <t>毛絨煤球 - 卡其色</t>
        </is>
      </c>
      <c r="E486" t="inlineStr">
        <is>
          <t>240851027791</t>
        </is>
      </c>
      <c r="F486">
        <f>IMAGE("https://cf.shopee.tw/file/tw-11134207-7r98r-lvg4rotqruex27_tn")</f>
        <v/>
      </c>
    </row>
    <row r="487">
      <c r="A487" t="inlineStr">
        <is>
          <t>26500312584</t>
        </is>
      </c>
      <c r="B487" t="inlineStr">
        <is>
          <t>隔日到貨🔥 ins韓風 吊飾 Airpods殼吊飾 掛飾 手機掛件 掛飾 手機吊飾 手機掛繩 掛繩 鑰匙圈 鑰匙扣</t>
        </is>
      </c>
      <c r="C487">
        <f>IMAGE("https://cf.shopee.tw/file/tw-11134207-7r98o-lvg4hvb0jcdqb8_tn")</f>
        <v/>
      </c>
      <c r="D487" t="inlineStr">
        <is>
          <t>毛絨煤球 - 黑色</t>
        </is>
      </c>
      <c r="E487" t="inlineStr">
        <is>
          <t>222806186612</t>
        </is>
      </c>
      <c r="F487">
        <f>IMAGE("https://cf.shopee.tw/file/tw-11134207-7r98t-lvhbexczyr3t15_tn")</f>
        <v/>
      </c>
    </row>
    <row r="488">
      <c r="A488" t="inlineStr">
        <is>
          <t>26500312584</t>
        </is>
      </c>
      <c r="B488" t="inlineStr">
        <is>
          <t>隔日到貨🔥 ins韓風 吊飾 Airpods殼吊飾 掛飾 手機掛件 掛飾 手機吊飾 手機掛繩 掛繩 鑰匙圈 鑰匙扣</t>
        </is>
      </c>
      <c r="C488">
        <f>IMAGE("https://cf.shopee.tw/file/tw-11134207-7r98o-lvg4hvb0jcdqb8_tn")</f>
        <v/>
      </c>
      <c r="D488" t="inlineStr">
        <is>
          <t>毛絨煤球 - 白色</t>
        </is>
      </c>
      <c r="E488" t="inlineStr">
        <is>
          <t>222806186609</t>
        </is>
      </c>
      <c r="F488">
        <f>IMAGE("https://cf.shopee.tw/file/tw-11134207-7r992-lvg57c48gq7t15_tn")</f>
        <v/>
      </c>
    </row>
    <row r="489">
      <c r="A489" t="inlineStr">
        <is>
          <t>26500312584</t>
        </is>
      </c>
      <c r="B489" t="inlineStr">
        <is>
          <t>隔日到貨🔥 ins韓風 吊飾 Airpods殼吊飾 掛飾 手機掛件 掛飾 手機吊飾 手機掛繩 掛繩 鑰匙圈 鑰匙扣</t>
        </is>
      </c>
      <c r="C489">
        <f>IMAGE("https://cf.shopee.tw/file/tw-11134207-7r98o-lvg4hvb0jcdqb8_tn")</f>
        <v/>
      </c>
      <c r="D489" t="inlineStr">
        <is>
          <t>毛絨煤球 - 淺灰色</t>
        </is>
      </c>
      <c r="E489" t="inlineStr">
        <is>
          <t>222806186605</t>
        </is>
      </c>
      <c r="F489">
        <f>IMAGE("https://cf.shopee.tw/file/tw-11134207-7r992-lvg4rotgs966b2_tn")</f>
        <v/>
      </c>
    </row>
    <row r="490">
      <c r="A490" t="inlineStr">
        <is>
          <t>26500312584</t>
        </is>
      </c>
      <c r="B490" t="inlineStr">
        <is>
          <t>隔日到貨🔥 ins韓風 吊飾 Airpods殼吊飾 掛飾 手機掛件 掛飾 手機吊飾 手機掛繩 掛繩 鑰匙圈 鑰匙扣</t>
        </is>
      </c>
      <c r="C490">
        <f>IMAGE("https://cf.shopee.tw/file/tw-11134207-7r98o-lvg4hvb0jcdqb8_tn")</f>
        <v/>
      </c>
      <c r="D490" t="inlineStr">
        <is>
          <t>毛絨煤球 - 清新藍</t>
        </is>
      </c>
      <c r="E490" t="inlineStr"/>
      <c r="F490">
        <f>IMAGE("https://cf.shopee.tw/file/tw-11134207-7r98s-lvg4rotgs91595_tn")</f>
        <v/>
      </c>
    </row>
    <row r="491">
      <c r="A491" t="inlineStr">
        <is>
          <t>26500312584</t>
        </is>
      </c>
      <c r="B491" t="inlineStr">
        <is>
          <t>隔日到貨🔥 ins韓風 吊飾 Airpods殼吊飾 掛飾 手機掛件 掛飾 手機吊飾 手機掛繩 掛繩 鑰匙圈 鑰匙扣</t>
        </is>
      </c>
      <c r="C491">
        <f>IMAGE("https://cf.shopee.tw/file/tw-11134207-7r98o-lvg4hvb0jcdqb8_tn")</f>
        <v/>
      </c>
      <c r="D491" t="inlineStr">
        <is>
          <t>毛絨煤球 - 韓粉色</t>
        </is>
      </c>
      <c r="E491" t="inlineStr">
        <is>
          <t>222806186606</t>
        </is>
      </c>
      <c r="F491">
        <f>IMAGE("https://cf.shopee.tw/file/tw-11134207-7r98t-lvg573h72hrife_tn")</f>
        <v/>
      </c>
    </row>
    <row r="492">
      <c r="A492" t="inlineStr">
        <is>
          <t>26500312584</t>
        </is>
      </c>
      <c r="B492" t="inlineStr">
        <is>
          <t>隔日到貨🔥 ins韓風 吊飾 Airpods殼吊飾 掛飾 手機掛件 掛飾 手機吊飾 手機掛繩 掛繩 鑰匙圈 鑰匙扣</t>
        </is>
      </c>
      <c r="C492">
        <f>IMAGE("https://cf.shopee.tw/file/tw-11134207-7r98o-lvg4hvb0jcdqb8_tn")</f>
        <v/>
      </c>
      <c r="D492" t="inlineStr">
        <is>
          <t>毛絨煤球 - 清新綠</t>
        </is>
      </c>
      <c r="E492" t="inlineStr">
        <is>
          <t>222806186608</t>
        </is>
      </c>
      <c r="F492">
        <f>IMAGE("https://cf.shopee.tw/file/tw-11134207-7r98p-lvg57c48fbnd66_tn")</f>
        <v/>
      </c>
    </row>
    <row r="493">
      <c r="A493" t="inlineStr">
        <is>
          <t>26500312584</t>
        </is>
      </c>
      <c r="B493" t="inlineStr">
        <is>
          <t>隔日到貨🔥 ins韓風 吊飾 Airpods殼吊飾 掛飾 手機掛件 掛飾 手機吊飾 手機掛繩 掛繩 鑰匙圈 鑰匙扣</t>
        </is>
      </c>
      <c r="C493">
        <f>IMAGE("https://cf.shopee.tw/file/tw-11134207-7r98o-lvg4hvb0jcdqb8_tn")</f>
        <v/>
      </c>
      <c r="D493" t="inlineStr">
        <is>
          <t>毛絨煤球 - 彩色</t>
        </is>
      </c>
      <c r="E493" t="inlineStr">
        <is>
          <t>222806186607</t>
        </is>
      </c>
      <c r="F493">
        <f>IMAGE("https://cf.shopee.tw/file/tw-11134207-7r98r-lvg573h73wbyd9_tn")</f>
        <v/>
      </c>
    </row>
    <row r="494">
      <c r="A494" t="inlineStr">
        <is>
          <t>26500312584</t>
        </is>
      </c>
      <c r="B494" t="inlineStr">
        <is>
          <t>隔日到貨🔥 ins韓風 吊飾 Airpods殼吊飾 掛飾 手機掛件 掛飾 手機吊飾 手機掛繩 掛繩 鑰匙圈 鑰匙扣</t>
        </is>
      </c>
      <c r="C494">
        <f>IMAGE("https://cf.shopee.tw/file/tw-11134207-7r98o-lvg4hvb0jcdqb8_tn")</f>
        <v/>
      </c>
      <c r="D494" t="inlineStr">
        <is>
          <t>毛絨煤球 - 天藍色</t>
        </is>
      </c>
      <c r="E494" t="inlineStr">
        <is>
          <t>222806186610</t>
        </is>
      </c>
      <c r="F494">
        <f>IMAGE("https://cf.shopee.tw/file/tw-11134207-7r98r-lvg57kk244fi45_tn")</f>
        <v/>
      </c>
    </row>
    <row r="495">
      <c r="A495" t="inlineStr">
        <is>
          <t>26500312584</t>
        </is>
      </c>
      <c r="B495" t="inlineStr">
        <is>
          <t>隔日到貨🔥 ins韓風 吊飾 Airpods殼吊飾 掛飾 手機掛件 掛飾 手機吊飾 手機掛繩 掛繩 鑰匙圈 鑰匙扣</t>
        </is>
      </c>
      <c r="C495">
        <f>IMAGE("https://cf.shopee.tw/file/tw-11134207-7r98o-lvg4hvb0jcdqb8_tn")</f>
        <v/>
      </c>
      <c r="D495" t="inlineStr">
        <is>
          <t>毛絨煤球 - 亮紅色</t>
        </is>
      </c>
      <c r="E495" t="inlineStr">
        <is>
          <t>222806186611</t>
        </is>
      </c>
      <c r="F495">
        <f>IMAGE("https://cf.shopee.tw/file/tw-11134207-7r98x-lvg57kk25izy7d_tn")</f>
        <v/>
      </c>
    </row>
    <row r="496">
      <c r="A496" t="inlineStr">
        <is>
          <t>26500312584</t>
        </is>
      </c>
      <c r="B496" t="inlineStr">
        <is>
          <t>隔日到貨🔥 ins韓風 吊飾 Airpods殼吊飾 掛飾 手機掛件 掛飾 手機吊飾 手機掛繩 掛繩 鑰匙圈 鑰匙扣</t>
        </is>
      </c>
      <c r="C496">
        <f>IMAGE("https://cf.shopee.tw/file/tw-11134207-7r98o-lvg4hvb0jcdqb8_tn")</f>
        <v/>
      </c>
      <c r="D496" t="inlineStr">
        <is>
          <t>可愛獺兔毛球 - 黑色</t>
        </is>
      </c>
      <c r="E496" t="inlineStr">
        <is>
          <t>236347453958</t>
        </is>
      </c>
      <c r="F496">
        <f>IMAGE("https://cf.shopee.tw/file/tw-11134207-7r98u-lvg5a4p59ynt49_tn")</f>
        <v/>
      </c>
    </row>
    <row r="497">
      <c r="A497" t="inlineStr">
        <is>
          <t>26500312584</t>
        </is>
      </c>
      <c r="B497" t="inlineStr">
        <is>
          <t>隔日到貨🔥 ins韓風 吊飾 Airpods殼吊飾 掛飾 手機掛件 掛飾 手機吊飾 手機掛繩 掛繩 鑰匙圈 鑰匙扣</t>
        </is>
      </c>
      <c r="C497">
        <f>IMAGE("https://cf.shopee.tw/file/tw-11134207-7r98o-lvg4hvb0jcdqb8_tn")</f>
        <v/>
      </c>
      <c r="D497" t="inlineStr">
        <is>
          <t>可愛獺兔毛球 - 白色</t>
        </is>
      </c>
      <c r="E497" t="inlineStr">
        <is>
          <t>236347453953</t>
        </is>
      </c>
      <c r="F497">
        <f>IMAGE("https://cf.shopee.tw/file/tw-11134207-7r98z-lvg59hj353ndb4_tn")</f>
        <v/>
      </c>
    </row>
    <row r="498">
      <c r="A498" t="inlineStr">
        <is>
          <t>26500312584</t>
        </is>
      </c>
      <c r="B498" t="inlineStr">
        <is>
          <t>隔日到貨🔥 ins韓風 吊飾 Airpods殼吊飾 掛飾 手機掛件 掛飾 手機吊飾 手機掛繩 掛繩 鑰匙圈 鑰匙扣</t>
        </is>
      </c>
      <c r="C498">
        <f>IMAGE("https://cf.shopee.tw/file/tw-11134207-7r98o-lvg4hvb0jcdqb8_tn")</f>
        <v/>
      </c>
      <c r="D498" t="inlineStr">
        <is>
          <t>可愛獺兔毛球 - 奶茶色</t>
        </is>
      </c>
      <c r="E498" t="inlineStr">
        <is>
          <t>236347453950</t>
        </is>
      </c>
      <c r="F498">
        <f>IMAGE("https://cf.shopee.tw/file/tw-11134207-7r98q-lvg58ynksw32f9_tn")</f>
        <v/>
      </c>
    </row>
    <row r="499">
      <c r="A499" t="inlineStr">
        <is>
          <t>26500312584</t>
        </is>
      </c>
      <c r="B499" t="inlineStr">
        <is>
          <t>隔日到貨🔥 ins韓風 吊飾 Airpods殼吊飾 掛飾 手機掛件 掛飾 手機吊飾 手機掛繩 掛繩 鑰匙圈 鑰匙扣</t>
        </is>
      </c>
      <c r="C499">
        <f>IMAGE("https://cf.shopee.tw/file/tw-11134207-7r98o-lvg4hvb0jcdqb8_tn")</f>
        <v/>
      </c>
      <c r="D499" t="inlineStr">
        <is>
          <t>可愛獺兔毛球 - 紅色</t>
        </is>
      </c>
      <c r="E499" t="inlineStr">
        <is>
          <t>236347453952</t>
        </is>
      </c>
      <c r="F499">
        <f>IMAGE("https://cf.shopee.tw/file/tw-11134207-7r991-lvg598fei1890f_tn")</f>
        <v/>
      </c>
    </row>
    <row r="500">
      <c r="A500" t="inlineStr">
        <is>
          <t>26500312584</t>
        </is>
      </c>
      <c r="B500" t="inlineStr">
        <is>
          <t>隔日到貨🔥 ins韓風 吊飾 Airpods殼吊飾 掛飾 手機掛件 掛飾 手機吊飾 手機掛繩 掛繩 鑰匙圈 鑰匙扣</t>
        </is>
      </c>
      <c r="C500">
        <f>IMAGE("https://cf.shopee.tw/file/tw-11134207-7r98o-lvg4hvb0jcdqb8_tn")</f>
        <v/>
      </c>
      <c r="D500" t="inlineStr">
        <is>
          <t>可愛獺兔毛球 - 寶藍色</t>
        </is>
      </c>
      <c r="E500" t="inlineStr">
        <is>
          <t>236347453954</t>
        </is>
      </c>
      <c r="F500">
        <f>IMAGE("https://cf.shopee.tw/file/tw-11134207-7r98y-lvg59hj36i7t3c_tn")</f>
        <v/>
      </c>
    </row>
    <row r="501">
      <c r="A501" t="inlineStr">
        <is>
          <t>26500312584</t>
        </is>
      </c>
      <c r="B501" t="inlineStr">
        <is>
          <t>隔日到貨🔥 ins韓風 吊飾 Airpods殼吊飾 掛飾 手機掛件 掛飾 手機吊飾 手機掛繩 掛繩 鑰匙圈 鑰匙扣</t>
        </is>
      </c>
      <c r="C501">
        <f>IMAGE("https://cf.shopee.tw/file/tw-11134207-7r98o-lvg4hvb0jcdqb8_tn")</f>
        <v/>
      </c>
      <c r="D501" t="inlineStr">
        <is>
          <t>可愛獺兔毛球 - 天藍色</t>
        </is>
      </c>
      <c r="E501" t="inlineStr">
        <is>
          <t>236347453955</t>
        </is>
      </c>
      <c r="F501">
        <f>IMAGE("https://cf.shopee.tw/file/tw-11134207-7r98u-lvg59pedmjjidf_tn")</f>
        <v/>
      </c>
    </row>
    <row r="502">
      <c r="A502" t="inlineStr">
        <is>
          <t>26500312584</t>
        </is>
      </c>
      <c r="B502" t="inlineStr">
        <is>
          <t>隔日到貨🔥 ins韓風 吊飾 Airpods殼吊飾 掛飾 手機掛件 掛飾 手機吊飾 手機掛繩 掛繩 鑰匙圈 鑰匙扣</t>
        </is>
      </c>
      <c r="C502">
        <f>IMAGE("https://cf.shopee.tw/file/tw-11134207-7r98o-lvg4hvb0jcdqb8_tn")</f>
        <v/>
      </c>
      <c r="D502" t="inlineStr">
        <is>
          <t>可愛獺兔毛球 - 淺紫色</t>
        </is>
      </c>
      <c r="E502" t="inlineStr">
        <is>
          <t>236347453956</t>
        </is>
      </c>
      <c r="F502">
        <f>IMAGE("https://cf.shopee.tw/file/tw-11134207-7r98o-lvg59pedny3ye0_tn")</f>
        <v/>
      </c>
    </row>
    <row r="503">
      <c r="A503" t="inlineStr">
        <is>
          <t>26500312584</t>
        </is>
      </c>
      <c r="B503" t="inlineStr">
        <is>
          <t>隔日到貨🔥 ins韓風 吊飾 Airpods殼吊飾 掛飾 手機掛件 掛飾 手機吊飾 手機掛繩 掛繩 鑰匙圈 鑰匙扣</t>
        </is>
      </c>
      <c r="C503">
        <f>IMAGE("https://cf.shopee.tw/file/tw-11134207-7r98o-lvg4hvb0jcdqb8_tn")</f>
        <v/>
      </c>
      <c r="D503" t="inlineStr">
        <is>
          <t>毛絨毛毛蟲 - 綠藍綠</t>
        </is>
      </c>
      <c r="E503" t="inlineStr">
        <is>
          <t>236347453959</t>
        </is>
      </c>
      <c r="F503">
        <f>IMAGE("https://cf.shopee.tw/file/tw-11134207-7r991-lvg5aq1pzu7t50_tn")</f>
        <v/>
      </c>
    </row>
    <row r="504">
      <c r="A504" t="inlineStr">
        <is>
          <t>26500312584</t>
        </is>
      </c>
      <c r="B504" t="inlineStr">
        <is>
          <t>隔日到貨🔥 ins韓風 吊飾 Airpods殼吊飾 掛飾 手機掛件 掛飾 手機吊飾 手機掛繩 掛繩 鑰匙圈 鑰匙扣</t>
        </is>
      </c>
      <c r="C504">
        <f>IMAGE("https://cf.shopee.tw/file/tw-11134207-7r98o-lvg4hvb0jcdqb8_tn")</f>
        <v/>
      </c>
      <c r="D504" t="inlineStr">
        <is>
          <t>毛絨毛毛蟲 - 橘色綠</t>
        </is>
      </c>
      <c r="E504" t="inlineStr"/>
      <c r="F504">
        <f>IMAGE("https://cf.shopee.tw/file/tw-11134207-7r98r-lvg5aq1q18s99e_tn")</f>
        <v/>
      </c>
    </row>
    <row r="505">
      <c r="A505" t="inlineStr">
        <is>
          <t>26500312584</t>
        </is>
      </c>
      <c r="B505" t="inlineStr">
        <is>
          <t>隔日到貨🔥 ins韓風 吊飾 Airpods殼吊飾 掛飾 手機掛件 掛飾 手機吊飾 手機掛繩 掛繩 鑰匙圈 鑰匙扣</t>
        </is>
      </c>
      <c r="C505">
        <f>IMAGE("https://cf.shopee.tw/file/tw-11134207-7r98o-lvg4hvb0jcdqb8_tn")</f>
        <v/>
      </c>
      <c r="D505" t="inlineStr">
        <is>
          <t>毛絨毛毛蟲 - 白紅</t>
        </is>
      </c>
      <c r="E505" t="inlineStr"/>
      <c r="F505">
        <f>IMAGE("https://cf.shopee.tw/file/tw-11134207-7r98w-lvg5b3j09ol53d_tn")</f>
        <v/>
      </c>
    </row>
    <row r="506">
      <c r="A506" t="inlineStr">
        <is>
          <t>26500312584</t>
        </is>
      </c>
      <c r="B506" t="inlineStr">
        <is>
          <t>隔日到貨🔥 ins韓風 吊飾 Airpods殼吊飾 掛飾 手機掛件 掛飾 手機吊飾 手機掛繩 掛繩 鑰匙圈 鑰匙扣</t>
        </is>
      </c>
      <c r="C506">
        <f>IMAGE("https://cf.shopee.tw/file/tw-11134207-7r98o-lvg4hvb0jcdqb8_tn")</f>
        <v/>
      </c>
      <c r="D506" t="inlineStr">
        <is>
          <t>毛絨毛毛蟲 - 綠卡粉</t>
        </is>
      </c>
      <c r="E506" t="inlineStr">
        <is>
          <t>236347453962</t>
        </is>
      </c>
      <c r="F506">
        <f>IMAGE("https://cf.shopee.tw/file/tw-11134207-7r98v-lvg5b3j0b35ld6_tn")</f>
        <v/>
      </c>
    </row>
    <row r="507">
      <c r="A507" t="inlineStr">
        <is>
          <t>26500312584</t>
        </is>
      </c>
      <c r="B507" t="inlineStr">
        <is>
          <t>隔日到貨🔥 ins韓風 吊飾 Airpods殼吊飾 掛飾 手機掛件 掛飾 手機吊飾 手機掛繩 掛繩 鑰匙圈 鑰匙扣</t>
        </is>
      </c>
      <c r="C507">
        <f>IMAGE("https://cf.shopee.tw/file/tw-11134207-7r98o-lvg4hvb0jcdqb8_tn")</f>
        <v/>
      </c>
      <c r="D507" t="inlineStr">
        <is>
          <t>毛絨毛毛蟲 - 灰綠粉</t>
        </is>
      </c>
      <c r="E507" t="inlineStr">
        <is>
          <t>236347453963</t>
        </is>
      </c>
      <c r="F507">
        <f>IMAGE("https://cf.shopee.tw/file/tw-11134207-7r98u-lvg5bjkesq5q4b_tn")</f>
        <v/>
      </c>
    </row>
    <row r="508">
      <c r="A508" t="inlineStr">
        <is>
          <t>26500312584</t>
        </is>
      </c>
      <c r="B508" t="inlineStr">
        <is>
          <t>隔日到貨🔥 ins韓風 吊飾 Airpods殼吊飾 掛飾 手機掛件 掛飾 手機吊飾 手機掛繩 掛繩 鑰匙圈 鑰匙扣</t>
        </is>
      </c>
      <c r="C508">
        <f>IMAGE("https://cf.shopee.tw/file/tw-11134207-7r98o-lvg4hvb0jcdqb8_tn")</f>
        <v/>
      </c>
      <c r="D508" t="inlineStr">
        <is>
          <t>毛絨毛毛蟲 - 紫白粉</t>
        </is>
      </c>
      <c r="E508" t="inlineStr">
        <is>
          <t>236347453964</t>
        </is>
      </c>
      <c r="F508">
        <f>IMAGE("https://cf.shopee.tw/file/tw-11134207-7r98v-lvg5bjkeu4q65c_tn")</f>
        <v/>
      </c>
    </row>
    <row r="509">
      <c r="A509" t="inlineStr">
        <is>
          <t>26500312584</t>
        </is>
      </c>
      <c r="B509" t="inlineStr">
        <is>
          <t>隔日到貨🔥 ins韓風 吊飾 Airpods殼吊飾 掛飾 手機掛件 掛飾 手機吊飾 手機掛繩 掛繩 鑰匙圈 鑰匙扣</t>
        </is>
      </c>
      <c r="C509">
        <f>IMAGE("https://cf.shopee.tw/file/tw-11134207-7r98o-lvg4hvb0jcdqb8_tn")</f>
        <v/>
      </c>
      <c r="D509" t="inlineStr">
        <is>
          <t>毛絨毛毛蟲 - 白淺藍深藍</t>
        </is>
      </c>
      <c r="E509" t="inlineStr">
        <is>
          <t>236347453965</t>
        </is>
      </c>
      <c r="F509">
        <f>IMAGE("https://cf.shopee.tw/file/tw-11134207-7r98y-lvg5bqwu1rvyf6_tn")</f>
        <v/>
      </c>
    </row>
    <row r="510">
      <c r="A510" t="inlineStr">
        <is>
          <t>26500312584</t>
        </is>
      </c>
      <c r="B510" t="inlineStr">
        <is>
          <t>隔日到貨🔥 ins韓風 吊飾 Airpods殼吊飾 掛飾 手機掛件 掛飾 手機吊飾 手機掛繩 掛繩 鑰匙圈 鑰匙扣</t>
        </is>
      </c>
      <c r="C510">
        <f>IMAGE("https://cf.shopee.tw/file/tw-11134207-7r98o-lvg4hvb0jcdqb8_tn")</f>
        <v/>
      </c>
      <c r="D510" t="inlineStr">
        <is>
          <t>毛絨毛毛蟲 - 米粉橘</t>
        </is>
      </c>
      <c r="E510" t="inlineStr">
        <is>
          <t>236347453966</t>
        </is>
      </c>
      <c r="F510">
        <f>IMAGE("https://cf.shopee.tw/file/tw-11134207-7r98z-lvg5bqwu36geac_tn")</f>
        <v/>
      </c>
    </row>
    <row r="511">
      <c r="A511" t="inlineStr">
        <is>
          <t>26500312584</t>
        </is>
      </c>
      <c r="B511" t="inlineStr">
        <is>
          <t>隔日到貨🔥 ins韓風 吊飾 Airpods殼吊飾 掛飾 手機掛件 掛飾 手機吊飾 手機掛繩 掛繩 鑰匙圈 鑰匙扣</t>
        </is>
      </c>
      <c r="C511">
        <f>IMAGE("https://cf.shopee.tw/file/tw-11134207-7r98o-lvg4hvb0jcdqb8_tn")</f>
        <v/>
      </c>
      <c r="D511" t="inlineStr">
        <is>
          <t>毛絨毛毛蟲 - 黃橘紅</t>
        </is>
      </c>
      <c r="E511" t="inlineStr">
        <is>
          <t>236347453967</t>
        </is>
      </c>
      <c r="F511">
        <f>IMAGE("https://cf.shopee.tw/file/tw-11134207-7r98v-lvg5c5kanazye3_tn")</f>
        <v/>
      </c>
    </row>
    <row r="512">
      <c r="A512" t="inlineStr">
        <is>
          <t>26500312584</t>
        </is>
      </c>
      <c r="B512" t="inlineStr">
        <is>
          <t>隔日到貨🔥 ins韓風 吊飾 Airpods殼吊飾 掛飾 手機掛件 掛飾 手機吊飾 手機掛繩 掛繩 鑰匙圈 鑰匙扣</t>
        </is>
      </c>
      <c r="C512">
        <f>IMAGE("https://cf.shopee.tw/file/tw-11134207-7r98o-lvg4hvb0jcdqb8_tn")</f>
        <v/>
      </c>
      <c r="D512" t="inlineStr">
        <is>
          <t>毛絨毛毛蟲 - 白黃橘</t>
        </is>
      </c>
      <c r="E512" t="inlineStr"/>
      <c r="F512">
        <f>IMAGE("https://cf.shopee.tw/file/tw-11134207-7r98r-lvg5c5kaopke29_tn")</f>
        <v/>
      </c>
    </row>
    <row r="513">
      <c r="A513" t="inlineStr">
        <is>
          <t>26500312584</t>
        </is>
      </c>
      <c r="B513" t="inlineStr">
        <is>
          <t>隔日到貨🔥 ins韓風 吊飾 Airpods殼吊飾 掛飾 手機掛件 掛飾 手機吊飾 手機掛繩 掛繩 鑰匙圈 鑰匙扣</t>
        </is>
      </c>
      <c r="C513">
        <f>IMAGE("https://cf.shopee.tw/file/tw-11134207-7r98o-lvg4hvb0jcdqb8_tn")</f>
        <v/>
      </c>
      <c r="D513" t="inlineStr">
        <is>
          <t>毛絨毛毛蟲 - 深藍粉藍</t>
        </is>
      </c>
      <c r="E513" t="inlineStr"/>
      <c r="F513">
        <f>IMAGE("https://cf.shopee.tw/file/tw-11134207-7r98u-lvg5cqe04sj2f8_tn")</f>
        <v/>
      </c>
    </row>
    <row r="514">
      <c r="A514" t="inlineStr">
        <is>
          <t>29819264743</t>
        </is>
      </c>
      <c r="B514" t="inlineStr">
        <is>
          <t>隔日到貨🔥 中筒襪 S10 趣味卡通 熊熊襪 刺繡襪 純色棉襪 素色襪 女襪 長襪 純色 棉襪 可愛襪 襪子 韓風 女生</t>
        </is>
      </c>
      <c r="C514">
        <f>IMAGE("https://cf.shopee.tw/file/tw-11134207-7rasl-m37c1jqgkv3h15_tn")</f>
        <v/>
      </c>
      <c r="D514" t="inlineStr">
        <is>
          <t>斑點狗</t>
        </is>
      </c>
      <c r="E514" t="inlineStr">
        <is>
          <t>215602660881</t>
        </is>
      </c>
      <c r="F514">
        <f>IMAGE("https://cf.shopee.tw/file/tw-11134207-7rash-m37hvl365yzx31_tn")</f>
        <v/>
      </c>
    </row>
    <row r="515">
      <c r="A515" t="inlineStr">
        <is>
          <t>29819264743</t>
        </is>
      </c>
      <c r="B515" t="inlineStr">
        <is>
          <t>隔日到貨🔥 中筒襪 S10 趣味卡通 熊熊襪 刺繡襪 純色棉襪 素色襪 女襪 長襪 純色 棉襪 可愛襪 襪子 韓風 女生</t>
        </is>
      </c>
      <c r="C515">
        <f>IMAGE("https://cf.shopee.tw/file/tw-11134207-7rasl-m37c1jqgkv3h15_tn")</f>
        <v/>
      </c>
      <c r="D515" t="inlineStr">
        <is>
          <t>捲毛</t>
        </is>
      </c>
      <c r="E515" t="inlineStr">
        <is>
          <t>215602660882</t>
        </is>
      </c>
      <c r="F515">
        <f>IMAGE("https://cf.shopee.tw/file/tw-11134207-7ras8-m37hvl36lf8tf6_tn")</f>
        <v/>
      </c>
    </row>
    <row r="516">
      <c r="A516" t="inlineStr">
        <is>
          <t>29819264743</t>
        </is>
      </c>
      <c r="B516" t="inlineStr">
        <is>
          <t>隔日到貨🔥 中筒襪 S10 趣味卡通 熊熊襪 刺繡襪 純色棉襪 素色襪 女襪 長襪 純色 棉襪 可愛襪 襪子 韓風 女生</t>
        </is>
      </c>
      <c r="C516">
        <f>IMAGE("https://cf.shopee.tw/file/tw-11134207-7rasl-m37c1jqgkv3h15_tn")</f>
        <v/>
      </c>
      <c r="D516" t="inlineStr">
        <is>
          <t>黑熊</t>
        </is>
      </c>
      <c r="E516" t="inlineStr">
        <is>
          <t>223531284607</t>
        </is>
      </c>
      <c r="F516">
        <f>IMAGE("https://cf.shopee.tw/file/tw-11134207-7rasd-m37hvl370vhp79_tn")</f>
        <v/>
      </c>
    </row>
    <row r="517">
      <c r="A517" t="inlineStr">
        <is>
          <t>29819264743</t>
        </is>
      </c>
      <c r="B517" t="inlineStr">
        <is>
          <t>隔日到貨🔥 中筒襪 S10 趣味卡通 熊熊襪 刺繡襪 純色棉襪 素色襪 女襪 長襪 純色 棉襪 可愛襪 襪子 韓風 女生</t>
        </is>
      </c>
      <c r="C517">
        <f>IMAGE("https://cf.shopee.tw/file/tw-11134207-7rasl-m37c1jqgkv3h15_tn")</f>
        <v/>
      </c>
      <c r="D517" t="inlineStr">
        <is>
          <t>條紋斑捲毛</t>
        </is>
      </c>
      <c r="E517" t="inlineStr">
        <is>
          <t>223531284608</t>
        </is>
      </c>
      <c r="F517">
        <f>IMAGE("https://cf.shopee.tw/file/tw-11134207-7rasm-m37hvl367di2aa_tn")</f>
        <v/>
      </c>
    </row>
    <row r="518">
      <c r="A518" t="inlineStr">
        <is>
          <t>29819264743</t>
        </is>
      </c>
      <c r="B518" t="inlineStr">
        <is>
          <t>隔日到貨🔥 中筒襪 S10 趣味卡通 熊熊襪 刺繡襪 純色棉襪 素色襪 女襪 長襪 純色 棉襪 可愛襪 襪子 韓風 女生</t>
        </is>
      </c>
      <c r="C518">
        <f>IMAGE("https://cf.shopee.tw/file/tw-11134207-7rasl-m37c1jqgkv3h15_tn")</f>
        <v/>
      </c>
      <c r="D518" t="inlineStr">
        <is>
          <t>條紋斑黑熊</t>
        </is>
      </c>
      <c r="E518" t="inlineStr">
        <is>
          <t>223531284609</t>
        </is>
      </c>
      <c r="F518">
        <f>IMAGE("https://cf.shopee.tw/file/tw-11134207-7rasd-m37hvl3729zu2a_tn")</f>
        <v/>
      </c>
    </row>
    <row r="519">
      <c r="A519" t="inlineStr">
        <is>
          <t>29819264743</t>
        </is>
      </c>
      <c r="B519" t="inlineStr">
        <is>
          <t>隔日到貨🔥 中筒襪 S10 趣味卡通 熊熊襪 刺繡襪 純色棉襪 素色襪 女襪 長襪 純色 棉襪 可愛襪 襪子 韓風 女生</t>
        </is>
      </c>
      <c r="C519">
        <f>IMAGE("https://cf.shopee.tw/file/tw-11134207-7rasl-m37c1jqgkv3h15_tn")</f>
        <v/>
      </c>
      <c r="D519" t="inlineStr">
        <is>
          <t>條紋斑胖熊</t>
        </is>
      </c>
      <c r="E519" t="inlineStr">
        <is>
          <t>223531284610</t>
        </is>
      </c>
      <c r="F519">
        <f>IMAGE("https://cf.shopee.tw/file/tw-11134207-7rasf-m37hvl36mtqy97_tn")</f>
        <v/>
      </c>
    </row>
    <row r="520">
      <c r="A520" t="inlineStr">
        <is>
          <t>29819264743</t>
        </is>
      </c>
      <c r="B520" t="inlineStr">
        <is>
          <t>隔日到貨🔥 中筒襪 S10 趣味卡通 熊熊襪 刺繡襪 純色棉襪 素色襪 女襪 長襪 純色 棉襪 可愛襪 襪子 韓風 女生</t>
        </is>
      </c>
      <c r="C520">
        <f>IMAGE("https://cf.shopee.tw/file/tw-11134207-7rasl-m37c1jqgkv3h15_tn")</f>
        <v/>
      </c>
      <c r="D520" t="inlineStr">
        <is>
          <t>條紋斑點狗</t>
        </is>
      </c>
      <c r="E520" t="inlineStr">
        <is>
          <t>223531284611</t>
        </is>
      </c>
      <c r="F520">
        <f>IMAGE("https://cf.shopee.tw/file/tw-11134207-7rask-m37i26ue8m6v22_tn")</f>
        <v/>
      </c>
    </row>
    <row r="521">
      <c r="A521" t="inlineStr">
        <is>
          <t>29819264743</t>
        </is>
      </c>
      <c r="B521" t="inlineStr">
        <is>
          <t>隔日到貨🔥 中筒襪 S10 趣味卡通 熊熊襪 刺繡襪 純色棉襪 素色襪 女襪 長襪 純色 棉襪 可愛襪 襪子 韓風 女生</t>
        </is>
      </c>
      <c r="C521">
        <f>IMAGE("https://cf.shopee.tw/file/tw-11134207-7rasl-m37c1jqgkv3h15_tn")</f>
        <v/>
      </c>
      <c r="D521" t="inlineStr">
        <is>
          <t>胖熊</t>
        </is>
      </c>
      <c r="E521" t="inlineStr">
        <is>
          <t>223531284612</t>
        </is>
      </c>
      <c r="F521">
        <f>IMAGE("https://cf.shopee.tw/file/tw-11134207-7rasa-m37i26uea0rb2b_tn")</f>
        <v/>
      </c>
    </row>
    <row r="522">
      <c r="A522" t="inlineStr">
        <is>
          <t>11375952575</t>
        </is>
      </c>
      <c r="B522" t="inlineStr">
        <is>
          <t>隔日到貨🔥 小熊刺繡棉襪 S9 韓風熱銷 女襪 小熊襪 長襪 中筒襪 白長襪 女襪 襪子 襪子女 女生襪子</t>
        </is>
      </c>
      <c r="C522">
        <f>IMAGE("https://cf.shopee.tw/file/39d31df5173932202f0bc94d3d45f81c_tn")</f>
        <v/>
      </c>
      <c r="D522" t="inlineStr">
        <is>
          <t>黑色小熊</t>
        </is>
      </c>
      <c r="E522" t="inlineStr">
        <is>
          <t>150555269618</t>
        </is>
      </c>
      <c r="F522">
        <f>IMAGE("https://cf.shopee.tw/file/32204347958e2140dbd459e34d213294_tn")</f>
        <v/>
      </c>
    </row>
    <row r="523">
      <c r="A523" t="inlineStr">
        <is>
          <t>11375952575</t>
        </is>
      </c>
      <c r="B523" t="inlineStr">
        <is>
          <t>隔日到貨🔥 小熊刺繡棉襪 S9 韓風熱銷 女襪 小熊襪 長襪 中筒襪 白長襪 女襪 襪子 襪子女 女生襪子</t>
        </is>
      </c>
      <c r="C523">
        <f>IMAGE("https://cf.shopee.tw/file/39d31df5173932202f0bc94d3d45f81c_tn")</f>
        <v/>
      </c>
      <c r="D523" t="inlineStr">
        <is>
          <t>白色小熊</t>
        </is>
      </c>
      <c r="E523" t="inlineStr">
        <is>
          <t>150555269619</t>
        </is>
      </c>
      <c r="F523">
        <f>IMAGE("https://cf.shopee.tw/file/3a1a0592234a2e221fd1068f5088fc3c_tn")</f>
        <v/>
      </c>
    </row>
    <row r="524">
      <c r="A524" t="inlineStr">
        <is>
          <t>11375952575</t>
        </is>
      </c>
      <c r="B524" t="inlineStr">
        <is>
          <t>隔日到貨🔥 小熊刺繡棉襪 S9 韓風熱銷 女襪 小熊襪 長襪 中筒襪 白長襪 女襪 襪子 襪子女 女生襪子</t>
        </is>
      </c>
      <c r="C524">
        <f>IMAGE("https://cf.shopee.tw/file/39d31df5173932202f0bc94d3d45f81c_tn")</f>
        <v/>
      </c>
      <c r="D524" t="inlineStr">
        <is>
          <t>奶油小熊</t>
        </is>
      </c>
      <c r="E524" t="inlineStr">
        <is>
          <t>150555269620</t>
        </is>
      </c>
      <c r="F524">
        <f>IMAGE("https://cf.shopee.tw/file/c1fbb2e60fa62a066074db825ea522a9_tn")</f>
        <v/>
      </c>
    </row>
    <row r="525">
      <c r="A525" t="inlineStr">
        <is>
          <t>11375952575</t>
        </is>
      </c>
      <c r="B525" t="inlineStr">
        <is>
          <t>隔日到貨🔥 小熊刺繡棉襪 S9 韓風熱銷 女襪 小熊襪 長襪 中筒襪 白長襪 女襪 襪子 襪子女 女生襪子</t>
        </is>
      </c>
      <c r="C525">
        <f>IMAGE("https://cf.shopee.tw/file/39d31df5173932202f0bc94d3d45f81c_tn")</f>
        <v/>
      </c>
      <c r="D525" t="inlineStr">
        <is>
          <t>焦糖小熊</t>
        </is>
      </c>
      <c r="E525" t="inlineStr">
        <is>
          <t>150555269621</t>
        </is>
      </c>
      <c r="F525">
        <f>IMAGE("https://cf.shopee.tw/file/ebd4266e6321757120debcaae37b72a5_tn")</f>
        <v/>
      </c>
    </row>
    <row r="526">
      <c r="A526" t="inlineStr">
        <is>
          <t>11375952575</t>
        </is>
      </c>
      <c r="B526" t="inlineStr">
        <is>
          <t>隔日到貨🔥 小熊刺繡棉襪 S9 韓風熱銷 女襪 小熊襪 長襪 中筒襪 白長襪 女襪 襪子 襪子女 女生襪子</t>
        </is>
      </c>
      <c r="C526">
        <f>IMAGE("https://cf.shopee.tw/file/39d31df5173932202f0bc94d3d45f81c_tn")</f>
        <v/>
      </c>
      <c r="D526" t="inlineStr">
        <is>
          <t>咖啡小熊</t>
        </is>
      </c>
      <c r="E526" t="inlineStr">
        <is>
          <t>150555269622</t>
        </is>
      </c>
      <c r="F526">
        <f>IMAGE("https://cf.shopee.tw/file/ef8fb52d6a60c8ddb4b551b7f8483a1b_tn")</f>
        <v/>
      </c>
    </row>
    <row r="527">
      <c r="A527" t="inlineStr">
        <is>
          <t>11375952575</t>
        </is>
      </c>
      <c r="B527" t="inlineStr">
        <is>
          <t>隔日到貨🔥 小熊刺繡棉襪 S9 韓風熱銷 女襪 小熊襪 長襪 中筒襪 白長襪 女襪 襪子 襪子女 女生襪子</t>
        </is>
      </c>
      <c r="C527">
        <f>IMAGE("https://cf.shopee.tw/file/39d31df5173932202f0bc94d3d45f81c_tn")</f>
        <v/>
      </c>
      <c r="D527" t="inlineStr">
        <is>
          <t>卡其小熊</t>
        </is>
      </c>
      <c r="E527" t="inlineStr"/>
      <c r="F527">
        <f>IMAGE("https://cf.shopee.tw/file/cfa2bacb41eed114dbd7c44b38ffb5e2_tn")</f>
        <v/>
      </c>
    </row>
    <row r="528">
      <c r="A528" t="inlineStr">
        <is>
          <t>4904768487</t>
        </is>
      </c>
      <c r="B528" t="inlineStr">
        <is>
          <t>隔日到貨🔥 小熊束口袋 磨砂防水收納袋 收納袋 防塵袋 購物袋 化妝品收納袋 PE收納袋 鞋袋 衣服收納袋</t>
        </is>
      </c>
      <c r="C528">
        <f>IMAGE("https://cf.shopee.tw/file/a0a56e54b6d5a5be34cb5f93e84a5bef_tn")</f>
        <v/>
      </c>
      <c r="D528" t="inlineStr">
        <is>
          <t>小：16*20</t>
        </is>
      </c>
      <c r="E528" t="inlineStr">
        <is>
          <t>9183675169</t>
        </is>
      </c>
      <c r="F528">
        <f>IMAGE("https://deo.shopeemobile.com/shopee/shopee-seller-live-sg/mmf_portal_seller_root_dir/static/modules/product-list/image/default-item-model-image.2601159.png")</f>
        <v/>
      </c>
    </row>
    <row r="529">
      <c r="A529" t="inlineStr">
        <is>
          <t>4904768487</t>
        </is>
      </c>
      <c r="B529" t="inlineStr">
        <is>
          <t>隔日到貨🔥 小熊束口袋 磨砂防水收納袋 收納袋 防塵袋 購物袋 化妝品收納袋 PE收納袋 鞋袋 衣服收納袋</t>
        </is>
      </c>
      <c r="C529">
        <f>IMAGE("https://cf.shopee.tw/file/a0a56e54b6d5a5be34cb5f93e84a5bef_tn")</f>
        <v/>
      </c>
      <c r="D529" t="inlineStr">
        <is>
          <t>中：18*25</t>
        </is>
      </c>
      <c r="E529" t="inlineStr">
        <is>
          <t>9183675170</t>
        </is>
      </c>
      <c r="F529">
        <f>IMAGE("https://deo.shopeemobile.com/shopee/shopee-seller-live-sg/mmf_portal_seller_root_dir/static/modules/product-list/image/default-item-model-image.2601159.png")</f>
        <v/>
      </c>
    </row>
    <row r="530">
      <c r="A530" t="inlineStr">
        <is>
          <t>4904768487</t>
        </is>
      </c>
      <c r="B530" t="inlineStr">
        <is>
          <t>隔日到貨🔥 小熊束口袋 磨砂防水收納袋 收納袋 防塵袋 購物袋 化妝品收納袋 PE收納袋 鞋袋 衣服收納袋</t>
        </is>
      </c>
      <c r="C530">
        <f>IMAGE("https://cf.shopee.tw/file/a0a56e54b6d5a5be34cb5f93e84a5bef_tn")</f>
        <v/>
      </c>
      <c r="D530" t="inlineStr">
        <is>
          <t>大：20*30</t>
        </is>
      </c>
      <c r="E530" t="inlineStr">
        <is>
          <t>11245968702</t>
        </is>
      </c>
      <c r="F530">
        <f>IMAGE("https://deo.shopeemobile.com/shopee/shopee-seller-live-sg/mmf_portal_seller_root_dir/static/modules/product-list/image/default-item-model-image.2601159.png")</f>
        <v/>
      </c>
    </row>
    <row r="531">
      <c r="A531" t="inlineStr">
        <is>
          <t>4904768487</t>
        </is>
      </c>
      <c r="B531" t="inlineStr">
        <is>
          <t>隔日到貨🔥 小熊束口袋 磨砂防水收納袋 收納袋 防塵袋 購物袋 化妝品收納袋 PE收納袋 鞋袋 衣服收納袋</t>
        </is>
      </c>
      <c r="C531">
        <f>IMAGE("https://cf.shopee.tw/file/a0a56e54b6d5a5be34cb5f93e84a5bef_tn")</f>
        <v/>
      </c>
      <c r="D531" t="inlineStr">
        <is>
          <t>特大：30*35</t>
        </is>
      </c>
      <c r="E531" t="inlineStr">
        <is>
          <t>148864153808</t>
        </is>
      </c>
      <c r="F531">
        <f>IMAGE("https://deo.shopeemobile.com/shopee/shopee-seller-live-sg/mmf_portal_seller_root_dir/static/modules/product-list/image/default-item-model-image.2601159.png")</f>
        <v/>
      </c>
    </row>
    <row r="532">
      <c r="A532" t="inlineStr">
        <is>
          <t>29954089279</t>
        </is>
      </c>
      <c r="B532" t="inlineStr">
        <is>
          <t>隔日到貨🔥 冰絲無痕內褲 女生無痕內褲 舒適內褲 冰絲 內褲 冰絲涼感 緊身 運動 女內褲 無痕內褲 暑假</t>
        </is>
      </c>
      <c r="C532">
        <f>IMAGE("https://cf.shopee.tw/file/tw-11134207-7r990-lx3jkfsuk1ly90_tn")</f>
        <v/>
      </c>
      <c r="D532" t="inlineStr">
        <is>
          <t>紅色,M</t>
        </is>
      </c>
      <c r="E532" t="inlineStr"/>
      <c r="F532">
        <f>IMAGE("https://cf.shopee.tw/file/tw-11134207-7r98v-lx3osov2adyeac_tn")</f>
        <v/>
      </c>
    </row>
    <row r="533">
      <c r="A533" t="inlineStr">
        <is>
          <t>29954089279</t>
        </is>
      </c>
      <c r="B533" t="inlineStr">
        <is>
          <t>隔日到貨🔥 冰絲無痕內褲 女生無痕內褲 舒適內褲 冰絲 內褲 冰絲涼感 緊身 運動 女內褲 無痕內褲 暑假</t>
        </is>
      </c>
      <c r="C533">
        <f>IMAGE("https://cf.shopee.tw/file/tw-11134207-7r990-lx3jkfsuk1ly90_tn")</f>
        <v/>
      </c>
      <c r="D533" t="inlineStr">
        <is>
          <t>紅色,L</t>
        </is>
      </c>
      <c r="E533" t="inlineStr"/>
      <c r="F533">
        <f>IMAGE("https://cf.shopee.tw/file/tw-11134207-7r98v-lx3osov2adyeac_tn")</f>
        <v/>
      </c>
    </row>
    <row r="534">
      <c r="A534" t="inlineStr">
        <is>
          <t>29954089279</t>
        </is>
      </c>
      <c r="B534" t="inlineStr">
        <is>
          <t>隔日到貨🔥 冰絲無痕內褲 女生無痕內褲 舒適內褲 冰絲 內褲 冰絲涼感 緊身 運動 女內褲 無痕內褲 暑假</t>
        </is>
      </c>
      <c r="C534">
        <f>IMAGE("https://cf.shopee.tw/file/tw-11134207-7r990-lx3jkfsuk1ly90_tn")</f>
        <v/>
      </c>
      <c r="D534" t="inlineStr">
        <is>
          <t>紅色,XL</t>
        </is>
      </c>
      <c r="E534" t="inlineStr"/>
      <c r="F534">
        <f>IMAGE("https://cf.shopee.tw/file/tw-11134207-7r98v-lx3osov2adyeac_tn")</f>
        <v/>
      </c>
    </row>
    <row r="535">
      <c r="A535" t="inlineStr">
        <is>
          <t>29954089279</t>
        </is>
      </c>
      <c r="B535" t="inlineStr">
        <is>
          <t>隔日到貨🔥 冰絲無痕內褲 女生無痕內褲 舒適內褲 冰絲 內褲 冰絲涼感 緊身 運動 女內褲 無痕內褲 暑假</t>
        </is>
      </c>
      <c r="C535">
        <f>IMAGE("https://cf.shopee.tw/file/tw-11134207-7r990-lx3jkfsuk1ly90_tn")</f>
        <v/>
      </c>
      <c r="D535" t="inlineStr">
        <is>
          <t>紅色,XXL</t>
        </is>
      </c>
      <c r="E535" t="inlineStr"/>
      <c r="F535">
        <f>IMAGE("https://cf.shopee.tw/file/tw-11134207-7r98v-lx3osov2adyeac_tn")</f>
        <v/>
      </c>
    </row>
    <row r="536">
      <c r="A536" t="inlineStr">
        <is>
          <t>29954089279</t>
        </is>
      </c>
      <c r="B536" t="inlineStr">
        <is>
          <t>隔日到貨🔥 冰絲無痕內褲 女生無痕內褲 舒適內褲 冰絲 內褲 冰絲涼感 緊身 運動 女內褲 無痕內褲 暑假</t>
        </is>
      </c>
      <c r="C536">
        <f>IMAGE("https://cf.shopee.tw/file/tw-11134207-7r990-lx3jkfsuk1ly90_tn")</f>
        <v/>
      </c>
      <c r="D536" t="inlineStr">
        <is>
          <t>淺咖,M</t>
        </is>
      </c>
      <c r="E536" t="inlineStr"/>
      <c r="F536">
        <f>IMAGE("https://cf.shopee.tw/file/tw-11134207-7r990-lx3ot5o7nf3a2c_tn")</f>
        <v/>
      </c>
    </row>
    <row r="537">
      <c r="A537" t="inlineStr">
        <is>
          <t>29954089279</t>
        </is>
      </c>
      <c r="B537" t="inlineStr">
        <is>
          <t>隔日到貨🔥 冰絲無痕內褲 女生無痕內褲 舒適內褲 冰絲 內褲 冰絲涼感 緊身 運動 女內褲 無痕內褲 暑假</t>
        </is>
      </c>
      <c r="C537">
        <f>IMAGE("https://cf.shopee.tw/file/tw-11134207-7r990-lx3jkfsuk1ly90_tn")</f>
        <v/>
      </c>
      <c r="D537" t="inlineStr">
        <is>
          <t>淺咖,XXL</t>
        </is>
      </c>
      <c r="E537" t="inlineStr"/>
      <c r="F537">
        <f>IMAGE("https://cf.shopee.tw/file/tw-11134207-7r990-lx3ot5o7nf3a2c_tn")</f>
        <v/>
      </c>
    </row>
    <row r="538">
      <c r="A538" t="inlineStr">
        <is>
          <t>29954089279</t>
        </is>
      </c>
      <c r="B538" t="inlineStr">
        <is>
          <t>隔日到貨🔥 冰絲無痕內褲 女生無痕內褲 舒適內褲 冰絲 內褲 冰絲涼感 緊身 運動 女內褲 無痕內褲 暑假</t>
        </is>
      </c>
      <c r="C538">
        <f>IMAGE("https://cf.shopee.tw/file/tw-11134207-7r990-lx3jkfsuk1ly90_tn")</f>
        <v/>
      </c>
      <c r="D538" t="inlineStr">
        <is>
          <t>黑色,M</t>
        </is>
      </c>
      <c r="E538" t="inlineStr">
        <is>
          <t>205207924733</t>
        </is>
      </c>
      <c r="F538">
        <f>IMAGE("https://cf.shopee.tw/file/tw-11134207-7r98s-lx3ok0tmx54g25_tn")</f>
        <v/>
      </c>
    </row>
    <row r="539">
      <c r="A539" t="inlineStr">
        <is>
          <t>29954089279</t>
        </is>
      </c>
      <c r="B539" t="inlineStr">
        <is>
          <t>隔日到貨🔥 冰絲無痕內褲 女生無痕內褲 舒適內褲 冰絲 內褲 冰絲涼感 緊身 運動 女內褲 無痕內褲 暑假</t>
        </is>
      </c>
      <c r="C539">
        <f>IMAGE("https://cf.shopee.tw/file/tw-11134207-7r990-lx3jkfsuk1ly90_tn")</f>
        <v/>
      </c>
      <c r="D539" t="inlineStr">
        <is>
          <t>黑色,L</t>
        </is>
      </c>
      <c r="E539" t="inlineStr">
        <is>
          <t>205207924734</t>
        </is>
      </c>
      <c r="F539">
        <f>IMAGE("https://cf.shopee.tw/file/tw-11134207-7r98s-lx3ok0tmx54g25_tn")</f>
        <v/>
      </c>
    </row>
    <row r="540">
      <c r="A540" t="inlineStr">
        <is>
          <t>29954089279</t>
        </is>
      </c>
      <c r="B540" t="inlineStr">
        <is>
          <t>隔日到貨🔥 冰絲無痕內褲 女生無痕內褲 舒適內褲 冰絲 內褲 冰絲涼感 緊身 運動 女內褲 無痕內褲 暑假</t>
        </is>
      </c>
      <c r="C540">
        <f>IMAGE("https://cf.shopee.tw/file/tw-11134207-7r990-lx3jkfsuk1ly90_tn")</f>
        <v/>
      </c>
      <c r="D540" t="inlineStr">
        <is>
          <t>黑色,XL</t>
        </is>
      </c>
      <c r="E540" t="inlineStr">
        <is>
          <t>205207924735</t>
        </is>
      </c>
      <c r="F540">
        <f>IMAGE("https://cf.shopee.tw/file/tw-11134207-7r98s-lx3ok0tmx54g25_tn")</f>
        <v/>
      </c>
    </row>
    <row r="541">
      <c r="A541" t="inlineStr">
        <is>
          <t>29954089279</t>
        </is>
      </c>
      <c r="B541" t="inlineStr">
        <is>
          <t>隔日到貨🔥 冰絲無痕內褲 女生無痕內褲 舒適內褲 冰絲 內褲 冰絲涼感 緊身 運動 女內褲 無痕內褲 暑假</t>
        </is>
      </c>
      <c r="C541">
        <f>IMAGE("https://cf.shopee.tw/file/tw-11134207-7r990-lx3jkfsuk1ly90_tn")</f>
        <v/>
      </c>
      <c r="D541" t="inlineStr">
        <is>
          <t>黑色,XXL</t>
        </is>
      </c>
      <c r="E541" t="inlineStr">
        <is>
          <t>205207924736</t>
        </is>
      </c>
      <c r="F541">
        <f>IMAGE("https://cf.shopee.tw/file/tw-11134207-7r98s-lx3ok0tmx54g25_tn")</f>
        <v/>
      </c>
    </row>
    <row r="542">
      <c r="A542" t="inlineStr">
        <is>
          <t>29954089279</t>
        </is>
      </c>
      <c r="B542" t="inlineStr">
        <is>
          <t>隔日到貨🔥 冰絲無痕內褲 女生無痕內褲 舒適內褲 冰絲 內褲 冰絲涼感 緊身 運動 女內褲 無痕內褲 暑假</t>
        </is>
      </c>
      <c r="C542">
        <f>IMAGE("https://cf.shopee.tw/file/tw-11134207-7r990-lx3jkfsuk1ly90_tn")</f>
        <v/>
      </c>
      <c r="D542" t="inlineStr">
        <is>
          <t>白色,M</t>
        </is>
      </c>
      <c r="E542" t="inlineStr">
        <is>
          <t>205207924737</t>
        </is>
      </c>
      <c r="F542">
        <f>IMAGE("https://cf.shopee.tw/file/tw-11134207-7r98u-lx3ok0tns1m85b_tn")</f>
        <v/>
      </c>
    </row>
    <row r="543">
      <c r="A543" t="inlineStr">
        <is>
          <t>29954089279</t>
        </is>
      </c>
      <c r="B543" t="inlineStr">
        <is>
          <t>隔日到貨🔥 冰絲無痕內褲 女生無痕內褲 舒適內褲 冰絲 內褲 冰絲涼感 緊身 運動 女內褲 無痕內褲 暑假</t>
        </is>
      </c>
      <c r="C543">
        <f>IMAGE("https://cf.shopee.tw/file/tw-11134207-7r990-lx3jkfsuk1ly90_tn")</f>
        <v/>
      </c>
      <c r="D543" t="inlineStr">
        <is>
          <t>白色,L</t>
        </is>
      </c>
      <c r="E543" t="inlineStr">
        <is>
          <t>205207924738</t>
        </is>
      </c>
      <c r="F543">
        <f>IMAGE("https://cf.shopee.tw/file/tw-11134207-7r98u-lx3ok0tns1m85b_tn")</f>
        <v/>
      </c>
    </row>
    <row r="544">
      <c r="A544" t="inlineStr">
        <is>
          <t>29954089279</t>
        </is>
      </c>
      <c r="B544" t="inlineStr">
        <is>
          <t>隔日到貨🔥 冰絲無痕內褲 女生無痕內褲 舒適內褲 冰絲 內褲 冰絲涼感 緊身 運動 女內褲 無痕內褲 暑假</t>
        </is>
      </c>
      <c r="C544">
        <f>IMAGE("https://cf.shopee.tw/file/tw-11134207-7r990-lx3jkfsuk1ly90_tn")</f>
        <v/>
      </c>
      <c r="D544" t="inlineStr">
        <is>
          <t>白色,XL</t>
        </is>
      </c>
      <c r="E544" t="inlineStr">
        <is>
          <t>205207924739</t>
        </is>
      </c>
      <c r="F544">
        <f>IMAGE("https://cf.shopee.tw/file/tw-11134207-7r98u-lx3ok0tns1m85b_tn")</f>
        <v/>
      </c>
    </row>
    <row r="545">
      <c r="A545" t="inlineStr">
        <is>
          <t>29954089279</t>
        </is>
      </c>
      <c r="B545" t="inlineStr">
        <is>
          <t>隔日到貨🔥 冰絲無痕內褲 女生無痕內褲 舒適內褲 冰絲 內褲 冰絲涼感 緊身 運動 女內褲 無痕內褲 暑假</t>
        </is>
      </c>
      <c r="C545">
        <f>IMAGE("https://cf.shopee.tw/file/tw-11134207-7r990-lx3jkfsuk1ly90_tn")</f>
        <v/>
      </c>
      <c r="D545" t="inlineStr">
        <is>
          <t>白色,XXL</t>
        </is>
      </c>
      <c r="E545" t="inlineStr">
        <is>
          <t>205207924740</t>
        </is>
      </c>
      <c r="F545">
        <f>IMAGE("https://cf.shopee.tw/file/tw-11134207-7r98u-lx3ok0tns1m85b_tn")</f>
        <v/>
      </c>
    </row>
    <row r="546">
      <c r="A546" t="inlineStr">
        <is>
          <t>29954089279</t>
        </is>
      </c>
      <c r="B546" t="inlineStr">
        <is>
          <t>隔日到貨🔥 冰絲無痕內褲 女生無痕內褲 舒適內褲 冰絲 內褲 冰絲涼感 緊身 運動 女內褲 無痕內褲 暑假</t>
        </is>
      </c>
      <c r="C546">
        <f>IMAGE("https://cf.shopee.tw/file/tw-11134207-7r990-lx3jkfsuk1ly90_tn")</f>
        <v/>
      </c>
      <c r="D546" t="inlineStr">
        <is>
          <t>膚色,M</t>
        </is>
      </c>
      <c r="E546" t="inlineStr">
        <is>
          <t>205207924741</t>
        </is>
      </c>
      <c r="F546">
        <f>IMAGE("https://cf.shopee.tw/file/tw-11134207-7r98t-lx3ok0tncldc65_tn")</f>
        <v/>
      </c>
    </row>
    <row r="547">
      <c r="A547" t="inlineStr">
        <is>
          <t>29954089279</t>
        </is>
      </c>
      <c r="B547" t="inlineStr">
        <is>
          <t>隔日到貨🔥 冰絲無痕內褲 女生無痕內褲 舒適內褲 冰絲 內褲 冰絲涼感 緊身 運動 女內褲 無痕內褲 暑假</t>
        </is>
      </c>
      <c r="C547">
        <f>IMAGE("https://cf.shopee.tw/file/tw-11134207-7r990-lx3jkfsuk1ly90_tn")</f>
        <v/>
      </c>
      <c r="D547" t="inlineStr">
        <is>
          <t>膚色,L</t>
        </is>
      </c>
      <c r="E547" t="inlineStr">
        <is>
          <t>205207924742</t>
        </is>
      </c>
      <c r="F547">
        <f>IMAGE("https://cf.shopee.tw/file/tw-11134207-7r98t-lx3ok0tncldc65_tn")</f>
        <v/>
      </c>
    </row>
    <row r="548">
      <c r="A548" t="inlineStr">
        <is>
          <t>29954089279</t>
        </is>
      </c>
      <c r="B548" t="inlineStr">
        <is>
          <t>隔日到貨🔥 冰絲無痕內褲 女生無痕內褲 舒適內褲 冰絲 內褲 冰絲涼感 緊身 運動 女內褲 無痕內褲 暑假</t>
        </is>
      </c>
      <c r="C548">
        <f>IMAGE("https://cf.shopee.tw/file/tw-11134207-7r990-lx3jkfsuk1ly90_tn")</f>
        <v/>
      </c>
      <c r="D548" t="inlineStr">
        <is>
          <t>膚色,XL</t>
        </is>
      </c>
      <c r="E548" t="inlineStr">
        <is>
          <t>205207924743</t>
        </is>
      </c>
      <c r="F548">
        <f>IMAGE("https://cf.shopee.tw/file/tw-11134207-7r98t-lx3ok0tncldc65_tn")</f>
        <v/>
      </c>
    </row>
    <row r="549">
      <c r="A549" t="inlineStr">
        <is>
          <t>29954089279</t>
        </is>
      </c>
      <c r="B549" t="inlineStr">
        <is>
          <t>隔日到貨🔥 冰絲無痕內褲 女生無痕內褲 舒適內褲 冰絲 內褲 冰絲涼感 緊身 運動 女內褲 無痕內褲 暑假</t>
        </is>
      </c>
      <c r="C549">
        <f>IMAGE("https://cf.shopee.tw/file/tw-11134207-7r990-lx3jkfsuk1ly90_tn")</f>
        <v/>
      </c>
      <c r="D549" t="inlineStr">
        <is>
          <t>膚色,XXL</t>
        </is>
      </c>
      <c r="E549" t="inlineStr">
        <is>
          <t>205207924744</t>
        </is>
      </c>
      <c r="F549">
        <f>IMAGE("https://cf.shopee.tw/file/tw-11134207-7r98t-lx3ok0tncldc65_tn")</f>
        <v/>
      </c>
    </row>
    <row r="550">
      <c r="A550" t="inlineStr">
        <is>
          <t>29954089279</t>
        </is>
      </c>
      <c r="B550" t="inlineStr">
        <is>
          <t>隔日到貨🔥 冰絲無痕內褲 女生無痕內褲 舒適內褲 冰絲 內褲 冰絲涼感 緊身 運動 女內褲 無痕內褲 暑假</t>
        </is>
      </c>
      <c r="C550">
        <f>IMAGE("https://cf.shopee.tw/file/tw-11134207-7r990-lx3jkfsuk1ly90_tn")</f>
        <v/>
      </c>
      <c r="D550" t="inlineStr">
        <is>
          <t>粉色,M</t>
        </is>
      </c>
      <c r="E550" t="inlineStr">
        <is>
          <t>205207924745</t>
        </is>
      </c>
      <c r="F550">
        <f>IMAGE("https://cf.shopee.tw/file/tw-11134207-7r98x-lx3osov28zdycd_tn")</f>
        <v/>
      </c>
    </row>
    <row r="551">
      <c r="A551" t="inlineStr">
        <is>
          <t>29954089279</t>
        </is>
      </c>
      <c r="B551" t="inlineStr">
        <is>
          <t>隔日到貨🔥 冰絲無痕內褲 女生無痕內褲 舒適內褲 冰絲 內褲 冰絲涼感 緊身 運動 女內褲 無痕內褲 暑假</t>
        </is>
      </c>
      <c r="C551">
        <f>IMAGE("https://cf.shopee.tw/file/tw-11134207-7r990-lx3jkfsuk1ly90_tn")</f>
        <v/>
      </c>
      <c r="D551" t="inlineStr">
        <is>
          <t>粉色,L</t>
        </is>
      </c>
      <c r="E551" t="inlineStr">
        <is>
          <t>205207924746</t>
        </is>
      </c>
      <c r="F551">
        <f>IMAGE("https://cf.shopee.tw/file/tw-11134207-7r98x-lx3osov28zdycd_tn")</f>
        <v/>
      </c>
    </row>
    <row r="552">
      <c r="A552" t="inlineStr">
        <is>
          <t>29954089279</t>
        </is>
      </c>
      <c r="B552" t="inlineStr">
        <is>
          <t>隔日到貨🔥 冰絲無痕內褲 女生無痕內褲 舒適內褲 冰絲 內褲 冰絲涼感 緊身 運動 女內褲 無痕內褲 暑假</t>
        </is>
      </c>
      <c r="C552">
        <f>IMAGE("https://cf.shopee.tw/file/tw-11134207-7r990-lx3jkfsuk1ly90_tn")</f>
        <v/>
      </c>
      <c r="D552" t="inlineStr">
        <is>
          <t>粉色,XL</t>
        </is>
      </c>
      <c r="E552" t="inlineStr">
        <is>
          <t>205207924747</t>
        </is>
      </c>
      <c r="F552">
        <f>IMAGE("https://cf.shopee.tw/file/tw-11134207-7r98x-lx3osov28zdycd_tn")</f>
        <v/>
      </c>
    </row>
    <row r="553">
      <c r="A553" t="inlineStr">
        <is>
          <t>29954089279</t>
        </is>
      </c>
      <c r="B553" t="inlineStr">
        <is>
          <t>隔日到貨🔥 冰絲無痕內褲 女生無痕內褲 舒適內褲 冰絲 內褲 冰絲涼感 緊身 運動 女內褲 無痕內褲 暑假</t>
        </is>
      </c>
      <c r="C553">
        <f>IMAGE("https://cf.shopee.tw/file/tw-11134207-7r990-lx3jkfsuk1ly90_tn")</f>
        <v/>
      </c>
      <c r="D553" t="inlineStr">
        <is>
          <t>粉色,XXL</t>
        </is>
      </c>
      <c r="E553" t="inlineStr">
        <is>
          <t>205207924748</t>
        </is>
      </c>
      <c r="F553">
        <f>IMAGE("https://cf.shopee.tw/file/tw-11134207-7r98x-lx3osov28zdycd_tn")</f>
        <v/>
      </c>
    </row>
    <row r="554">
      <c r="A554" t="inlineStr">
        <is>
          <t>29954089279</t>
        </is>
      </c>
      <c r="B554" t="inlineStr">
        <is>
          <t>隔日到貨🔥 冰絲無痕內褲 女生無痕內褲 舒適內褲 冰絲 內褲 冰絲涼感 緊身 運動 女內褲 無痕內褲 暑假</t>
        </is>
      </c>
      <c r="C554">
        <f>IMAGE("https://cf.shopee.tw/file/tw-11134207-7r990-lx3jkfsuk1ly90_tn")</f>
        <v/>
      </c>
      <c r="D554" t="inlineStr">
        <is>
          <t>淺咖,L</t>
        </is>
      </c>
      <c r="E554" t="inlineStr">
        <is>
          <t>205207924754</t>
        </is>
      </c>
      <c r="F554">
        <f>IMAGE("https://cf.shopee.tw/file/tw-11134207-7r990-lx3ot5o7nf3a2c_tn")</f>
        <v/>
      </c>
    </row>
    <row r="555">
      <c r="A555" t="inlineStr">
        <is>
          <t>29954089279</t>
        </is>
      </c>
      <c r="B555" t="inlineStr">
        <is>
          <t>隔日到貨🔥 冰絲無痕內褲 女生無痕內褲 舒適內褲 冰絲 內褲 冰絲涼感 緊身 運動 女內褲 無痕內褲 暑假</t>
        </is>
      </c>
      <c r="C555">
        <f>IMAGE("https://cf.shopee.tw/file/tw-11134207-7r990-lx3jkfsuk1ly90_tn")</f>
        <v/>
      </c>
      <c r="D555" t="inlineStr">
        <is>
          <t>淺咖,XL</t>
        </is>
      </c>
      <c r="E555" t="inlineStr">
        <is>
          <t>205207924755</t>
        </is>
      </c>
      <c r="F555">
        <f>IMAGE("https://cf.shopee.tw/file/tw-11134207-7r990-lx3ot5o7nf3a2c_tn")</f>
        <v/>
      </c>
    </row>
    <row r="556">
      <c r="A556" t="inlineStr">
        <is>
          <t>29954089279</t>
        </is>
      </c>
      <c r="B556" t="inlineStr">
        <is>
          <t>隔日到貨🔥 冰絲無痕內褲 女生無痕內褲 舒適內褲 冰絲 內褲 冰絲涼感 緊身 運動 女內褲 無痕內褲 暑假</t>
        </is>
      </c>
      <c r="C556">
        <f>IMAGE("https://cf.shopee.tw/file/tw-11134207-7r990-lx3jkfsuk1ly90_tn")</f>
        <v/>
      </c>
      <c r="D556" t="inlineStr">
        <is>
          <t>藍色,M</t>
        </is>
      </c>
      <c r="E556" t="inlineStr">
        <is>
          <t>205207924757</t>
        </is>
      </c>
      <c r="F556">
        <f>IMAGE("https://cf.shopee.tw/file/tw-11134207-7r990-lx3oswhh3epcfd_tn")</f>
        <v/>
      </c>
    </row>
    <row r="557">
      <c r="A557" t="inlineStr">
        <is>
          <t>29954089279</t>
        </is>
      </c>
      <c r="B557" t="inlineStr">
        <is>
          <t>隔日到貨🔥 冰絲無痕內褲 女生無痕內褲 舒適內褲 冰絲 內褲 冰絲涼感 緊身 運動 女內褲 無痕內褲 暑假</t>
        </is>
      </c>
      <c r="C557">
        <f>IMAGE("https://cf.shopee.tw/file/tw-11134207-7r990-lx3jkfsuk1ly90_tn")</f>
        <v/>
      </c>
      <c r="D557" t="inlineStr">
        <is>
          <t>藍色,L</t>
        </is>
      </c>
      <c r="E557" t="inlineStr">
        <is>
          <t>205207924758</t>
        </is>
      </c>
      <c r="F557">
        <f>IMAGE("https://cf.shopee.tw/file/tw-11134207-7r990-lx3oswhh3epcfd_tn")</f>
        <v/>
      </c>
    </row>
    <row r="558">
      <c r="A558" t="inlineStr">
        <is>
          <t>29954089279</t>
        </is>
      </c>
      <c r="B558" t="inlineStr">
        <is>
          <t>隔日到貨🔥 冰絲無痕內褲 女生無痕內褲 舒適內褲 冰絲 內褲 冰絲涼感 緊身 運動 女內褲 無痕內褲 暑假</t>
        </is>
      </c>
      <c r="C558">
        <f>IMAGE("https://cf.shopee.tw/file/tw-11134207-7r990-lx3jkfsuk1ly90_tn")</f>
        <v/>
      </c>
      <c r="D558" t="inlineStr">
        <is>
          <t>藍色,XL</t>
        </is>
      </c>
      <c r="E558" t="inlineStr">
        <is>
          <t>205207924759</t>
        </is>
      </c>
      <c r="F558">
        <f>IMAGE("https://cf.shopee.tw/file/tw-11134207-7r990-lx3oswhh3epcfd_tn")</f>
        <v/>
      </c>
    </row>
    <row r="559">
      <c r="A559" t="inlineStr">
        <is>
          <t>29954089279</t>
        </is>
      </c>
      <c r="B559" t="inlineStr">
        <is>
          <t>隔日到貨🔥 冰絲無痕內褲 女生無痕內褲 舒適內褲 冰絲 內褲 冰絲涼感 緊身 運動 女內褲 無痕內褲 暑假</t>
        </is>
      </c>
      <c r="C559">
        <f>IMAGE("https://cf.shopee.tw/file/tw-11134207-7r990-lx3jkfsuk1ly90_tn")</f>
        <v/>
      </c>
      <c r="D559" t="inlineStr">
        <is>
          <t>藍色,XXL</t>
        </is>
      </c>
      <c r="E559" t="inlineStr">
        <is>
          <t>205207924760</t>
        </is>
      </c>
      <c r="F559">
        <f>IMAGE("https://cf.shopee.tw/file/tw-11134207-7r990-lx3oswhh3epcfd_tn")</f>
        <v/>
      </c>
    </row>
    <row r="560">
      <c r="A560" t="inlineStr">
        <is>
          <t>29954089279</t>
        </is>
      </c>
      <c r="B560" t="inlineStr">
        <is>
          <t>隔日到貨🔥 冰絲無痕內褲 女生無痕內褲 舒適內褲 冰絲 內褲 冰絲涼感 緊身 運動 女內褲 無痕內褲 暑假</t>
        </is>
      </c>
      <c r="C560">
        <f>IMAGE("https://cf.shopee.tw/file/tw-11134207-7r990-lx3jkfsuk1ly90_tn")</f>
        <v/>
      </c>
      <c r="D560" t="inlineStr">
        <is>
          <t>紫色,M</t>
        </is>
      </c>
      <c r="E560" t="inlineStr">
        <is>
          <t>205207924761</t>
        </is>
      </c>
      <c r="F560">
        <f>IMAGE("https://cf.shopee.tw/file/tw-11134207-7r990-lx3oswhh4t9s63_tn")</f>
        <v/>
      </c>
    </row>
    <row r="561">
      <c r="A561" t="inlineStr">
        <is>
          <t>29954089279</t>
        </is>
      </c>
      <c r="B561" t="inlineStr">
        <is>
          <t>隔日到貨🔥 冰絲無痕內褲 女生無痕內褲 舒適內褲 冰絲 內褲 冰絲涼感 緊身 運動 女內褲 無痕內褲 暑假</t>
        </is>
      </c>
      <c r="C561">
        <f>IMAGE("https://cf.shopee.tw/file/tw-11134207-7r990-lx3jkfsuk1ly90_tn")</f>
        <v/>
      </c>
      <c r="D561" t="inlineStr">
        <is>
          <t>紫色,L</t>
        </is>
      </c>
      <c r="E561" t="inlineStr">
        <is>
          <t>205207924762</t>
        </is>
      </c>
      <c r="F561">
        <f>IMAGE("https://cf.shopee.tw/file/tw-11134207-7r990-lx3oswhh4t9s63_tn")</f>
        <v/>
      </c>
    </row>
    <row r="562">
      <c r="A562" t="inlineStr">
        <is>
          <t>29954089279</t>
        </is>
      </c>
      <c r="B562" t="inlineStr">
        <is>
          <t>隔日到貨🔥 冰絲無痕內褲 女生無痕內褲 舒適內褲 冰絲 內褲 冰絲涼感 緊身 運動 女內褲 無痕內褲 暑假</t>
        </is>
      </c>
      <c r="C562">
        <f>IMAGE("https://cf.shopee.tw/file/tw-11134207-7r990-lx3jkfsuk1ly90_tn")</f>
        <v/>
      </c>
      <c r="D562" t="inlineStr">
        <is>
          <t>紫色,XL</t>
        </is>
      </c>
      <c r="E562" t="inlineStr">
        <is>
          <t>205207924763</t>
        </is>
      </c>
      <c r="F562">
        <f>IMAGE("https://cf.shopee.tw/file/tw-11134207-7r990-lx3oswhh4t9s63_tn")</f>
        <v/>
      </c>
    </row>
    <row r="563">
      <c r="A563" t="inlineStr">
        <is>
          <t>29954089279</t>
        </is>
      </c>
      <c r="B563" t="inlineStr">
        <is>
          <t>隔日到貨🔥 冰絲無痕內褲 女生無痕內褲 舒適內褲 冰絲 內褲 冰絲涼感 緊身 運動 女內褲 無痕內褲 暑假</t>
        </is>
      </c>
      <c r="C563">
        <f>IMAGE("https://cf.shopee.tw/file/tw-11134207-7r990-lx3jkfsuk1ly90_tn")</f>
        <v/>
      </c>
      <c r="D563" t="inlineStr">
        <is>
          <t>紫色,XXL</t>
        </is>
      </c>
      <c r="E563" t="inlineStr">
        <is>
          <t>205207924764</t>
        </is>
      </c>
      <c r="F563">
        <f>IMAGE("https://cf.shopee.tw/file/tw-11134207-7r990-lx3oswhh4t9s63_tn")</f>
        <v/>
      </c>
    </row>
    <row r="564">
      <c r="A564" t="inlineStr">
        <is>
          <t>26757534364</t>
        </is>
      </c>
      <c r="B564" t="inlineStr">
        <is>
          <t>隔日到貨🔥 純色棉襪 花邊襪 S3 女襪 長襪 棉襪 白長襪 中筒襪 襪子 女生襪子 女長襪 襪子女 捲邊襪</t>
        </is>
      </c>
      <c r="C564">
        <f>IMAGE("https://cf.shopee.tw/file/tw-11134207-7r98r-lyrkl1vugt1022_tn")</f>
        <v/>
      </c>
      <c r="D564" t="inlineStr">
        <is>
          <t>淺綠</t>
        </is>
      </c>
      <c r="E564" t="inlineStr">
        <is>
          <t>233087223853</t>
        </is>
      </c>
      <c r="F564">
        <f>IMAGE("https://cf.shopee.tw/file/tw-11134207-7r98t-lyrkl1w4gefy52_tn")</f>
        <v/>
      </c>
    </row>
    <row r="565">
      <c r="A565" t="inlineStr">
        <is>
          <t>26757534364</t>
        </is>
      </c>
      <c r="B565" t="inlineStr">
        <is>
          <t>隔日到貨🔥 純色棉襪 花邊襪 S3 女襪 長襪 棉襪 白長襪 中筒襪 襪子 女生襪子 女長襪 襪子女 捲邊襪</t>
        </is>
      </c>
      <c r="C565">
        <f>IMAGE("https://cf.shopee.tw/file/tw-11134207-7r98r-lyrkl1vugt1022_tn")</f>
        <v/>
      </c>
      <c r="D565" t="inlineStr">
        <is>
          <t>黑色</t>
        </is>
      </c>
      <c r="E565" t="inlineStr">
        <is>
          <t>233087223850</t>
        </is>
      </c>
      <c r="F565">
        <f>IMAGE("https://cf.shopee.tw/file/tw-11134207-7r98t-lyrkl1vuz2es8f_tn")</f>
        <v/>
      </c>
    </row>
    <row r="566">
      <c r="A566" t="inlineStr">
        <is>
          <t>26757534364</t>
        </is>
      </c>
      <c r="B566" t="inlineStr">
        <is>
          <t>隔日到貨🔥 純色棉襪 花邊襪 S3 女襪 長襪 棉襪 白長襪 中筒襪 襪子 女生襪子 女長襪 襪子女 捲邊襪</t>
        </is>
      </c>
      <c r="C566">
        <f>IMAGE("https://cf.shopee.tw/file/tw-11134207-7r98r-lyrkl1vugt1022_tn")</f>
        <v/>
      </c>
      <c r="D566" t="inlineStr">
        <is>
          <t>白色</t>
        </is>
      </c>
      <c r="E566" t="inlineStr">
        <is>
          <t>233087223851</t>
        </is>
      </c>
      <c r="F566">
        <f>IMAGE("https://cf.shopee.tw/file/tw-11134207-7r990-lyrkl1vvr5ro91_tn")</f>
        <v/>
      </c>
    </row>
    <row r="567">
      <c r="A567" t="inlineStr">
        <is>
          <t>26757534364</t>
        </is>
      </c>
      <c r="B567" t="inlineStr">
        <is>
          <t>隔日到貨🔥 純色棉襪 花邊襪 S3 女襪 長襪 棉襪 白長襪 中筒襪 襪子 女生襪子 女長襪 襪子女 捲邊襪</t>
        </is>
      </c>
      <c r="C567">
        <f>IMAGE("https://cf.shopee.tw/file/tw-11134207-7r98r-lyrkl1vugt1022_tn")</f>
        <v/>
      </c>
      <c r="D567" t="inlineStr">
        <is>
          <t>灰色</t>
        </is>
      </c>
      <c r="E567" t="inlineStr">
        <is>
          <t>233087223852</t>
        </is>
      </c>
      <c r="F567">
        <f>IMAGE("https://cf.shopee.tw/file/tw-11134207-7r98o-lyrkl1vuxnuc53_tn")</f>
        <v/>
      </c>
    </row>
    <row r="568">
      <c r="A568" t="inlineStr">
        <is>
          <t>26757534364</t>
        </is>
      </c>
      <c r="B568" t="inlineStr">
        <is>
          <t>隔日到貨🔥 純色棉襪 花邊襪 S3 女襪 長襪 棉襪 白長襪 中筒襪 襪子 女生襪子 女長襪 襪子女 捲邊襪</t>
        </is>
      </c>
      <c r="C568">
        <f>IMAGE("https://cf.shopee.tw/file/tw-11134207-7r98r-lyrkl1vugt1022_tn")</f>
        <v/>
      </c>
      <c r="D568" t="inlineStr">
        <is>
          <t>奶黃</t>
        </is>
      </c>
      <c r="E568" t="inlineStr">
        <is>
          <t>233087223854</t>
        </is>
      </c>
      <c r="F568">
        <f>IMAGE("https://cf.shopee.tw/file/tw-11134207-7r98x-lyrkl1w5qr6mb7_tn")</f>
        <v/>
      </c>
    </row>
    <row r="569">
      <c r="A569" t="inlineStr">
        <is>
          <t>26757534364</t>
        </is>
      </c>
      <c r="B569" t="inlineStr">
        <is>
          <t>隔日到貨🔥 純色棉襪 花邊襪 S3 女襪 長襪 棉襪 白長襪 中筒襪 襪子 女生襪子 女長襪 襪子女 捲邊襪</t>
        </is>
      </c>
      <c r="C569">
        <f>IMAGE("https://cf.shopee.tw/file/tw-11134207-7r98r-lyrkl1vugt1022_tn")</f>
        <v/>
      </c>
      <c r="D569" t="inlineStr">
        <is>
          <t>淺紫</t>
        </is>
      </c>
      <c r="E569" t="inlineStr">
        <is>
          <t>233087223855</t>
        </is>
      </c>
      <c r="F569">
        <f>IMAGE("https://cf.shopee.tw/file/tw-11134207-7r98v-lyrkl1w4x99a9f_tn")</f>
        <v/>
      </c>
    </row>
    <row r="570">
      <c r="A570" t="inlineStr">
        <is>
          <t>26757534364</t>
        </is>
      </c>
      <c r="B570" t="inlineStr">
        <is>
          <t>隔日到貨🔥 純色棉襪 花邊襪 S3 女襪 長襪 棉襪 白長襪 中筒襪 襪子 女生襪子 女長襪 襪子女 捲邊襪</t>
        </is>
      </c>
      <c r="C570">
        <f>IMAGE("https://cf.shopee.tw/file/tw-11134207-7r98r-lyrkl1vugt1022_tn")</f>
        <v/>
      </c>
      <c r="D570" t="inlineStr">
        <is>
          <t>粉色</t>
        </is>
      </c>
      <c r="E570" t="inlineStr">
        <is>
          <t>233087223856</t>
        </is>
      </c>
      <c r="F570">
        <f>IMAGE("https://cf.shopee.tw/file/tw-11134207-7r991-lyrkl1w4yntqe6_tn")</f>
        <v/>
      </c>
    </row>
    <row r="571">
      <c r="A571" t="inlineStr">
        <is>
          <t>29805236318</t>
        </is>
      </c>
      <c r="B571" t="inlineStr">
        <is>
          <t>隔日到貨🔥 ins韓風 手機殼吊飾 Airpods殼吊飾 手機殼掛飾 手機掛件 掛飾 手機吊飾 手機掛繩 掛繩</t>
        </is>
      </c>
      <c r="C571">
        <f>IMAGE("https://cf.shopee.tw/file/tw-11134207-7r98y-lxnourxm9mauf5_tn")</f>
        <v/>
      </c>
      <c r="D571" t="inlineStr">
        <is>
          <t>鯛魚</t>
        </is>
      </c>
      <c r="E571" t="inlineStr">
        <is>
          <t>251190179419</t>
        </is>
      </c>
      <c r="F571">
        <f>IMAGE("https://cf.shopee.tw/file/tw-11134207-7r98s-lxnp3zlgyhps1d_tn")</f>
        <v/>
      </c>
    </row>
    <row r="572">
      <c r="A572" t="inlineStr">
        <is>
          <t>29805236318</t>
        </is>
      </c>
      <c r="B572" t="inlineStr">
        <is>
          <t>隔日到貨🔥 ins韓風 手機殼吊飾 Airpods殼吊飾 手機殼掛飾 手機掛件 掛飾 手機吊飾 手機掛繩 掛繩</t>
        </is>
      </c>
      <c r="C572">
        <f>IMAGE("https://cf.shopee.tw/file/tw-11134207-7r98y-lxnourxm9mauf5_tn")</f>
        <v/>
      </c>
      <c r="D572" t="inlineStr">
        <is>
          <t>餅乾</t>
        </is>
      </c>
      <c r="E572" t="inlineStr">
        <is>
          <t>251190179405</t>
        </is>
      </c>
      <c r="F572">
        <f>IMAGE("https://cf.shopee.tw/file/tw-11134207-7r98t-lxnourxmb0og47_tn")</f>
        <v/>
      </c>
    </row>
    <row r="573">
      <c r="A573" t="inlineStr">
        <is>
          <t>29805236318</t>
        </is>
      </c>
      <c r="B573" t="inlineStr">
        <is>
          <t>隔日到貨🔥 ins韓風 手機殼吊飾 Airpods殼吊飾 手機殼掛飾 手機掛件 掛飾 手機吊飾 手機掛繩 掛繩</t>
        </is>
      </c>
      <c r="C573">
        <f>IMAGE("https://cf.shopee.tw/file/tw-11134207-7r98y-lxnourxm9mauf5_tn")</f>
        <v/>
      </c>
      <c r="D573" t="inlineStr">
        <is>
          <t>麵包</t>
        </is>
      </c>
      <c r="E573" t="inlineStr">
        <is>
          <t>251190179406</t>
        </is>
      </c>
      <c r="F573">
        <f>IMAGE("https://cf.shopee.tw/file/tw-11134207-7r98s-lxnourxmb0va2f_tn")</f>
        <v/>
      </c>
    </row>
    <row r="574">
      <c r="A574" t="inlineStr">
        <is>
          <t>29805236318</t>
        </is>
      </c>
      <c r="B574" t="inlineStr">
        <is>
          <t>隔日到貨🔥 ins韓風 手機殼吊飾 Airpods殼吊飾 手機殼掛飾 手機掛件 掛飾 手機吊飾 手機掛繩 掛繩</t>
        </is>
      </c>
      <c r="C574">
        <f>IMAGE("https://cf.shopee.tw/file/tw-11134207-7r98y-lxnourxm9mauf5_tn")</f>
        <v/>
      </c>
      <c r="D574" t="inlineStr">
        <is>
          <t>雪糕</t>
        </is>
      </c>
      <c r="E574" t="inlineStr">
        <is>
          <t>251190179407</t>
        </is>
      </c>
      <c r="F574">
        <f>IMAGE("https://cf.shopee.tw/file/tw-11134207-7r992-lxnourxmqh46ce_tn")</f>
        <v/>
      </c>
    </row>
    <row r="575">
      <c r="A575" t="inlineStr">
        <is>
          <t>29805236318</t>
        </is>
      </c>
      <c r="B575" t="inlineStr">
        <is>
          <t>隔日到貨🔥 ins韓風 手機殼吊飾 Airpods殼吊飾 手機殼掛飾 手機掛件 掛飾 手機吊飾 手機掛繩 掛繩</t>
        </is>
      </c>
      <c r="C575">
        <f>IMAGE("https://cf.shopee.tw/file/tw-11134207-7r98y-lxnourxm9mauf5_tn")</f>
        <v/>
      </c>
      <c r="D575" t="inlineStr">
        <is>
          <t>小熊</t>
        </is>
      </c>
      <c r="E575" t="inlineStr">
        <is>
          <t>251190179408</t>
        </is>
      </c>
      <c r="F575">
        <f>IMAGE("https://cf.shopee.tw/file/tw-11134207-7r992-lxnourxwam28d1_tn")</f>
        <v/>
      </c>
    </row>
    <row r="576">
      <c r="A576" t="inlineStr">
        <is>
          <t>29805236318</t>
        </is>
      </c>
      <c r="B576" t="inlineStr">
        <is>
          <t>隔日到貨🔥 ins韓風 手機殼吊飾 Airpods殼吊飾 手機殼掛飾 手機掛件 掛飾 手機吊飾 手機掛繩 掛繩</t>
        </is>
      </c>
      <c r="C576">
        <f>IMAGE("https://cf.shopee.tw/file/tw-11134207-7r98y-lxnourxm9mauf5_tn")</f>
        <v/>
      </c>
      <c r="D576" t="inlineStr">
        <is>
          <t>曲奇</t>
        </is>
      </c>
      <c r="E576" t="inlineStr">
        <is>
          <t>251190179409</t>
        </is>
      </c>
      <c r="F576">
        <f>IMAGE("https://cf.shopee.tw/file/tw-11134207-7r990-lxnourxwam92e4_tn")</f>
        <v/>
      </c>
    </row>
    <row r="577">
      <c r="A577" t="inlineStr">
        <is>
          <t>29805236318</t>
        </is>
      </c>
      <c r="B577" t="inlineStr">
        <is>
          <t>隔日到貨🔥 ins韓風 手機殼吊飾 Airpods殼吊飾 手機殼掛飾 手機掛件 掛飾 手機吊飾 手機掛繩 掛繩</t>
        </is>
      </c>
      <c r="C577">
        <f>IMAGE("https://cf.shopee.tw/file/tw-11134207-7r98y-lxnourxm9mauf5_tn")</f>
        <v/>
      </c>
      <c r="D577" t="inlineStr">
        <is>
          <t>彩虹藍色雲朵</t>
        </is>
      </c>
      <c r="E577" t="inlineStr">
        <is>
          <t>251190179410</t>
        </is>
      </c>
      <c r="F577">
        <f>IMAGE("https://cf.shopee.tw/file/tw-11134207-7r98o-lxnourxwq2hyf1_tn")</f>
        <v/>
      </c>
    </row>
    <row r="578">
      <c r="A578" t="inlineStr">
        <is>
          <t>29805236318</t>
        </is>
      </c>
      <c r="B578" t="inlineStr">
        <is>
          <t>隔日到貨🔥 ins韓風 手機殼吊飾 Airpods殼吊飾 手機殼掛飾 手機掛件 掛飾 手機吊飾 手機掛繩 掛繩</t>
        </is>
      </c>
      <c r="C578">
        <f>IMAGE("https://cf.shopee.tw/file/tw-11134207-7r98y-lxnourxm9mauf5_tn")</f>
        <v/>
      </c>
      <c r="D578" t="inlineStr">
        <is>
          <t>閃電無語雲朵</t>
        </is>
      </c>
      <c r="E578" t="inlineStr">
        <is>
          <t>251190179411</t>
        </is>
      </c>
      <c r="F578">
        <f>IMAGE("https://cf.shopee.tw/file/tw-11134207-7r98q-lxnourxwq2b43c_tn")</f>
        <v/>
      </c>
    </row>
    <row r="579">
      <c r="A579" t="inlineStr">
        <is>
          <t>29805236318</t>
        </is>
      </c>
      <c r="B579" t="inlineStr">
        <is>
          <t>隔日到貨🔥 ins韓風 手機殼吊飾 Airpods殼吊飾 手機殼掛飾 手機掛件 掛飾 手機吊飾 手機掛繩 掛繩</t>
        </is>
      </c>
      <c r="C579">
        <f>IMAGE("https://cf.shopee.tw/file/tw-11134207-7r98y-lxnourxm9mauf5_tn")</f>
        <v/>
      </c>
      <c r="D579" t="inlineStr">
        <is>
          <t>太陽雲朵</t>
        </is>
      </c>
      <c r="E579" t="inlineStr">
        <is>
          <t>251190179412</t>
        </is>
      </c>
      <c r="F579">
        <f>IMAGE("https://cf.shopee.tw/file/tw-11134207-7r98o-lxnourxx5ik0b1_tn")</f>
        <v/>
      </c>
    </row>
    <row r="580">
      <c r="A580" t="inlineStr">
        <is>
          <t>29805236318</t>
        </is>
      </c>
      <c r="B580" t="inlineStr">
        <is>
          <t>隔日到貨🔥 ins韓風 手機殼吊飾 Airpods殼吊飾 手機殼掛飾 手機掛件 掛飾 手機吊飾 手機掛繩 掛繩</t>
        </is>
      </c>
      <c r="C580">
        <f>IMAGE("https://cf.shopee.tw/file/tw-11134207-7r98y-lxnourxm9mauf5_tn")</f>
        <v/>
      </c>
      <c r="D580" t="inlineStr">
        <is>
          <t>粉色心心雲朵</t>
        </is>
      </c>
      <c r="E580" t="inlineStr">
        <is>
          <t>251190179413</t>
        </is>
      </c>
      <c r="F580">
        <f>IMAGE("https://cf.shopee.tw/file/tw-11134207-7r98q-lxnourxx6xba27_tn")</f>
        <v/>
      </c>
    </row>
    <row r="581">
      <c r="A581" t="inlineStr">
        <is>
          <t>29805236318</t>
        </is>
      </c>
      <c r="B581" t="inlineStr">
        <is>
          <t>隔日到貨🔥 ins韓風 手機殼吊飾 Airpods殼吊飾 手機殼掛飾 手機掛件 掛飾 手機吊飾 手機掛繩 掛繩</t>
        </is>
      </c>
      <c r="C581">
        <f>IMAGE("https://cf.shopee.tw/file/tw-11134207-7r98y-lxnourxm9mauf5_tn")</f>
        <v/>
      </c>
      <c r="D581" t="inlineStr">
        <is>
          <t>咖啡月亮雲朵</t>
        </is>
      </c>
      <c r="E581" t="inlineStr">
        <is>
          <t>251190179414</t>
        </is>
      </c>
      <c r="F581">
        <f>IMAGE("https://cf.shopee.tw/file/tw-11134207-7r98w-lxnp3iu9ftbab6_tn")</f>
        <v/>
      </c>
    </row>
    <row r="582">
      <c r="A582" t="inlineStr">
        <is>
          <t>29805236318</t>
        </is>
      </c>
      <c r="B582" t="inlineStr">
        <is>
          <t>隔日到貨🔥 ins韓風 手機殼吊飾 Airpods殼吊飾 手機殼掛飾 手機掛件 掛飾 手機吊飾 手機掛繩 掛繩</t>
        </is>
      </c>
      <c r="C582">
        <f>IMAGE("https://cf.shopee.tw/file/tw-11134207-7r98y-lxnourxm9mauf5_tn")</f>
        <v/>
      </c>
      <c r="D582" t="inlineStr">
        <is>
          <t>香蕉</t>
        </is>
      </c>
      <c r="E582" t="inlineStr">
        <is>
          <t>251190179415</t>
        </is>
      </c>
      <c r="F582">
        <f>IMAGE("https://cf.shopee.tw/file/tw-11134207-7r98o-lxnp3iu9h7vq73_tn")</f>
        <v/>
      </c>
    </row>
    <row r="583">
      <c r="A583" t="inlineStr">
        <is>
          <t>29805236318</t>
        </is>
      </c>
      <c r="B583" t="inlineStr">
        <is>
          <t>隔日到貨🔥 ins韓風 手機殼吊飾 Airpods殼吊飾 手機殼掛飾 手機掛件 掛飾 手機吊飾 手機掛繩 掛繩</t>
        </is>
      </c>
      <c r="C583">
        <f>IMAGE("https://cf.shopee.tw/file/tw-11134207-7r98y-lxnourxm9mauf5_tn")</f>
        <v/>
      </c>
      <c r="D583" t="inlineStr">
        <is>
          <t>小雞</t>
        </is>
      </c>
      <c r="E583" t="inlineStr">
        <is>
          <t>251190179416</t>
        </is>
      </c>
      <c r="F583">
        <f>IMAGE("https://cf.shopee.tw/file/tw-11134207-7r98o-lxnp3t4ydcme96_tn")</f>
        <v/>
      </c>
    </row>
    <row r="584">
      <c r="A584" t="inlineStr">
        <is>
          <t>29805236318</t>
        </is>
      </c>
      <c r="B584" t="inlineStr">
        <is>
          <t>隔日到貨🔥 ins韓風 手機殼吊飾 Airpods殼吊飾 手機殼掛飾 手機掛件 掛飾 手機吊飾 手機掛繩 掛繩</t>
        </is>
      </c>
      <c r="C584">
        <f>IMAGE("https://cf.shopee.tw/file/tw-11134207-7r98y-lxnourxm9mauf5_tn")</f>
        <v/>
      </c>
      <c r="D584" t="inlineStr">
        <is>
          <t>吐司</t>
        </is>
      </c>
      <c r="E584" t="inlineStr">
        <is>
          <t>251190179417</t>
        </is>
      </c>
      <c r="F584">
        <f>IMAGE("https://cf.shopee.tw/file/tw-11134207-7r98o-lxnp3t4yer6u77_tn")</f>
        <v/>
      </c>
    </row>
    <row r="585">
      <c r="A585" t="inlineStr">
        <is>
          <t>29805236318</t>
        </is>
      </c>
      <c r="B585" t="inlineStr">
        <is>
          <t>隔日到貨🔥 ins韓風 手機殼吊飾 Airpods殼吊飾 手機殼掛飾 手機掛件 掛飾 手機吊飾 手機掛繩 掛繩</t>
        </is>
      </c>
      <c r="C585">
        <f>IMAGE("https://cf.shopee.tw/file/tw-11134207-7r98y-lxnourxm9mauf5_tn")</f>
        <v/>
      </c>
      <c r="D585" t="inlineStr">
        <is>
          <t>荷包蛋</t>
        </is>
      </c>
      <c r="E585" t="inlineStr">
        <is>
          <t>251190179418</t>
        </is>
      </c>
      <c r="F585">
        <f>IMAGE("https://cf.shopee.tw/file/tw-11134207-7r98w-lxnp3zlgx35cd8_tn")</f>
        <v/>
      </c>
    </row>
    <row r="586">
      <c r="A586" t="inlineStr">
        <is>
          <t>29805236318</t>
        </is>
      </c>
      <c r="B586" t="inlineStr">
        <is>
          <t>隔日到貨🔥 ins韓風 手機殼吊飾 Airpods殼吊飾 手機殼掛飾 手機掛件 掛飾 手機吊飾 手機掛繩 掛繩</t>
        </is>
      </c>
      <c r="C586">
        <f>IMAGE("https://cf.shopee.tw/file/tw-11134207-7r98y-lxnourxm9mauf5_tn")</f>
        <v/>
      </c>
      <c r="D586" t="inlineStr">
        <is>
          <t>橘子</t>
        </is>
      </c>
      <c r="E586" t="inlineStr">
        <is>
          <t>251190179420</t>
        </is>
      </c>
      <c r="F586">
        <f>IMAGE("https://cf.shopee.tw/file/tw-11134207-7r98y-lxnp5w6wjdiec9_tn")</f>
        <v/>
      </c>
    </row>
    <row r="587">
      <c r="A587" t="inlineStr">
        <is>
          <t>29805236318</t>
        </is>
      </c>
      <c r="B587" t="inlineStr">
        <is>
          <t>隔日到貨🔥 ins韓風 手機殼吊飾 Airpods殼吊飾 手機殼掛飾 手機掛件 掛飾 手機吊飾 手機掛繩 掛繩</t>
        </is>
      </c>
      <c r="C587">
        <f>IMAGE("https://cf.shopee.tw/file/tw-11134207-7r98y-lxnourxm9mauf5_tn")</f>
        <v/>
      </c>
      <c r="D587" t="inlineStr">
        <is>
          <t>烏龜</t>
        </is>
      </c>
      <c r="E587" t="inlineStr">
        <is>
          <t>251190179421</t>
        </is>
      </c>
      <c r="F587">
        <f>IMAGE("https://cf.shopee.tw/file/tw-11134207-7r98z-lxnp5w6wks2u68_tn")</f>
        <v/>
      </c>
    </row>
    <row r="588">
      <c r="A588" t="inlineStr">
        <is>
          <t>29805236318</t>
        </is>
      </c>
      <c r="B588" t="inlineStr">
        <is>
          <t>隔日到貨🔥 ins韓風 手機殼吊飾 Airpods殼吊飾 手機殼掛飾 手機掛件 掛飾 手機吊飾 手機掛繩 掛繩</t>
        </is>
      </c>
      <c r="C588">
        <f>IMAGE("https://cf.shopee.tw/file/tw-11134207-7r98y-lxnourxm9mauf5_tn")</f>
        <v/>
      </c>
      <c r="D588" t="inlineStr">
        <is>
          <t>紅帽</t>
        </is>
      </c>
      <c r="E588" t="inlineStr">
        <is>
          <t>251190179422</t>
        </is>
      </c>
      <c r="F588">
        <f>IMAGE("https://cf.shopee.tw/file/tw-11134207-7r98u-lxnp66ot6ckwd0_tn")</f>
        <v/>
      </c>
    </row>
    <row r="589">
      <c r="A589" t="inlineStr">
        <is>
          <t>29805236318</t>
        </is>
      </c>
      <c r="B589" t="inlineStr">
        <is>
          <t>隔日到貨🔥 ins韓風 手機殼吊飾 Airpods殼吊飾 手機殼掛飾 手機掛件 掛飾 手機吊飾 手機掛繩 掛繩</t>
        </is>
      </c>
      <c r="C589">
        <f>IMAGE("https://cf.shopee.tw/file/tw-11134207-7r98y-lxnourxm9mauf5_tn")</f>
        <v/>
      </c>
      <c r="D589" t="inlineStr">
        <is>
          <t>領結</t>
        </is>
      </c>
      <c r="E589" t="inlineStr">
        <is>
          <t>251190179423</t>
        </is>
      </c>
      <c r="F589">
        <f>IMAGE("https://cf.shopee.tw/file/tw-11134207-7r98u-lxnp66ot7r5c10_tn")</f>
        <v/>
      </c>
    </row>
    <row r="590">
      <c r="A590" t="inlineStr">
        <is>
          <t>4011081861</t>
        </is>
      </c>
      <c r="B590" t="inlineStr">
        <is>
          <t>隔日到貨🔥 小熊棉襪 S1 女襪 小熊襪 長襪 中筒襪 襪子 純色棉襪 襪子女 女生襪子 女長襪 刺繡 熊熊襪</t>
        </is>
      </c>
      <c r="C590">
        <f>IMAGE("https://cf.shopee.tw/file/ca2acdfb19d5e0f7d6669681ca5dcf3d_tn")</f>
        <v/>
      </c>
      <c r="D590" t="inlineStr">
        <is>
          <t>1.深灰小熊(已停售)</t>
        </is>
      </c>
      <c r="E590" t="inlineStr"/>
      <c r="F590">
        <f>IMAGE("https://cf.shopee.tw/file/sg-11134201-22120-13bg7c4cfhlvd5_tn")</f>
        <v/>
      </c>
    </row>
    <row r="591">
      <c r="A591" t="inlineStr">
        <is>
          <t>4011081861</t>
        </is>
      </c>
      <c r="B591" t="inlineStr">
        <is>
          <t>隔日到貨🔥 小熊棉襪 S1 女襪 小熊襪 長襪 中筒襪 襪子 純色棉襪 襪子女 女生襪子 女長襪 刺繡 熊熊襪</t>
        </is>
      </c>
      <c r="C591">
        <f>IMAGE("https://cf.shopee.tw/file/ca2acdfb19d5e0f7d6669681ca5dcf3d_tn")</f>
        <v/>
      </c>
      <c r="D591" t="inlineStr">
        <is>
          <t>2.薑黃小熊</t>
        </is>
      </c>
      <c r="E591" t="inlineStr">
        <is>
          <t>11588286003</t>
        </is>
      </c>
      <c r="F591">
        <f>IMAGE("https://cf.shopee.tw/file/sg-11134201-22120-yejzug9cfhlvc2_tn")</f>
        <v/>
      </c>
    </row>
    <row r="592">
      <c r="A592" t="inlineStr">
        <is>
          <t>4011081861</t>
        </is>
      </c>
      <c r="B592" t="inlineStr">
        <is>
          <t>隔日到貨🔥 小熊棉襪 S1 女襪 小熊襪 長襪 中筒襪 襪子 純色棉襪 襪子女 女生襪子 女長襪 刺繡 熊熊襪</t>
        </is>
      </c>
      <c r="C592">
        <f>IMAGE("https://cf.shopee.tw/file/ca2acdfb19d5e0f7d6669681ca5dcf3d_tn")</f>
        <v/>
      </c>
      <c r="D592" t="inlineStr">
        <is>
          <t>3.淺灰小熊</t>
        </is>
      </c>
      <c r="E592" t="inlineStr">
        <is>
          <t>11588286004</t>
        </is>
      </c>
      <c r="F592">
        <f>IMAGE("https://cf.shopee.tw/file/sg-11134201-22120-rqxhajbdfhlveb_tn")</f>
        <v/>
      </c>
    </row>
    <row r="593">
      <c r="A593" t="inlineStr">
        <is>
          <t>4011081861</t>
        </is>
      </c>
      <c r="B593" t="inlineStr">
        <is>
          <t>隔日到貨🔥 小熊棉襪 S1 女襪 小熊襪 長襪 中筒襪 襪子 純色棉襪 襪子女 女生襪子 女長襪 刺繡 熊熊襪</t>
        </is>
      </c>
      <c r="C593">
        <f>IMAGE("https://cf.shopee.tw/file/ca2acdfb19d5e0f7d6669681ca5dcf3d_tn")</f>
        <v/>
      </c>
      <c r="D593" t="inlineStr">
        <is>
          <t>4.米白小熊</t>
        </is>
      </c>
      <c r="E593" t="inlineStr">
        <is>
          <t>11588286005</t>
        </is>
      </c>
      <c r="F593">
        <f>IMAGE("https://cf.shopee.tw/file/sg-11134201-22120-1nkgmaedfhlvad_tn")</f>
        <v/>
      </c>
    </row>
    <row r="594">
      <c r="A594" t="inlineStr">
        <is>
          <t>4011081861</t>
        </is>
      </c>
      <c r="B594" t="inlineStr">
        <is>
          <t>隔日到貨🔥 小熊棉襪 S1 女襪 小熊襪 長襪 中筒襪 襪子 純色棉襪 襪子女 女生襪子 女長襪 刺繡 熊熊襪</t>
        </is>
      </c>
      <c r="C594">
        <f>IMAGE("https://cf.shopee.tw/file/ca2acdfb19d5e0f7d6669681ca5dcf3d_tn")</f>
        <v/>
      </c>
      <c r="D594" t="inlineStr">
        <is>
          <t>5.粉色小熊</t>
        </is>
      </c>
      <c r="E594" t="inlineStr">
        <is>
          <t>11588286006</t>
        </is>
      </c>
      <c r="F594">
        <f>IMAGE("https://cf.shopee.tw/file/sg-11134201-22120-39a1xsmdfhlv48_tn")</f>
        <v/>
      </c>
    </row>
    <row r="595">
      <c r="A595" t="inlineStr">
        <is>
          <t>4011081861</t>
        </is>
      </c>
      <c r="B595" t="inlineStr">
        <is>
          <t>隔日到貨🔥 小熊棉襪 S1 女襪 小熊襪 長襪 中筒襪 襪子 純色棉襪 襪子女 女生襪子 女長襪 刺繡 熊熊襪</t>
        </is>
      </c>
      <c r="C595">
        <f>IMAGE("https://cf.shopee.tw/file/ca2acdfb19d5e0f7d6669681ca5dcf3d_tn")</f>
        <v/>
      </c>
      <c r="D595" t="inlineStr">
        <is>
          <t>6.咖啡小熊</t>
        </is>
      </c>
      <c r="E595" t="inlineStr">
        <is>
          <t>11588286007</t>
        </is>
      </c>
      <c r="F595">
        <f>IMAGE("https://cf.shopee.tw/file/sg-11134201-22120-ttrmlspdfhlv97_tn")</f>
        <v/>
      </c>
    </row>
    <row r="596">
      <c r="A596" t="inlineStr">
        <is>
          <t>4011081861</t>
        </is>
      </c>
      <c r="B596" t="inlineStr">
        <is>
          <t>隔日到貨🔥 小熊棉襪 S1 女襪 小熊襪 長襪 中筒襪 襪子 純色棉襪 襪子女 女生襪子 女長襪 刺繡 熊熊襪</t>
        </is>
      </c>
      <c r="C596">
        <f>IMAGE("https://cf.shopee.tw/file/ca2acdfb19d5e0f7d6669681ca5dcf3d_tn")</f>
        <v/>
      </c>
      <c r="D596" t="inlineStr">
        <is>
          <t>7.綠色小熊</t>
        </is>
      </c>
      <c r="E596" t="inlineStr">
        <is>
          <t>11588286008</t>
        </is>
      </c>
      <c r="F596">
        <f>IMAGE("https://cf.shopee.tw/file/sg-11134201-22120-thvpvgsdfhlv0c_tn")</f>
        <v/>
      </c>
    </row>
    <row r="597">
      <c r="A597" t="inlineStr">
        <is>
          <t>4011081861</t>
        </is>
      </c>
      <c r="B597" t="inlineStr">
        <is>
          <t>隔日到貨🔥 小熊棉襪 S1 女襪 小熊襪 長襪 中筒襪 襪子 純色棉襪 襪子女 女生襪子 女長襪 刺繡 熊熊襪</t>
        </is>
      </c>
      <c r="C597">
        <f>IMAGE("https://cf.shopee.tw/file/ca2acdfb19d5e0f7d6669681ca5dcf3d_tn")</f>
        <v/>
      </c>
      <c r="D597" t="inlineStr">
        <is>
          <t>8.紅色小熊</t>
        </is>
      </c>
      <c r="E597" t="inlineStr">
        <is>
          <t>11588286009</t>
        </is>
      </c>
      <c r="F597">
        <f>IMAGE("https://cf.shopee.tw/file/sg-11134201-22120-b24s0hwdfhlv97_tn")</f>
        <v/>
      </c>
    </row>
    <row r="598">
      <c r="A598" t="inlineStr">
        <is>
          <t>4011081861</t>
        </is>
      </c>
      <c r="B598" t="inlineStr">
        <is>
          <t>隔日到貨🔥 小熊棉襪 S1 女襪 小熊襪 長襪 中筒襪 襪子 純色棉襪 襪子女 女生襪子 女長襪 刺繡 熊熊襪</t>
        </is>
      </c>
      <c r="C598">
        <f>IMAGE("https://cf.shopee.tw/file/ca2acdfb19d5e0f7d6669681ca5dcf3d_tn")</f>
        <v/>
      </c>
      <c r="D598" t="inlineStr">
        <is>
          <t>9.藍色小熊</t>
        </is>
      </c>
      <c r="E598" t="inlineStr">
        <is>
          <t>11588286010</t>
        </is>
      </c>
      <c r="F598">
        <f>IMAGE("https://cf.shopee.tw/file/sg-11134201-22120-uu3d6v1dfhlv32_tn")</f>
        <v/>
      </c>
    </row>
    <row r="599">
      <c r="A599" t="inlineStr">
        <is>
          <t>4011081861</t>
        </is>
      </c>
      <c r="B599" t="inlineStr">
        <is>
          <t>隔日到貨🔥 小熊棉襪 S1 女襪 小熊襪 長襪 中筒襪 襪子 純色棉襪 襪子女 女生襪子 女長襪 刺繡 熊熊襪</t>
        </is>
      </c>
      <c r="C599">
        <f>IMAGE("https://cf.shopee.tw/file/ca2acdfb19d5e0f7d6669681ca5dcf3d_tn")</f>
        <v/>
      </c>
      <c r="D599" t="inlineStr">
        <is>
          <t>10.黑色小熊</t>
        </is>
      </c>
      <c r="E599" t="inlineStr">
        <is>
          <t>11588286011</t>
        </is>
      </c>
      <c r="F599">
        <f>IMAGE("https://cf.shopee.tw/file/sg-11134201-22120-7wea025dfhlv40_tn")</f>
        <v/>
      </c>
    </row>
    <row r="600">
      <c r="A600" t="inlineStr">
        <is>
          <t>4011081861</t>
        </is>
      </c>
      <c r="B600" t="inlineStr">
        <is>
          <t>隔日到貨🔥 小熊棉襪 S1 女襪 小熊襪 長襪 中筒襪 襪子 純色棉襪 襪子女 女生襪子 女長襪 刺繡 熊熊襪</t>
        </is>
      </c>
      <c r="C600">
        <f>IMAGE("https://cf.shopee.tw/file/ca2acdfb19d5e0f7d6669681ca5dcf3d_tn")</f>
        <v/>
      </c>
      <c r="D600" t="inlineStr">
        <is>
          <t>11.深棕小熊</t>
        </is>
      </c>
      <c r="E600" t="inlineStr"/>
      <c r="F600">
        <f>IMAGE("https://cf.shopee.tw/file/tw-11134207-7ras8-m3iwrbk98kfh2f_tn")</f>
        <v/>
      </c>
    </row>
    <row r="601">
      <c r="A601" t="inlineStr">
        <is>
          <t>18344672033</t>
        </is>
      </c>
      <c r="B601" t="inlineStr">
        <is>
          <t>隔日到貨🔥 iPhone 充電線 14 13 12 11 Lightning 蘋果充電線 Type-C 充電線 快充線</t>
        </is>
      </c>
      <c r="C601">
        <f>IMAGE("https://cf.shopee.tw/file/tw-11134207-7r98s-lmebpn1vcwih93_tn")</f>
        <v/>
      </c>
      <c r="D601" t="inlineStr">
        <is>
          <t>Type-A to Lightning,20公分</t>
        </is>
      </c>
      <c r="E601" t="inlineStr">
        <is>
          <t>192584424303</t>
        </is>
      </c>
      <c r="F601">
        <f>IMAGE("https://cf.shopee.tw/file/tw-11134207-7r98s-lmebua1p0qe1c4_tn")</f>
        <v/>
      </c>
    </row>
    <row r="602">
      <c r="A602" t="inlineStr">
        <is>
          <t>18344672033</t>
        </is>
      </c>
      <c r="B602" t="inlineStr">
        <is>
          <t>隔日到貨🔥 iPhone 充電線 14 13 12 11 Lightning 蘋果充電線 Type-C 充電線 快充線</t>
        </is>
      </c>
      <c r="C602">
        <f>IMAGE("https://cf.shopee.tw/file/tw-11134207-7r98s-lmebpn1vcwih93_tn")</f>
        <v/>
      </c>
      <c r="D602" t="inlineStr">
        <is>
          <t>Type-A to Lightning,50公分</t>
        </is>
      </c>
      <c r="E602" t="inlineStr">
        <is>
          <t>182258650416</t>
        </is>
      </c>
      <c r="F602">
        <f>IMAGE("https://cf.shopee.tw/file/tw-11134207-7r98s-lmebua1p0qe1c4_tn")</f>
        <v/>
      </c>
    </row>
    <row r="603">
      <c r="A603" t="inlineStr">
        <is>
          <t>18344672033</t>
        </is>
      </c>
      <c r="B603" t="inlineStr">
        <is>
          <t>隔日到貨🔥 iPhone 充電線 14 13 12 11 Lightning 蘋果充電線 Type-C 充電線 快充線</t>
        </is>
      </c>
      <c r="C603">
        <f>IMAGE("https://cf.shopee.tw/file/tw-11134207-7r98s-lmebpn1vcwih93_tn")</f>
        <v/>
      </c>
      <c r="D603" t="inlineStr">
        <is>
          <t>Type-A to Lightning,100公分</t>
        </is>
      </c>
      <c r="E603" t="inlineStr">
        <is>
          <t>182258650417</t>
        </is>
      </c>
      <c r="F603">
        <f>IMAGE("https://cf.shopee.tw/file/tw-11134207-7r98s-lmebua1p0qe1c4_tn")</f>
        <v/>
      </c>
    </row>
    <row r="604">
      <c r="A604" t="inlineStr">
        <is>
          <t>18344672033</t>
        </is>
      </c>
      <c r="B604" t="inlineStr">
        <is>
          <t>隔日到貨🔥 iPhone 充電線 14 13 12 11 Lightning 蘋果充電線 Type-C 充電線 快充線</t>
        </is>
      </c>
      <c r="C604">
        <f>IMAGE("https://cf.shopee.tw/file/tw-11134207-7r98s-lmebpn1vcwih93_tn")</f>
        <v/>
      </c>
      <c r="D604" t="inlineStr">
        <is>
          <t>Type-A to Lightning,200公分</t>
        </is>
      </c>
      <c r="E604" t="inlineStr">
        <is>
          <t>182258650418</t>
        </is>
      </c>
      <c r="F604">
        <f>IMAGE("https://cf.shopee.tw/file/tw-11134207-7r98s-lmebua1p0qe1c4_tn")</f>
        <v/>
      </c>
    </row>
    <row r="605">
      <c r="A605" t="inlineStr">
        <is>
          <t>18344672033</t>
        </is>
      </c>
      <c r="B605" t="inlineStr">
        <is>
          <t>隔日到貨🔥 iPhone 充電線 14 13 12 11 Lightning 蘋果充電線 Type-C 充電線 快充線</t>
        </is>
      </c>
      <c r="C605">
        <f>IMAGE("https://cf.shopee.tw/file/tw-11134207-7r98s-lmebpn1vcwih93_tn")</f>
        <v/>
      </c>
      <c r="D605" t="inlineStr">
        <is>
          <t>Type-C to Lightning,20公分</t>
        </is>
      </c>
      <c r="E605" t="inlineStr">
        <is>
          <t>192584424302</t>
        </is>
      </c>
      <c r="F605">
        <f>IMAGE("https://cf.shopee.tw/file/tw-11134207-7r98q-lmebypyiywexd3_tn")</f>
        <v/>
      </c>
    </row>
    <row r="606">
      <c r="A606" t="inlineStr">
        <is>
          <t>18344672033</t>
        </is>
      </c>
      <c r="B606" t="inlineStr">
        <is>
          <t>隔日到貨🔥 iPhone 充電線 14 13 12 11 Lightning 蘋果充電線 Type-C 充電線 快充線</t>
        </is>
      </c>
      <c r="C606">
        <f>IMAGE("https://cf.shopee.tw/file/tw-11134207-7r98s-lmebpn1vcwih93_tn")</f>
        <v/>
      </c>
      <c r="D606" t="inlineStr">
        <is>
          <t>Type-C to Lightning,50公分</t>
        </is>
      </c>
      <c r="E606" t="inlineStr">
        <is>
          <t>182258650412</t>
        </is>
      </c>
      <c r="F606">
        <f>IMAGE("https://cf.shopee.tw/file/tw-11134207-7r98q-lmebypyiywexd3_tn")</f>
        <v/>
      </c>
    </row>
    <row r="607">
      <c r="A607" t="inlineStr">
        <is>
          <t>18344672033</t>
        </is>
      </c>
      <c r="B607" t="inlineStr">
        <is>
          <t>隔日到貨🔥 iPhone 充電線 14 13 12 11 Lightning 蘋果充電線 Type-C 充電線 快充線</t>
        </is>
      </c>
      <c r="C607">
        <f>IMAGE("https://cf.shopee.tw/file/tw-11134207-7r98s-lmebpn1vcwih93_tn")</f>
        <v/>
      </c>
      <c r="D607" t="inlineStr">
        <is>
          <t>Type-C to Lightning,100公分</t>
        </is>
      </c>
      <c r="E607" t="inlineStr">
        <is>
          <t>182258650413</t>
        </is>
      </c>
      <c r="F607">
        <f>IMAGE("https://cf.shopee.tw/file/tw-11134207-7r98q-lmebypyiywexd3_tn")</f>
        <v/>
      </c>
    </row>
    <row r="608">
      <c r="A608" t="inlineStr">
        <is>
          <t>18344672033</t>
        </is>
      </c>
      <c r="B608" t="inlineStr">
        <is>
          <t>隔日到貨🔥 iPhone 充電線 14 13 12 11 Lightning 蘋果充電線 Type-C 充電線 快充線</t>
        </is>
      </c>
      <c r="C608">
        <f>IMAGE("https://cf.shopee.tw/file/tw-11134207-7r98s-lmebpn1vcwih93_tn")</f>
        <v/>
      </c>
      <c r="D608" t="inlineStr">
        <is>
          <t>Type-C to Lightning,200公分</t>
        </is>
      </c>
      <c r="E608" t="inlineStr">
        <is>
          <t>182258650414</t>
        </is>
      </c>
      <c r="F608">
        <f>IMAGE("https://cf.shopee.tw/file/tw-11134207-7r98q-lmebypyiywexd3_tn")</f>
        <v/>
      </c>
    </row>
    <row r="609">
      <c r="A609" t="inlineStr">
        <is>
          <t>20565196685</t>
        </is>
      </c>
      <c r="B609" t="inlineStr">
        <is>
          <t>隔日到貨🔥 點子紗襪 S21 純色棉襪 素色襪 女襪 長襪 純色 棉襪 中筒襪 襪子 韓風 女生襪子 襪子</t>
        </is>
      </c>
      <c r="C609">
        <f>IMAGE("https://cf.shopee.tw/file/tw-11134207-7rasg-m0lg0o37o4x3ba_tn")</f>
        <v/>
      </c>
      <c r="D609" t="inlineStr">
        <is>
          <t>黑色</t>
        </is>
      </c>
      <c r="E609" t="inlineStr">
        <is>
          <t>220361590447</t>
        </is>
      </c>
      <c r="F609">
        <f>IMAGE("https://cf.shopee.tw/file/sg-11134201-22110-prvjj15ezckv5a_tn")</f>
        <v/>
      </c>
    </row>
    <row r="610">
      <c r="A610" t="inlineStr">
        <is>
          <t>20565196685</t>
        </is>
      </c>
      <c r="B610" t="inlineStr">
        <is>
          <t>隔日到貨🔥 點子紗襪 S21 純色棉襪 素色襪 女襪 長襪 純色 棉襪 中筒襪 襪子 韓風 女生襪子 襪子</t>
        </is>
      </c>
      <c r="C610">
        <f>IMAGE("https://cf.shopee.tw/file/tw-11134207-7rasg-m0lg0o37o4x3ba_tn")</f>
        <v/>
      </c>
      <c r="D610" t="inlineStr">
        <is>
          <t>甜檸檬黃</t>
        </is>
      </c>
      <c r="E610" t="inlineStr">
        <is>
          <t>220361590448</t>
        </is>
      </c>
      <c r="F610">
        <f>IMAGE("https://cf.shopee.tw/file/sg-11134201-22110-ndrc21ku1ckv1e_tn")</f>
        <v/>
      </c>
    </row>
    <row r="611">
      <c r="A611" t="inlineStr">
        <is>
          <t>20565196685</t>
        </is>
      </c>
      <c r="B611" t="inlineStr">
        <is>
          <t>隔日到貨🔥 點子紗襪 S21 純色棉襪 素色襪 女襪 長襪 純色 棉襪 中筒襪 襪子 韓風 女生襪子 襪子</t>
        </is>
      </c>
      <c r="C611">
        <f>IMAGE("https://cf.shopee.tw/file/tw-11134207-7rasg-m0lg0o37o4x3ba_tn")</f>
        <v/>
      </c>
      <c r="D611" t="inlineStr">
        <is>
          <t>奶油霜白</t>
        </is>
      </c>
      <c r="E611" t="inlineStr">
        <is>
          <t>220361590449</t>
        </is>
      </c>
      <c r="F611">
        <f>IMAGE("https://cf.shopee.tw/file/sg-11134201-22110-pfydf8su1ckvc8_tn")</f>
        <v/>
      </c>
    </row>
    <row r="612">
      <c r="A612" t="inlineStr">
        <is>
          <t>20565196685</t>
        </is>
      </c>
      <c r="B612" t="inlineStr">
        <is>
          <t>隔日到貨🔥 點子紗襪 S21 純色棉襪 素色襪 女襪 長襪 純色 棉襪 中筒襪 襪子 韓風 女生襪子 襪子</t>
        </is>
      </c>
      <c r="C612">
        <f>IMAGE("https://cf.shopee.tw/file/tw-11134207-7rasg-m0lg0o37o4x3ba_tn")</f>
        <v/>
      </c>
      <c r="D612" t="inlineStr">
        <is>
          <t>風鈴紫</t>
        </is>
      </c>
      <c r="E612" t="inlineStr"/>
      <c r="F612">
        <f>IMAGE("https://cf.shopee.tw/file/sg-11134201-22110-3cky4ayu1ckvbf_tn")</f>
        <v/>
      </c>
    </row>
    <row r="613">
      <c r="A613" t="inlineStr">
        <is>
          <t>20565196685</t>
        </is>
      </c>
      <c r="B613" t="inlineStr">
        <is>
          <t>隔日到貨🔥 點子紗襪 S21 純色棉襪 素色襪 女襪 長襪 純色 棉襪 中筒襪 襪子 韓風 女生襪子 襪子</t>
        </is>
      </c>
      <c r="C613">
        <f>IMAGE("https://cf.shopee.tw/file/tw-11134207-7rasg-m0lg0o37o4x3ba_tn")</f>
        <v/>
      </c>
      <c r="D613" t="inlineStr">
        <is>
          <t>砂灰色</t>
        </is>
      </c>
      <c r="E613" t="inlineStr">
        <is>
          <t>220361590451</t>
        </is>
      </c>
      <c r="F613">
        <f>IMAGE("https://cf.shopee.tw/file/sg-11134201-22110-7yef244u1ckv6a_tn")</f>
        <v/>
      </c>
    </row>
    <row r="614">
      <c r="A614" t="inlineStr">
        <is>
          <t>20565196685</t>
        </is>
      </c>
      <c r="B614" t="inlineStr">
        <is>
          <t>隔日到貨🔥 點子紗襪 S21 純色棉襪 素色襪 女襪 長襪 純色 棉襪 中筒襪 襪子 韓風 女生襪子 襪子</t>
        </is>
      </c>
      <c r="C614">
        <f>IMAGE("https://cf.shopee.tw/file/tw-11134207-7rasg-m0lg0o37o4x3ba_tn")</f>
        <v/>
      </c>
      <c r="D614" t="inlineStr">
        <is>
          <t>泡菜綠</t>
        </is>
      </c>
      <c r="E614" t="inlineStr">
        <is>
          <t>220361590445</t>
        </is>
      </c>
      <c r="F614">
        <f>IMAGE("https://cf.shopee.tw/file/sg-11134201-22110-vfmgt78u1ckv1d_tn")</f>
        <v/>
      </c>
    </row>
    <row r="615">
      <c r="A615" t="inlineStr">
        <is>
          <t>20565196685</t>
        </is>
      </c>
      <c r="B615" t="inlineStr">
        <is>
          <t>隔日到貨🔥 點子紗襪 S21 純色棉襪 素色襪 女襪 長襪 純色 棉襪 中筒襪 襪子 韓風 女生襪子 襪子</t>
        </is>
      </c>
      <c r="C615">
        <f>IMAGE("https://cf.shopee.tw/file/tw-11134207-7rasg-m0lg0o37o4x3ba_tn")</f>
        <v/>
      </c>
      <c r="D615" t="inlineStr">
        <is>
          <t>玻璃藍</t>
        </is>
      </c>
      <c r="E615" t="inlineStr">
        <is>
          <t>220361590446</t>
        </is>
      </c>
      <c r="F615">
        <f>IMAGE("https://cf.shopee.tw/file/sg-11134201-22110-38ei60bv1ckvc3_tn")</f>
        <v/>
      </c>
    </row>
    <row r="616">
      <c r="A616" t="inlineStr">
        <is>
          <t>25592099386</t>
        </is>
      </c>
      <c r="B616" t="inlineStr">
        <is>
          <t>隔日到貨🔥 日系字母素色內褲 女生無痕內褲 舒適內褲 冰絲 內褲 冰絲涼感 緊身 運動 女內褲 無痕內褲 暑假</t>
        </is>
      </c>
      <c r="C616">
        <f>IMAGE("https://cf.shopee.tw/file/tw-11134207-7rbka-m6v3vu1kxzjzbb_tn")</f>
        <v/>
      </c>
      <c r="D616" t="inlineStr">
        <is>
          <t>黑色,M</t>
        </is>
      </c>
      <c r="E616" t="inlineStr">
        <is>
          <t>188265663711</t>
        </is>
      </c>
      <c r="F616">
        <f>IMAGE("https://cf.shopee.tw/file/tw-11134207-7rbk6-m6v3zf99w7hg00_tn")</f>
        <v/>
      </c>
    </row>
    <row r="617">
      <c r="A617" t="inlineStr">
        <is>
          <t>25592099386</t>
        </is>
      </c>
      <c r="B617" t="inlineStr">
        <is>
          <t>隔日到貨🔥 日系字母素色內褲 女生無痕內褲 舒適內褲 冰絲 內褲 冰絲涼感 緊身 運動 女內褲 無痕內褲 暑假</t>
        </is>
      </c>
      <c r="C617">
        <f>IMAGE("https://cf.shopee.tw/file/tw-11134207-7rbka-m6v3vu1kxzjzbb_tn")</f>
        <v/>
      </c>
      <c r="D617" t="inlineStr">
        <is>
          <t>黑色,L</t>
        </is>
      </c>
      <c r="E617" t="inlineStr">
        <is>
          <t>188265663712</t>
        </is>
      </c>
      <c r="F617">
        <f>IMAGE("https://cf.shopee.tw/file/tw-11134207-7rbk6-m6v3zf99w7hg00_tn")</f>
        <v/>
      </c>
    </row>
    <row r="618">
      <c r="A618" t="inlineStr">
        <is>
          <t>25592099386</t>
        </is>
      </c>
      <c r="B618" t="inlineStr">
        <is>
          <t>隔日到貨🔥 日系字母素色內褲 女生無痕內褲 舒適內褲 冰絲 內褲 冰絲涼感 緊身 運動 女內褲 無痕內褲 暑假</t>
        </is>
      </c>
      <c r="C618">
        <f>IMAGE("https://cf.shopee.tw/file/tw-11134207-7rbka-m6v3vu1kxzjzbb_tn")</f>
        <v/>
      </c>
      <c r="D618" t="inlineStr">
        <is>
          <t>黑色,XL</t>
        </is>
      </c>
      <c r="E618" t="inlineStr">
        <is>
          <t>188265663713</t>
        </is>
      </c>
      <c r="F618">
        <f>IMAGE("https://cf.shopee.tw/file/tw-11134207-7rbk6-m6v3zf99w7hg00_tn")</f>
        <v/>
      </c>
    </row>
    <row r="619">
      <c r="A619" t="inlineStr">
        <is>
          <t>25592099386</t>
        </is>
      </c>
      <c r="B619" t="inlineStr">
        <is>
          <t>隔日到貨🔥 日系字母素色內褲 女生無痕內褲 舒適內褲 冰絲 內褲 冰絲涼感 緊身 運動 女內褲 無痕內褲 暑假</t>
        </is>
      </c>
      <c r="C619">
        <f>IMAGE("https://cf.shopee.tw/file/tw-11134207-7rbka-m6v3vu1kxzjzbb_tn")</f>
        <v/>
      </c>
      <c r="D619" t="inlineStr">
        <is>
          <t>白色,M</t>
        </is>
      </c>
      <c r="E619" t="inlineStr">
        <is>
          <t>188265663714</t>
        </is>
      </c>
      <c r="F619">
        <f>IMAGE("https://cf.shopee.tw/file/tw-11134207-7rbk9-m6v3zq65vuuc92_tn")</f>
        <v/>
      </c>
    </row>
    <row r="620">
      <c r="A620" t="inlineStr">
        <is>
          <t>25592099386</t>
        </is>
      </c>
      <c r="B620" t="inlineStr">
        <is>
          <t>隔日到貨🔥 日系字母素色內褲 女生無痕內褲 舒適內褲 冰絲 內褲 冰絲涼感 緊身 運動 女內褲 無痕內褲 暑假</t>
        </is>
      </c>
      <c r="C620">
        <f>IMAGE("https://cf.shopee.tw/file/tw-11134207-7rbka-m6v3vu1kxzjzbb_tn")</f>
        <v/>
      </c>
      <c r="D620" t="inlineStr">
        <is>
          <t>白色,L</t>
        </is>
      </c>
      <c r="E620" t="inlineStr">
        <is>
          <t>188265663715</t>
        </is>
      </c>
      <c r="F620">
        <f>IMAGE("https://cf.shopee.tw/file/tw-11134207-7rbk9-m6v3zq65vuuc92_tn")</f>
        <v/>
      </c>
    </row>
    <row r="621">
      <c r="A621" t="inlineStr">
        <is>
          <t>25592099386</t>
        </is>
      </c>
      <c r="B621" t="inlineStr">
        <is>
          <t>隔日到貨🔥 日系字母素色內褲 女生無痕內褲 舒適內褲 冰絲 內褲 冰絲涼感 緊身 運動 女內褲 無痕內褲 暑假</t>
        </is>
      </c>
      <c r="C621">
        <f>IMAGE("https://cf.shopee.tw/file/tw-11134207-7rbka-m6v3vu1kxzjzbb_tn")</f>
        <v/>
      </c>
      <c r="D621" t="inlineStr">
        <is>
          <t>白色,XL</t>
        </is>
      </c>
      <c r="E621" t="inlineStr">
        <is>
          <t>188265663716</t>
        </is>
      </c>
      <c r="F621">
        <f>IMAGE("https://cf.shopee.tw/file/tw-11134207-7rbk9-m6v3zq65vuuc92_tn")</f>
        <v/>
      </c>
    </row>
    <row r="622">
      <c r="A622" t="inlineStr">
        <is>
          <t>25592099386</t>
        </is>
      </c>
      <c r="B622" t="inlineStr">
        <is>
          <t>隔日到貨🔥 日系字母素色內褲 女生無痕內褲 舒適內褲 冰絲 內褲 冰絲涼感 緊身 運動 女內褲 無痕內褲 暑假</t>
        </is>
      </c>
      <c r="C622">
        <f>IMAGE("https://cf.shopee.tw/file/tw-11134207-7rbka-m6v3vu1kxzjzbb_tn")</f>
        <v/>
      </c>
      <c r="D622" t="inlineStr">
        <is>
          <t>灰色,M</t>
        </is>
      </c>
      <c r="E622" t="inlineStr">
        <is>
          <t>188265663717</t>
        </is>
      </c>
      <c r="F622">
        <f>IMAGE("https://cf.shopee.tw/file/tw-11134207-7rbkd-m6v3zrcm5q9rf5_tn")</f>
        <v/>
      </c>
    </row>
    <row r="623">
      <c r="A623" t="inlineStr">
        <is>
          <t>25592099386</t>
        </is>
      </c>
      <c r="B623" t="inlineStr">
        <is>
          <t>隔日到貨🔥 日系字母素色內褲 女生無痕內褲 舒適內褲 冰絲 內褲 冰絲涼感 緊身 運動 女內褲 無痕內褲 暑假</t>
        </is>
      </c>
      <c r="C623">
        <f>IMAGE("https://cf.shopee.tw/file/tw-11134207-7rbka-m6v3vu1kxzjzbb_tn")</f>
        <v/>
      </c>
      <c r="D623" t="inlineStr">
        <is>
          <t>灰色,L</t>
        </is>
      </c>
      <c r="E623" t="inlineStr">
        <is>
          <t>188265663718</t>
        </is>
      </c>
      <c r="F623">
        <f>IMAGE("https://cf.shopee.tw/file/tw-11134207-7rbkd-m6v3zrcm5q9rf5_tn")</f>
        <v/>
      </c>
    </row>
    <row r="624">
      <c r="A624" t="inlineStr">
        <is>
          <t>25592099386</t>
        </is>
      </c>
      <c r="B624" t="inlineStr">
        <is>
          <t>隔日到貨🔥 日系字母素色內褲 女生無痕內褲 舒適內褲 冰絲 內褲 冰絲涼感 緊身 運動 女內褲 無痕內褲 暑假</t>
        </is>
      </c>
      <c r="C624">
        <f>IMAGE("https://cf.shopee.tw/file/tw-11134207-7rbka-m6v3vu1kxzjzbb_tn")</f>
        <v/>
      </c>
      <c r="D624" t="inlineStr">
        <is>
          <t>灰色,XL</t>
        </is>
      </c>
      <c r="E624" t="inlineStr">
        <is>
          <t>188265663719</t>
        </is>
      </c>
      <c r="F624">
        <f>IMAGE("https://cf.shopee.tw/file/tw-11134207-7rbkd-m6v3zrcm5q9rf5_tn")</f>
        <v/>
      </c>
    </row>
    <row r="625">
      <c r="A625" t="inlineStr">
        <is>
          <t>25592099386</t>
        </is>
      </c>
      <c r="B625" t="inlineStr">
        <is>
          <t>隔日到貨🔥 日系字母素色內褲 女生無痕內褲 舒適內褲 冰絲 內褲 冰絲涼感 緊身 運動 女內褲 無痕內褲 暑假</t>
        </is>
      </c>
      <c r="C625">
        <f>IMAGE("https://cf.shopee.tw/file/tw-11134207-7rbka-m6v3vu1kxzjzbb_tn")</f>
        <v/>
      </c>
      <c r="D625" t="inlineStr">
        <is>
          <t>粉色,M</t>
        </is>
      </c>
      <c r="E625" t="inlineStr">
        <is>
          <t>188265663720</t>
        </is>
      </c>
      <c r="F625">
        <f>IMAGE("https://cf.shopee.tw/file/tw-11134207-7rbke-m6v3zro9ooh088_tn")</f>
        <v/>
      </c>
    </row>
    <row r="626">
      <c r="A626" t="inlineStr">
        <is>
          <t>25592099386</t>
        </is>
      </c>
      <c r="B626" t="inlineStr">
        <is>
          <t>隔日到貨🔥 日系字母素色內褲 女生無痕內褲 舒適內褲 冰絲 內褲 冰絲涼感 緊身 運動 女內褲 無痕內褲 暑假</t>
        </is>
      </c>
      <c r="C626">
        <f>IMAGE("https://cf.shopee.tw/file/tw-11134207-7rbka-m6v3vu1kxzjzbb_tn")</f>
        <v/>
      </c>
      <c r="D626" t="inlineStr">
        <is>
          <t>粉色,L</t>
        </is>
      </c>
      <c r="E626" t="inlineStr">
        <is>
          <t>188265663721</t>
        </is>
      </c>
      <c r="F626">
        <f>IMAGE("https://cf.shopee.tw/file/tw-11134207-7rbke-m6v3zro9ooh088_tn")</f>
        <v/>
      </c>
    </row>
    <row r="627">
      <c r="A627" t="inlineStr">
        <is>
          <t>25592099386</t>
        </is>
      </c>
      <c r="B627" t="inlineStr">
        <is>
          <t>隔日到貨🔥 日系字母素色內褲 女生無痕內褲 舒適內褲 冰絲 內褲 冰絲涼感 緊身 運動 女內褲 無痕內褲 暑假</t>
        </is>
      </c>
      <c r="C627">
        <f>IMAGE("https://cf.shopee.tw/file/tw-11134207-7rbka-m6v3vu1kxzjzbb_tn")</f>
        <v/>
      </c>
      <c r="D627" t="inlineStr">
        <is>
          <t>粉色,XL</t>
        </is>
      </c>
      <c r="E627" t="inlineStr">
        <is>
          <t>188265663722</t>
        </is>
      </c>
      <c r="F627">
        <f>IMAGE("https://cf.shopee.tw/file/tw-11134207-7rbke-m6v3zro9ooh088_tn")</f>
        <v/>
      </c>
    </row>
    <row r="628">
      <c r="A628" t="inlineStr">
        <is>
          <t>25592099386</t>
        </is>
      </c>
      <c r="B628" t="inlineStr">
        <is>
          <t>隔日到貨🔥 日系字母素色內褲 女生無痕內褲 舒適內褲 冰絲 內褲 冰絲涼感 緊身 運動 女內褲 無痕內褲 暑假</t>
        </is>
      </c>
      <c r="C628">
        <f>IMAGE("https://cf.shopee.tw/file/tw-11134207-7rbka-m6v3vu1kxzjzbb_tn")</f>
        <v/>
      </c>
      <c r="D628" t="inlineStr">
        <is>
          <t>條紋,M</t>
        </is>
      </c>
      <c r="E628" t="inlineStr">
        <is>
          <t>188265663723</t>
        </is>
      </c>
      <c r="F628">
        <f>IMAGE("https://cf.shopee.tw/file/tw-11134207-7rbk1-m6v3ztqco9j30a_tn")</f>
        <v/>
      </c>
    </row>
    <row r="629">
      <c r="A629" t="inlineStr">
        <is>
          <t>25592099386</t>
        </is>
      </c>
      <c r="B629" t="inlineStr">
        <is>
          <t>隔日到貨🔥 日系字母素色內褲 女生無痕內褲 舒適內褲 冰絲 內褲 冰絲涼感 緊身 運動 女內褲 無痕內褲 暑假</t>
        </is>
      </c>
      <c r="C629">
        <f>IMAGE("https://cf.shopee.tw/file/tw-11134207-7rbka-m6v3vu1kxzjzbb_tn")</f>
        <v/>
      </c>
      <c r="D629" t="inlineStr">
        <is>
          <t>條紋,L</t>
        </is>
      </c>
      <c r="E629" t="inlineStr">
        <is>
          <t>188265663724</t>
        </is>
      </c>
      <c r="F629">
        <f>IMAGE("https://cf.shopee.tw/file/tw-11134207-7rbk1-m6v3ztqco9j30a_tn")</f>
        <v/>
      </c>
    </row>
    <row r="630">
      <c r="A630" t="inlineStr">
        <is>
          <t>25592099386</t>
        </is>
      </c>
      <c r="B630" t="inlineStr">
        <is>
          <t>隔日到貨🔥 日系字母素色內褲 女生無痕內褲 舒適內褲 冰絲 內褲 冰絲涼感 緊身 運動 女內褲 無痕內褲 暑假</t>
        </is>
      </c>
      <c r="C630">
        <f>IMAGE("https://cf.shopee.tw/file/tw-11134207-7rbka-m6v3vu1kxzjzbb_tn")</f>
        <v/>
      </c>
      <c r="D630" t="inlineStr">
        <is>
          <t>條紋,XL</t>
        </is>
      </c>
      <c r="E630" t="inlineStr">
        <is>
          <t>188265663725</t>
        </is>
      </c>
      <c r="F630">
        <f>IMAGE("https://cf.shopee.tw/file/tw-11134207-7rbk1-m6v3ztqco9j30a_tn")</f>
        <v/>
      </c>
    </row>
    <row r="631">
      <c r="A631" t="inlineStr">
        <is>
          <t>24242091907</t>
        </is>
      </c>
      <c r="B631" t="inlineStr">
        <is>
          <t>隔日到貨🔥 iPhone 手機殼 17 16 15 14 pro 13 12 11 XS XR X 保護殼 軟殼 蘋果</t>
        </is>
      </c>
      <c r="C631">
        <f>IMAGE("https://cf.shopee.tw/file/tw-11134207-7rbkb-m6uos0mc4q6w76_tn")</f>
        <v/>
      </c>
      <c r="D631" t="inlineStr">
        <is>
          <t>鏡面愛心,15 Plus</t>
        </is>
      </c>
      <c r="E631" t="inlineStr">
        <is>
          <t>188264743031</t>
        </is>
      </c>
      <c r="F631">
        <f>IMAGE("https://cf.shopee.tw/file/tw-11134207-7rbkb-m6uos0mc4q6w76_tn")</f>
        <v/>
      </c>
    </row>
    <row r="632">
      <c r="A632" t="inlineStr">
        <is>
          <t>24242091907</t>
        </is>
      </c>
      <c r="B632" t="inlineStr">
        <is>
          <t>隔日到貨🔥 iPhone 手機殼 17 16 15 14 pro 13 12 11 XS XR X 保護殼 軟殼 蘋果</t>
        </is>
      </c>
      <c r="C632">
        <f>IMAGE("https://cf.shopee.tw/file/tw-11134207-7rbkb-m6uos0mc4q6w76_tn")</f>
        <v/>
      </c>
      <c r="D632" t="inlineStr">
        <is>
          <t>鏡面愛心,7/8/SE2/SE3</t>
        </is>
      </c>
      <c r="E632" t="inlineStr">
        <is>
          <t>188264743038</t>
        </is>
      </c>
      <c r="F632">
        <f>IMAGE("https://cf.shopee.tw/file/tw-11134207-7rbkb-m6uos0mc4q6w76_tn")</f>
        <v/>
      </c>
    </row>
    <row r="633">
      <c r="A633" t="inlineStr">
        <is>
          <t>24242091907</t>
        </is>
      </c>
      <c r="B633" t="inlineStr">
        <is>
          <t>隔日到貨🔥 iPhone 手機殼 17 16 15 14 pro 13 12 11 XS XR X 保護殼 軟殼 蘋果</t>
        </is>
      </c>
      <c r="C633">
        <f>IMAGE("https://cf.shopee.tw/file/tw-11134207-7rbkb-m6uos0mc4q6w76_tn")</f>
        <v/>
      </c>
      <c r="D633" t="inlineStr">
        <is>
          <t>鏡面愛心,7 Plus/8 Plus</t>
        </is>
      </c>
      <c r="E633" t="inlineStr">
        <is>
          <t>188264743039</t>
        </is>
      </c>
      <c r="F633">
        <f>IMAGE("https://cf.shopee.tw/file/tw-11134207-7rbkb-m6uos0mc4q6w76_tn")</f>
        <v/>
      </c>
    </row>
    <row r="634">
      <c r="A634" t="inlineStr">
        <is>
          <t>24242091907</t>
        </is>
      </c>
      <c r="B634" t="inlineStr">
        <is>
          <t>隔日到貨🔥 iPhone 手機殼 17 16 15 14 pro 13 12 11 XS XR X 保護殼 軟殼 蘋果</t>
        </is>
      </c>
      <c r="C634">
        <f>IMAGE("https://cf.shopee.tw/file/tw-11134207-7rbkb-m6uos0mc4q6w76_tn")</f>
        <v/>
      </c>
      <c r="D634" t="inlineStr">
        <is>
          <t>鏡面愛心,X/XS</t>
        </is>
      </c>
      <c r="E634" t="inlineStr">
        <is>
          <t>188264743040</t>
        </is>
      </c>
      <c r="F634">
        <f>IMAGE("https://cf.shopee.tw/file/tw-11134207-7rbkb-m6uos0mc4q6w76_tn")</f>
        <v/>
      </c>
    </row>
    <row r="635">
      <c r="A635" t="inlineStr">
        <is>
          <t>24242091907</t>
        </is>
      </c>
      <c r="B635" t="inlineStr">
        <is>
          <t>隔日到貨🔥 iPhone 手機殼 17 16 15 14 pro 13 12 11 XS XR X 保護殼 軟殼 蘋果</t>
        </is>
      </c>
      <c r="C635">
        <f>IMAGE("https://cf.shopee.tw/file/tw-11134207-7rbkb-m6uos0mc4q6w76_tn")</f>
        <v/>
      </c>
      <c r="D635" t="inlineStr">
        <is>
          <t>鏡面愛心,XR</t>
        </is>
      </c>
      <c r="E635" t="inlineStr">
        <is>
          <t>188264743041</t>
        </is>
      </c>
      <c r="F635">
        <f>IMAGE("https://cf.shopee.tw/file/tw-11134207-7rbkb-m6uos0mc4q6w76_tn")</f>
        <v/>
      </c>
    </row>
    <row r="636">
      <c r="A636" t="inlineStr">
        <is>
          <t>24242091907</t>
        </is>
      </c>
      <c r="B636" t="inlineStr">
        <is>
          <t>隔日到貨🔥 iPhone 手機殼 17 16 15 14 pro 13 12 11 XS XR X 保護殼 軟殼 蘋果</t>
        </is>
      </c>
      <c r="C636">
        <f>IMAGE("https://cf.shopee.tw/file/tw-11134207-7rbkb-m6uos0mc4q6w76_tn")</f>
        <v/>
      </c>
      <c r="D636" t="inlineStr">
        <is>
          <t>鏡面愛心,XS Max</t>
        </is>
      </c>
      <c r="E636" t="inlineStr">
        <is>
          <t>188264743042</t>
        </is>
      </c>
      <c r="F636">
        <f>IMAGE("https://cf.shopee.tw/file/tw-11134207-7rbkb-m6uos0mc4q6w76_tn")</f>
        <v/>
      </c>
    </row>
    <row r="637">
      <c r="A637" t="inlineStr">
        <is>
          <t>24242091907</t>
        </is>
      </c>
      <c r="B637" t="inlineStr">
        <is>
          <t>隔日到貨🔥 iPhone 手機殼 17 16 15 14 pro 13 12 11 XS XR X 保護殼 軟殼 蘋果</t>
        </is>
      </c>
      <c r="C637">
        <f>IMAGE("https://cf.shopee.tw/file/tw-11134207-7rbkb-m6uos0mc4q6w76_tn")</f>
        <v/>
      </c>
      <c r="D637" t="inlineStr">
        <is>
          <t>鏡面愛心,11</t>
        </is>
      </c>
      <c r="E637" t="inlineStr">
        <is>
          <t>188264743017</t>
        </is>
      </c>
      <c r="F637">
        <f>IMAGE("https://cf.shopee.tw/file/tw-11134207-7rbkb-m6uos0mc4q6w76_tn")</f>
        <v/>
      </c>
    </row>
    <row r="638">
      <c r="A638" t="inlineStr">
        <is>
          <t>24242091907</t>
        </is>
      </c>
      <c r="B638" t="inlineStr">
        <is>
          <t>隔日到貨🔥 iPhone 手機殼 17 16 15 14 pro 13 12 11 XS XR X 保護殼 軟殼 蘋果</t>
        </is>
      </c>
      <c r="C638">
        <f>IMAGE("https://cf.shopee.tw/file/tw-11134207-7rbkb-m6uos0mc4q6w76_tn")</f>
        <v/>
      </c>
      <c r="D638" t="inlineStr">
        <is>
          <t>鏡面愛心,11 Pro</t>
        </is>
      </c>
      <c r="E638" t="inlineStr">
        <is>
          <t>188264743018</t>
        </is>
      </c>
      <c r="F638">
        <f>IMAGE("https://cf.shopee.tw/file/tw-11134207-7rbkb-m6uos0mc4q6w76_tn")</f>
        <v/>
      </c>
    </row>
    <row r="639">
      <c r="A639" t="inlineStr">
        <is>
          <t>24242091907</t>
        </is>
      </c>
      <c r="B639" t="inlineStr">
        <is>
          <t>隔日到貨🔥 iPhone 手機殼 17 16 15 14 pro 13 12 11 XS XR X 保護殼 軟殼 蘋果</t>
        </is>
      </c>
      <c r="C639">
        <f>IMAGE("https://cf.shopee.tw/file/tw-11134207-7rbkb-m6uos0mc4q6w76_tn")</f>
        <v/>
      </c>
      <c r="D639" t="inlineStr">
        <is>
          <t>鏡面愛心,11 Pro Max</t>
        </is>
      </c>
      <c r="E639" t="inlineStr">
        <is>
          <t>188264743019</t>
        </is>
      </c>
      <c r="F639">
        <f>IMAGE("https://cf.shopee.tw/file/tw-11134207-7rbkb-m6uos0mc4q6w76_tn")</f>
        <v/>
      </c>
    </row>
    <row r="640">
      <c r="A640" t="inlineStr">
        <is>
          <t>24242091907</t>
        </is>
      </c>
      <c r="B640" t="inlineStr">
        <is>
          <t>隔日到貨🔥 iPhone 手機殼 17 16 15 14 pro 13 12 11 XS XR X 保護殼 軟殼 蘋果</t>
        </is>
      </c>
      <c r="C640">
        <f>IMAGE("https://cf.shopee.tw/file/tw-11134207-7rbkb-m6uos0mc4q6w76_tn")</f>
        <v/>
      </c>
      <c r="D640" t="inlineStr">
        <is>
          <t>鏡面愛心,12</t>
        </is>
      </c>
      <c r="E640" t="inlineStr">
        <is>
          <t>188264743020</t>
        </is>
      </c>
      <c r="F640">
        <f>IMAGE("https://cf.shopee.tw/file/tw-11134207-7rbkb-m6uos0mc4q6w76_tn")</f>
        <v/>
      </c>
    </row>
    <row r="641">
      <c r="A641" t="inlineStr">
        <is>
          <t>24242091907</t>
        </is>
      </c>
      <c r="B641" t="inlineStr">
        <is>
          <t>隔日到貨🔥 iPhone 手機殼 17 16 15 14 pro 13 12 11 XS XR X 保護殼 軟殼 蘋果</t>
        </is>
      </c>
      <c r="C641">
        <f>IMAGE("https://cf.shopee.tw/file/tw-11134207-7rbkb-m6uos0mc4q6w76_tn")</f>
        <v/>
      </c>
      <c r="D641" t="inlineStr">
        <is>
          <t>鏡面愛心,12 Pro</t>
        </is>
      </c>
      <c r="E641" t="inlineStr">
        <is>
          <t>188264743021</t>
        </is>
      </c>
      <c r="F641">
        <f>IMAGE("https://cf.shopee.tw/file/tw-11134207-7rbkb-m6uos0mc4q6w76_tn")</f>
        <v/>
      </c>
    </row>
    <row r="642">
      <c r="A642" t="inlineStr">
        <is>
          <t>24242091907</t>
        </is>
      </c>
      <c r="B642" t="inlineStr">
        <is>
          <t>隔日到貨🔥 iPhone 手機殼 17 16 15 14 pro 13 12 11 XS XR X 保護殼 軟殼 蘋果</t>
        </is>
      </c>
      <c r="C642">
        <f>IMAGE("https://cf.shopee.tw/file/tw-11134207-7rbkb-m6uos0mc4q6w76_tn")</f>
        <v/>
      </c>
      <c r="D642" t="inlineStr">
        <is>
          <t>鏡面愛心,12 Pro Max</t>
        </is>
      </c>
      <c r="E642" t="inlineStr">
        <is>
          <t>188264743022</t>
        </is>
      </c>
      <c r="F642">
        <f>IMAGE("https://cf.shopee.tw/file/tw-11134207-7rbkb-m6uos0mc4q6w76_tn")</f>
        <v/>
      </c>
    </row>
    <row r="643">
      <c r="A643" t="inlineStr">
        <is>
          <t>24242091907</t>
        </is>
      </c>
      <c r="B643" t="inlineStr">
        <is>
          <t>隔日到貨🔥 iPhone 手機殼 17 16 15 14 pro 13 12 11 XS XR X 保護殼 軟殼 蘋果</t>
        </is>
      </c>
      <c r="C643">
        <f>IMAGE("https://cf.shopee.tw/file/tw-11134207-7rbkb-m6uos0mc4q6w76_tn")</f>
        <v/>
      </c>
      <c r="D643" t="inlineStr">
        <is>
          <t>鏡面愛心,13</t>
        </is>
      </c>
      <c r="E643" t="inlineStr">
        <is>
          <t>188264743023</t>
        </is>
      </c>
      <c r="F643">
        <f>IMAGE("https://cf.shopee.tw/file/tw-11134207-7rbkb-m6uos0mc4q6w76_tn")</f>
        <v/>
      </c>
    </row>
    <row r="644">
      <c r="A644" t="inlineStr">
        <is>
          <t>24242091907</t>
        </is>
      </c>
      <c r="B644" t="inlineStr">
        <is>
          <t>隔日到貨🔥 iPhone 手機殼 17 16 15 14 pro 13 12 11 XS XR X 保護殼 軟殼 蘋果</t>
        </is>
      </c>
      <c r="C644">
        <f>IMAGE("https://cf.shopee.tw/file/tw-11134207-7rbkb-m6uos0mc4q6w76_tn")</f>
        <v/>
      </c>
      <c r="D644" t="inlineStr">
        <is>
          <t>鏡面愛心,13 Pro</t>
        </is>
      </c>
      <c r="E644" t="inlineStr">
        <is>
          <t>188264743024</t>
        </is>
      </c>
      <c r="F644">
        <f>IMAGE("https://cf.shopee.tw/file/tw-11134207-7rbkb-m6uos0mc4q6w76_tn")</f>
        <v/>
      </c>
    </row>
    <row r="645">
      <c r="A645" t="inlineStr">
        <is>
          <t>24242091907</t>
        </is>
      </c>
      <c r="B645" t="inlineStr">
        <is>
          <t>隔日到貨🔥 iPhone 手機殼 17 16 15 14 pro 13 12 11 XS XR X 保護殼 軟殼 蘋果</t>
        </is>
      </c>
      <c r="C645">
        <f>IMAGE("https://cf.shopee.tw/file/tw-11134207-7rbkb-m6uos0mc4q6w76_tn")</f>
        <v/>
      </c>
      <c r="D645" t="inlineStr">
        <is>
          <t>鏡面愛心,13 Pro Max</t>
        </is>
      </c>
      <c r="E645" t="inlineStr">
        <is>
          <t>188264743025</t>
        </is>
      </c>
      <c r="F645">
        <f>IMAGE("https://cf.shopee.tw/file/tw-11134207-7rbkb-m6uos0mc4q6w76_tn")</f>
        <v/>
      </c>
    </row>
    <row r="646">
      <c r="A646" t="inlineStr">
        <is>
          <t>24242091907</t>
        </is>
      </c>
      <c r="B646" t="inlineStr">
        <is>
          <t>隔日到貨🔥 iPhone 手機殼 17 16 15 14 pro 13 12 11 XS XR X 保護殼 軟殼 蘋果</t>
        </is>
      </c>
      <c r="C646">
        <f>IMAGE("https://cf.shopee.tw/file/tw-11134207-7rbkb-m6uos0mc4q6w76_tn")</f>
        <v/>
      </c>
      <c r="D646" t="inlineStr">
        <is>
          <t>鏡面愛心,13 mini</t>
        </is>
      </c>
      <c r="E646" t="inlineStr">
        <is>
          <t>188264743043</t>
        </is>
      </c>
      <c r="F646">
        <f>IMAGE("https://cf.shopee.tw/file/tw-11134207-7rbkb-m6uos0mc4q6w76_tn")</f>
        <v/>
      </c>
    </row>
    <row r="647">
      <c r="A647" t="inlineStr">
        <is>
          <t>24242091907</t>
        </is>
      </c>
      <c r="B647" t="inlineStr">
        <is>
          <t>隔日到貨🔥 iPhone 手機殼 17 16 15 14 pro 13 12 11 XS XR X 保護殼 軟殼 蘋果</t>
        </is>
      </c>
      <c r="C647">
        <f>IMAGE("https://cf.shopee.tw/file/tw-11134207-7rbkb-m6uos0mc4q6w76_tn")</f>
        <v/>
      </c>
      <c r="D647" t="inlineStr">
        <is>
          <t>鏡面愛心,14</t>
        </is>
      </c>
      <c r="E647" t="inlineStr">
        <is>
          <t>188264743026</t>
        </is>
      </c>
      <c r="F647">
        <f>IMAGE("https://cf.shopee.tw/file/tw-11134207-7rbkb-m6uos0mc4q6w76_tn")</f>
        <v/>
      </c>
    </row>
    <row r="648">
      <c r="A648" t="inlineStr">
        <is>
          <t>24242091907</t>
        </is>
      </c>
      <c r="B648" t="inlineStr">
        <is>
          <t>隔日到貨🔥 iPhone 手機殼 17 16 15 14 pro 13 12 11 XS XR X 保護殼 軟殼 蘋果</t>
        </is>
      </c>
      <c r="C648">
        <f>IMAGE("https://cf.shopee.tw/file/tw-11134207-7rbkb-m6uos0mc4q6w76_tn")</f>
        <v/>
      </c>
      <c r="D648" t="inlineStr">
        <is>
          <t>鏡面愛心,14 Plus</t>
        </is>
      </c>
      <c r="E648" t="inlineStr">
        <is>
          <t>188264743027</t>
        </is>
      </c>
      <c r="F648">
        <f>IMAGE("https://cf.shopee.tw/file/tw-11134207-7rbkb-m6uos0mc4q6w76_tn")</f>
        <v/>
      </c>
    </row>
    <row r="649">
      <c r="A649" t="inlineStr">
        <is>
          <t>24242091907</t>
        </is>
      </c>
      <c r="B649" t="inlineStr">
        <is>
          <t>隔日到貨🔥 iPhone 手機殼 17 16 15 14 pro 13 12 11 XS XR X 保護殼 軟殼 蘋果</t>
        </is>
      </c>
      <c r="C649">
        <f>IMAGE("https://cf.shopee.tw/file/tw-11134207-7rbkb-m6uos0mc4q6w76_tn")</f>
        <v/>
      </c>
      <c r="D649" t="inlineStr">
        <is>
          <t>鏡面愛心,14 Pro</t>
        </is>
      </c>
      <c r="E649" t="inlineStr">
        <is>
          <t>188264743028</t>
        </is>
      </c>
      <c r="F649">
        <f>IMAGE("https://cf.shopee.tw/file/tw-11134207-7rbkb-m6uos0mc4q6w76_tn")</f>
        <v/>
      </c>
    </row>
    <row r="650">
      <c r="A650" t="inlineStr">
        <is>
          <t>24242091907</t>
        </is>
      </c>
      <c r="B650" t="inlineStr">
        <is>
          <t>隔日到貨🔥 iPhone 手機殼 17 16 15 14 pro 13 12 11 XS XR X 保護殼 軟殼 蘋果</t>
        </is>
      </c>
      <c r="C650">
        <f>IMAGE("https://cf.shopee.tw/file/tw-11134207-7rbkb-m6uos0mc4q6w76_tn")</f>
        <v/>
      </c>
      <c r="D650" t="inlineStr">
        <is>
          <t>鏡面愛心,14 Pro Max</t>
        </is>
      </c>
      <c r="E650" t="inlineStr">
        <is>
          <t>188264743029</t>
        </is>
      </c>
      <c r="F650">
        <f>IMAGE("https://cf.shopee.tw/file/tw-11134207-7rbkb-m6uos0mc4q6w76_tn")</f>
        <v/>
      </c>
    </row>
    <row r="651">
      <c r="A651" t="inlineStr">
        <is>
          <t>24242091907</t>
        </is>
      </c>
      <c r="B651" t="inlineStr">
        <is>
          <t>隔日到貨🔥 iPhone 手機殼 17 16 15 14 pro 13 12 11 XS XR X 保護殼 軟殼 蘋果</t>
        </is>
      </c>
      <c r="C651">
        <f>IMAGE("https://cf.shopee.tw/file/tw-11134207-7rbkb-m6uos0mc4q6w76_tn")</f>
        <v/>
      </c>
      <c r="D651" t="inlineStr">
        <is>
          <t>鏡面愛心,15</t>
        </is>
      </c>
      <c r="E651" t="inlineStr">
        <is>
          <t>188264743030</t>
        </is>
      </c>
      <c r="F651">
        <f>IMAGE("https://cf.shopee.tw/file/tw-11134207-7rbkb-m6uos0mc4q6w76_tn")</f>
        <v/>
      </c>
    </row>
    <row r="652">
      <c r="A652" t="inlineStr">
        <is>
          <t>24242091907</t>
        </is>
      </c>
      <c r="B652" t="inlineStr">
        <is>
          <t>隔日到貨🔥 iPhone 手機殼 17 16 15 14 pro 13 12 11 XS XR X 保護殼 軟殼 蘋果</t>
        </is>
      </c>
      <c r="C652">
        <f>IMAGE("https://cf.shopee.tw/file/tw-11134207-7rbkb-m6uos0mc4q6w76_tn")</f>
        <v/>
      </c>
      <c r="D652" t="inlineStr">
        <is>
          <t>鏡面愛心,15 Pro</t>
        </is>
      </c>
      <c r="E652" t="inlineStr">
        <is>
          <t>188264743032</t>
        </is>
      </c>
      <c r="F652">
        <f>IMAGE("https://cf.shopee.tw/file/tw-11134207-7rbkb-m6uos0mc4q6w76_tn")</f>
        <v/>
      </c>
    </row>
    <row r="653">
      <c r="A653" t="inlineStr">
        <is>
          <t>24242091907</t>
        </is>
      </c>
      <c r="B653" t="inlineStr">
        <is>
          <t>隔日到貨🔥 iPhone 手機殼 17 16 15 14 pro 13 12 11 XS XR X 保護殼 軟殼 蘋果</t>
        </is>
      </c>
      <c r="C653">
        <f>IMAGE("https://cf.shopee.tw/file/tw-11134207-7rbkb-m6uos0mc4q6w76_tn")</f>
        <v/>
      </c>
      <c r="D653" t="inlineStr">
        <is>
          <t>鏡面愛心,15 Pro Max</t>
        </is>
      </c>
      <c r="E653" t="inlineStr">
        <is>
          <t>188264743033</t>
        </is>
      </c>
      <c r="F653">
        <f>IMAGE("https://cf.shopee.tw/file/tw-11134207-7rbkb-m6uos0mc4q6w76_tn")</f>
        <v/>
      </c>
    </row>
    <row r="654">
      <c r="A654" t="inlineStr">
        <is>
          <t>24242091907</t>
        </is>
      </c>
      <c r="B654" t="inlineStr">
        <is>
          <t>隔日到貨🔥 iPhone 手機殼 17 16 15 14 pro 13 12 11 XS XR X 保護殼 軟殼 蘋果</t>
        </is>
      </c>
      <c r="C654">
        <f>IMAGE("https://cf.shopee.tw/file/tw-11134207-7rbkb-m6uos0mc4q6w76_tn")</f>
        <v/>
      </c>
      <c r="D654" t="inlineStr">
        <is>
          <t>鏡面愛心,16</t>
        </is>
      </c>
      <c r="E654" t="inlineStr">
        <is>
          <t>188264743034</t>
        </is>
      </c>
      <c r="F654">
        <f>IMAGE("https://cf.shopee.tw/file/tw-11134207-7rbkb-m6uos0mc4q6w76_tn")</f>
        <v/>
      </c>
    </row>
    <row r="655">
      <c r="A655" t="inlineStr">
        <is>
          <t>24242091907</t>
        </is>
      </c>
      <c r="B655" t="inlineStr">
        <is>
          <t>隔日到貨🔥 iPhone 手機殼 17 16 15 14 pro 13 12 11 XS XR X 保護殼 軟殼 蘋果</t>
        </is>
      </c>
      <c r="C655">
        <f>IMAGE("https://cf.shopee.tw/file/tw-11134207-7rbkb-m6uos0mc4q6w76_tn")</f>
        <v/>
      </c>
      <c r="D655" t="inlineStr">
        <is>
          <t>鏡面愛心,16 Plus</t>
        </is>
      </c>
      <c r="E655" t="inlineStr">
        <is>
          <t>188264743035</t>
        </is>
      </c>
      <c r="F655">
        <f>IMAGE("https://cf.shopee.tw/file/tw-11134207-7rbkb-m6uos0mc4q6w76_tn")</f>
        <v/>
      </c>
    </row>
    <row r="656">
      <c r="A656" t="inlineStr">
        <is>
          <t>24242091907</t>
        </is>
      </c>
      <c r="B656" t="inlineStr">
        <is>
          <t>隔日到貨🔥 iPhone 手機殼 17 16 15 14 pro 13 12 11 XS XR X 保護殼 軟殼 蘋果</t>
        </is>
      </c>
      <c r="C656">
        <f>IMAGE("https://cf.shopee.tw/file/tw-11134207-7rbkb-m6uos0mc4q6w76_tn")</f>
        <v/>
      </c>
      <c r="D656" t="inlineStr">
        <is>
          <t>鏡面愛心,16 Pro</t>
        </is>
      </c>
      <c r="E656" t="inlineStr">
        <is>
          <t>188264743036</t>
        </is>
      </c>
      <c r="F656">
        <f>IMAGE("https://cf.shopee.tw/file/tw-11134207-7rbkb-m6uos0mc4q6w76_tn")</f>
        <v/>
      </c>
    </row>
    <row r="657">
      <c r="A657" t="inlineStr">
        <is>
          <t>24242091907</t>
        </is>
      </c>
      <c r="B657" t="inlineStr">
        <is>
          <t>隔日到貨🔥 iPhone 手機殼 17 16 15 14 pro 13 12 11 XS XR X 保護殼 軟殼 蘋果</t>
        </is>
      </c>
      <c r="C657">
        <f>IMAGE("https://cf.shopee.tw/file/tw-11134207-7rbkb-m6uos0mc4q6w76_tn")</f>
        <v/>
      </c>
      <c r="D657" t="inlineStr">
        <is>
          <t>鏡面愛心,16 Pro Max</t>
        </is>
      </c>
      <c r="E657" t="inlineStr">
        <is>
          <t>188264743037</t>
        </is>
      </c>
      <c r="F657">
        <f>IMAGE("https://cf.shopee.tw/file/tw-11134207-7rbkb-m6uos0mc4q6w76_tn")</f>
        <v/>
      </c>
    </row>
    <row r="658">
      <c r="A658" t="inlineStr">
        <is>
          <t>24242091907</t>
        </is>
      </c>
      <c r="B658" t="inlineStr">
        <is>
          <t>隔日到貨🔥 iPhone 手機殼 17 16 15 14 pro 13 12 11 XS XR X 保護殼 軟殼 蘋果</t>
        </is>
      </c>
      <c r="C658">
        <f>IMAGE("https://cf.shopee.tw/file/tw-11134207-7rbkb-m6uos0mc4q6w76_tn")</f>
        <v/>
      </c>
      <c r="D658" t="inlineStr">
        <is>
          <t>鏡面愛心,17</t>
        </is>
      </c>
      <c r="E658" t="inlineStr">
        <is>
          <t>59949165145</t>
        </is>
      </c>
      <c r="F658">
        <f>IMAGE("https://cf.shopee.tw/file/tw-11134207-7rbkb-m6uos0mc4q6w76_tn")</f>
        <v/>
      </c>
    </row>
    <row r="659">
      <c r="A659" t="inlineStr">
        <is>
          <t>24242091907</t>
        </is>
      </c>
      <c r="B659" t="inlineStr">
        <is>
          <t>隔日到貨🔥 iPhone 手機殼 17 16 15 14 pro 13 12 11 XS XR X 保護殼 軟殼 蘋果</t>
        </is>
      </c>
      <c r="C659">
        <f>IMAGE("https://cf.shopee.tw/file/tw-11134207-7rbkb-m6uos0mc4q6w76_tn")</f>
        <v/>
      </c>
      <c r="D659" t="inlineStr">
        <is>
          <t>鏡面愛心,17 Pro</t>
        </is>
      </c>
      <c r="E659" t="inlineStr">
        <is>
          <t>59949165146</t>
        </is>
      </c>
      <c r="F659">
        <f>IMAGE("https://cf.shopee.tw/file/tw-11134207-7rbkb-m6uos0mc4q6w76_tn")</f>
        <v/>
      </c>
    </row>
    <row r="660">
      <c r="A660" t="inlineStr">
        <is>
          <t>24242091907</t>
        </is>
      </c>
      <c r="B660" t="inlineStr">
        <is>
          <t>隔日到貨🔥 iPhone 手機殼 17 16 15 14 pro 13 12 11 XS XR X 保護殼 軟殼 蘋果</t>
        </is>
      </c>
      <c r="C660">
        <f>IMAGE("https://cf.shopee.tw/file/tw-11134207-7rbkb-m6uos0mc4q6w76_tn")</f>
        <v/>
      </c>
      <c r="D660" t="inlineStr">
        <is>
          <t>鏡面愛心,17 Pro Max</t>
        </is>
      </c>
      <c r="E660" t="inlineStr">
        <is>
          <t>69598694644</t>
        </is>
      </c>
      <c r="F660">
        <f>IMAGE("https://cf.shopee.tw/file/tw-11134207-7rbkb-m6uos0mc4q6w76_tn")</f>
        <v/>
      </c>
    </row>
    <row r="661">
      <c r="A661" t="inlineStr">
        <is>
          <t>28169260786</t>
        </is>
      </c>
      <c r="B661" t="inlineStr">
        <is>
          <t>隔日到貨🔥 點點捲邊襪 S7 襪子 純色棉襪 素色襪 女襪 長襪 純色 點點襪 棉襪 中筒襪 襪子 韓風</t>
        </is>
      </c>
      <c r="C661">
        <f>IMAGE("https://cf.shopee.tw/file/tw-11134207-7rasc-m37aihpy5pw70c_tn")</f>
        <v/>
      </c>
      <c r="D661" t="inlineStr">
        <is>
          <t>黑色</t>
        </is>
      </c>
      <c r="E661" t="inlineStr">
        <is>
          <t>233530649343</t>
        </is>
      </c>
      <c r="F661">
        <f>IMAGE("https://cf.shopee.tw/file/tw-11134207-7ras8-m37aihpxro7r8d_tn")</f>
        <v/>
      </c>
    </row>
    <row r="662">
      <c r="A662" t="inlineStr">
        <is>
          <t>28169260786</t>
        </is>
      </c>
      <c r="B662" t="inlineStr">
        <is>
          <t>隔日到貨🔥 點點捲邊襪 S7 襪子 純色棉襪 素色襪 女襪 長襪 純色 點點襪 棉襪 中筒襪 襪子 韓風</t>
        </is>
      </c>
      <c r="C662">
        <f>IMAGE("https://cf.shopee.tw/file/tw-11134207-7rasc-m37aihpy5pw70c_tn")</f>
        <v/>
      </c>
      <c r="D662" t="inlineStr">
        <is>
          <t>奶白</t>
        </is>
      </c>
      <c r="E662" t="inlineStr">
        <is>
          <t>233530649344</t>
        </is>
      </c>
      <c r="F662">
        <f>IMAGE("https://cf.shopee.tw/file/tw-11134207-7ras9-m37aihpy74gn9f_tn")</f>
        <v/>
      </c>
    </row>
    <row r="663">
      <c r="A663" t="inlineStr">
        <is>
          <t>28169260786</t>
        </is>
      </c>
      <c r="B663" t="inlineStr">
        <is>
          <t>隔日到貨🔥 點點捲邊襪 S7 襪子 純色棉襪 素色襪 女襪 長襪 純色 點點襪 棉襪 中筒襪 襪子 韓風</t>
        </is>
      </c>
      <c r="C663">
        <f>IMAGE("https://cf.shopee.tw/file/tw-11134207-7rasc-m37aihpy5pw70c_tn")</f>
        <v/>
      </c>
      <c r="D663" t="inlineStr">
        <is>
          <t>米灰</t>
        </is>
      </c>
      <c r="E663" t="inlineStr">
        <is>
          <t>233530649345</t>
        </is>
      </c>
      <c r="F663">
        <f>IMAGE("https://cf.shopee.tw/file/tw-11134207-7rask-m37aihpz20yf2b_tn")</f>
        <v/>
      </c>
    </row>
    <row r="664">
      <c r="A664" t="inlineStr">
        <is>
          <t>28169260786</t>
        </is>
      </c>
      <c r="B664" t="inlineStr">
        <is>
          <t>隔日到貨🔥 點點捲邊襪 S7 襪子 純色棉襪 素色襪 女襪 長襪 純色 點點襪 棉襪 中筒襪 襪子 韓風</t>
        </is>
      </c>
      <c r="C664">
        <f>IMAGE("https://cf.shopee.tw/file/tw-11134207-7rasc-m37aihpy5pw70c_tn")</f>
        <v/>
      </c>
      <c r="D664" t="inlineStr">
        <is>
          <t>奶黃</t>
        </is>
      </c>
      <c r="E664" t="inlineStr">
        <is>
          <t>233530649346</t>
        </is>
      </c>
      <c r="F664">
        <f>IMAGE("https://cf.shopee.tw/file/tw-11134207-7rasi-m37aihpymkpjcc_tn")</f>
        <v/>
      </c>
    </row>
    <row r="665">
      <c r="A665" t="inlineStr">
        <is>
          <t>28169260786</t>
        </is>
      </c>
      <c r="B665" t="inlineStr">
        <is>
          <t>隔日到貨🔥 點點捲邊襪 S7 襪子 純色棉襪 素色襪 女襪 長襪 純色 點點襪 棉襪 中筒襪 襪子 韓風</t>
        </is>
      </c>
      <c r="C665">
        <f>IMAGE("https://cf.shopee.tw/file/tw-11134207-7rasc-m37aihpy5pw70c_tn")</f>
        <v/>
      </c>
      <c r="D665" t="inlineStr">
        <is>
          <t>卡其</t>
        </is>
      </c>
      <c r="E665" t="inlineStr">
        <is>
          <t>233530649347</t>
        </is>
      </c>
      <c r="F665">
        <f>IMAGE("https://cf.shopee.tw/file/tw-11134207-7rasj-m2ghigtr8d6tf7_tn")</f>
        <v/>
      </c>
    </row>
    <row r="666">
      <c r="A666" t="inlineStr">
        <is>
          <t>23625462276</t>
        </is>
      </c>
      <c r="B666" t="inlineStr">
        <is>
          <t>隔日到貨🔥 狗狗刺繡襪 女長襪 長襪 中筒襪 襪子 S30 襪子女 白長襪 女襪 女生襪子 白色襪子 白襪</t>
        </is>
      </c>
      <c r="C666">
        <f>IMAGE("https://cf.shopee.tw/file/tw-11134207-23020-m754s4wsgonv05_tn")</f>
        <v/>
      </c>
      <c r="D666" t="inlineStr">
        <is>
          <t>灰色</t>
        </is>
      </c>
      <c r="E666" t="inlineStr">
        <is>
          <t>117951296320</t>
        </is>
      </c>
      <c r="F666">
        <f>IMAGE("https://cf.shopee.tw/file/tw-11134207-23020-opj73bjvgonv92_tn")</f>
        <v/>
      </c>
    </row>
    <row r="667">
      <c r="A667" t="inlineStr">
        <is>
          <t>23625462276</t>
        </is>
      </c>
      <c r="B667" t="inlineStr">
        <is>
          <t>隔日到貨🔥 狗狗刺繡襪 女長襪 長襪 中筒襪 襪子 S30 襪子女 白長襪 女襪 女生襪子 白色襪子 白襪</t>
        </is>
      </c>
      <c r="C667">
        <f>IMAGE("https://cf.shopee.tw/file/tw-11134207-23020-m754s4wsgonv05_tn")</f>
        <v/>
      </c>
      <c r="D667" t="inlineStr">
        <is>
          <t>黑色</t>
        </is>
      </c>
      <c r="E667" t="inlineStr">
        <is>
          <t>107951396376</t>
        </is>
      </c>
      <c r="F667">
        <f>IMAGE("https://cf.shopee.tw/file/tw-11134207-23020-9cbvhgnugonv73_tn")</f>
        <v/>
      </c>
    </row>
    <row r="668">
      <c r="A668" t="inlineStr">
        <is>
          <t>23625462276</t>
        </is>
      </c>
      <c r="B668" t="inlineStr">
        <is>
          <t>隔日到貨🔥 狗狗刺繡襪 女長襪 長襪 中筒襪 襪子 S30 襪子女 白長襪 女襪 女生襪子 白色襪子 白襪</t>
        </is>
      </c>
      <c r="C668">
        <f>IMAGE("https://cf.shopee.tw/file/tw-11134207-23020-m754s4wsgonv05_tn")</f>
        <v/>
      </c>
      <c r="D668" t="inlineStr">
        <is>
          <t>米色</t>
        </is>
      </c>
      <c r="E668" t="inlineStr">
        <is>
          <t>107951396377</t>
        </is>
      </c>
      <c r="F668">
        <f>IMAGE("https://cf.shopee.tw/file/tw-11134207-23020-oht958tvgonva9_tn")</f>
        <v/>
      </c>
    </row>
    <row r="669">
      <c r="A669" t="inlineStr">
        <is>
          <t>23625462276</t>
        </is>
      </c>
      <c r="B669" t="inlineStr">
        <is>
          <t>隔日到貨🔥 狗狗刺繡襪 女長襪 長襪 中筒襪 襪子 S30 襪子女 白長襪 女襪 女生襪子 白色襪子 白襪</t>
        </is>
      </c>
      <c r="C669">
        <f>IMAGE("https://cf.shopee.tw/file/tw-11134207-23020-m754s4wsgonv05_tn")</f>
        <v/>
      </c>
      <c r="D669" t="inlineStr">
        <is>
          <t>奶油</t>
        </is>
      </c>
      <c r="E669" t="inlineStr">
        <is>
          <t>107951396378</t>
        </is>
      </c>
      <c r="F669">
        <f>IMAGE("https://cf.shopee.tw/file/tw-11134207-23020-52jrahqvgonv57_tn")</f>
        <v/>
      </c>
    </row>
    <row r="670">
      <c r="A670" t="inlineStr">
        <is>
          <t>23625462276</t>
        </is>
      </c>
      <c r="B670" t="inlineStr">
        <is>
          <t>隔日到貨🔥 狗狗刺繡襪 女長襪 長襪 中筒襪 襪子 S30 襪子女 白長襪 女襪 女生襪子 白色襪子 白襪</t>
        </is>
      </c>
      <c r="C670">
        <f>IMAGE("https://cf.shopee.tw/file/tw-11134207-23020-m754s4wsgonv05_tn")</f>
        <v/>
      </c>
      <c r="D670" t="inlineStr">
        <is>
          <t>咖啡</t>
        </is>
      </c>
      <c r="E670" t="inlineStr">
        <is>
          <t>107951396379</t>
        </is>
      </c>
      <c r="F670">
        <f>IMAGE("https://cf.shopee.tw/file/tw-11134207-23020-g8nr2tevgonv96_tn")</f>
        <v/>
      </c>
    </row>
    <row r="671">
      <c r="A671" t="inlineStr">
        <is>
          <t>23625462276</t>
        </is>
      </c>
      <c r="B671" t="inlineStr">
        <is>
          <t>隔日到貨🔥 狗狗刺繡襪 女長襪 長襪 中筒襪 襪子 S30 襪子女 白長襪 女襪 女生襪子 白色襪子 白襪</t>
        </is>
      </c>
      <c r="C671">
        <f>IMAGE("https://cf.shopee.tw/file/tw-11134207-23020-m754s4wsgonv05_tn")</f>
        <v/>
      </c>
      <c r="D671" t="inlineStr">
        <is>
          <t>卡其</t>
        </is>
      </c>
      <c r="E671" t="inlineStr"/>
      <c r="F671">
        <f>IMAGE("https://cf.shopee.tw/file/tw-11134207-23020-wj9j5jbvgonv1a_tn")</f>
        <v/>
      </c>
    </row>
    <row r="672">
      <c r="A672" t="inlineStr">
        <is>
          <t>26468539187</t>
        </is>
      </c>
      <c r="B672" t="inlineStr">
        <is>
          <t>隔日到貨🔥 日系莫蘭迪素色內褲 女生內褲 純棉 女生無痕內褲 粉嫩純色 舒適內褲 內褲 緊身 女內褲 無痕內褲</t>
        </is>
      </c>
      <c r="C672">
        <f>IMAGE("https://cf.shopee.tw/file/tw-11134207-7rasm-m2yvq57vwlu349_tn")</f>
        <v/>
      </c>
      <c r="D672" t="inlineStr">
        <is>
          <t>白色,M</t>
        </is>
      </c>
      <c r="E672" t="inlineStr">
        <is>
          <t>252097280510</t>
        </is>
      </c>
      <c r="F672">
        <f>IMAGE("https://cf.shopee.tw/file/tw-11134207-7ras8-m2yw79zfcex77b_tn")</f>
        <v/>
      </c>
    </row>
    <row r="673">
      <c r="A673" t="inlineStr">
        <is>
          <t>26468539187</t>
        </is>
      </c>
      <c r="B673" t="inlineStr">
        <is>
          <t>隔日到貨🔥 日系莫蘭迪素色內褲 女生內褲 純棉 女生無痕內褲 粉嫩純色 舒適內褲 內褲 緊身 女內褲 無痕內褲</t>
        </is>
      </c>
      <c r="C673">
        <f>IMAGE("https://cf.shopee.tw/file/tw-11134207-7rasm-m2yvq57vwlu349_tn")</f>
        <v/>
      </c>
      <c r="D673" t="inlineStr">
        <is>
          <t>白色,L</t>
        </is>
      </c>
      <c r="E673" t="inlineStr">
        <is>
          <t>252097280511</t>
        </is>
      </c>
      <c r="F673">
        <f>IMAGE("https://cf.shopee.tw/file/tw-11134207-7ras8-m2yw79zfcex77b_tn")</f>
        <v/>
      </c>
    </row>
    <row r="674">
      <c r="A674" t="inlineStr">
        <is>
          <t>26468539187</t>
        </is>
      </c>
      <c r="B674" t="inlineStr">
        <is>
          <t>隔日到貨🔥 日系莫蘭迪素色內褲 女生內褲 純棉 女生無痕內褲 粉嫩純色 舒適內褲 內褲 緊身 女內褲 無痕內褲</t>
        </is>
      </c>
      <c r="C674">
        <f>IMAGE("https://cf.shopee.tw/file/tw-11134207-7rasm-m2yvq57vwlu349_tn")</f>
        <v/>
      </c>
      <c r="D674" t="inlineStr">
        <is>
          <t>白色,XL</t>
        </is>
      </c>
      <c r="E674" t="inlineStr">
        <is>
          <t>252097280512</t>
        </is>
      </c>
      <c r="F674">
        <f>IMAGE("https://cf.shopee.tw/file/tw-11134207-7ras8-m2yw79zfcex77b_tn")</f>
        <v/>
      </c>
    </row>
    <row r="675">
      <c r="A675" t="inlineStr">
        <is>
          <t>26468539187</t>
        </is>
      </c>
      <c r="B675" t="inlineStr">
        <is>
          <t>隔日到貨🔥 日系莫蘭迪素色內褲 女生內褲 純棉 女生無痕內褲 粉嫩純色 舒適內褲 內褲 緊身 女內褲 無痕內褲</t>
        </is>
      </c>
      <c r="C675">
        <f>IMAGE("https://cf.shopee.tw/file/tw-11134207-7rasm-m2yvq57vwlu349_tn")</f>
        <v/>
      </c>
      <c r="D675" t="inlineStr">
        <is>
          <t>膚色,M</t>
        </is>
      </c>
      <c r="E675" t="inlineStr">
        <is>
          <t>252097280513</t>
        </is>
      </c>
      <c r="F675">
        <f>IMAGE("https://cf.shopee.tw/file/tw-11134207-7rasi-m2yw79zfrv6342_tn")</f>
        <v/>
      </c>
    </row>
    <row r="676">
      <c r="A676" t="inlineStr">
        <is>
          <t>26468539187</t>
        </is>
      </c>
      <c r="B676" t="inlineStr">
        <is>
          <t>隔日到貨🔥 日系莫蘭迪素色內褲 女生內褲 純棉 女生無痕內褲 粉嫩純色 舒適內褲 內褲 緊身 女內褲 無痕內褲</t>
        </is>
      </c>
      <c r="C676">
        <f>IMAGE("https://cf.shopee.tw/file/tw-11134207-7rasm-m2yvq57vwlu349_tn")</f>
        <v/>
      </c>
      <c r="D676" t="inlineStr">
        <is>
          <t>膚色,L</t>
        </is>
      </c>
      <c r="E676" t="inlineStr">
        <is>
          <t>252097280514</t>
        </is>
      </c>
      <c r="F676">
        <f>IMAGE("https://cf.shopee.tw/file/tw-11134207-7rasi-m2yw79zfrv6342_tn")</f>
        <v/>
      </c>
    </row>
    <row r="677">
      <c r="A677" t="inlineStr">
        <is>
          <t>26468539187</t>
        </is>
      </c>
      <c r="B677" t="inlineStr">
        <is>
          <t>隔日到貨🔥 日系莫蘭迪素色內褲 女生內褲 純棉 女生無痕內褲 粉嫩純色 舒適內褲 內褲 緊身 女內褲 無痕內褲</t>
        </is>
      </c>
      <c r="C677">
        <f>IMAGE("https://cf.shopee.tw/file/tw-11134207-7rasm-m2yvq57vwlu349_tn")</f>
        <v/>
      </c>
      <c r="D677" t="inlineStr">
        <is>
          <t>膚色,XL</t>
        </is>
      </c>
      <c r="E677" t="inlineStr">
        <is>
          <t>252097280515</t>
        </is>
      </c>
      <c r="F677">
        <f>IMAGE("https://cf.shopee.tw/file/tw-11134207-7rasi-m2yw79zfrv6342_tn")</f>
        <v/>
      </c>
    </row>
    <row r="678">
      <c r="A678" t="inlineStr">
        <is>
          <t>26468539187</t>
        </is>
      </c>
      <c r="B678" t="inlineStr">
        <is>
          <t>隔日到貨🔥 日系莫蘭迪素色內褲 女生內褲 純棉 女生無痕內褲 粉嫩純色 舒適內褲 內褲 緊身 女內褲 無痕內褲</t>
        </is>
      </c>
      <c r="C678">
        <f>IMAGE("https://cf.shopee.tw/file/tw-11134207-7rasm-m2yvq57vwlu349_tn")</f>
        <v/>
      </c>
      <c r="D678" t="inlineStr">
        <is>
          <t>淺藍色,M</t>
        </is>
      </c>
      <c r="E678" t="inlineStr">
        <is>
          <t>252097280516</t>
        </is>
      </c>
      <c r="F678">
        <f>IMAGE("https://cf.shopee.tw/file/tw-11134207-7ras9-m2yw79zfcewb57_tn")</f>
        <v/>
      </c>
    </row>
    <row r="679">
      <c r="A679" t="inlineStr">
        <is>
          <t>26468539187</t>
        </is>
      </c>
      <c r="B679" t="inlineStr">
        <is>
          <t>隔日到貨🔥 日系莫蘭迪素色內褲 女生內褲 純棉 女生無痕內褲 粉嫩純色 舒適內褲 內褲 緊身 女內褲 無痕內褲</t>
        </is>
      </c>
      <c r="C679">
        <f>IMAGE("https://cf.shopee.tw/file/tw-11134207-7rasm-m2yvq57vwlu349_tn")</f>
        <v/>
      </c>
      <c r="D679" t="inlineStr">
        <is>
          <t>淺藍色,L</t>
        </is>
      </c>
      <c r="E679" t="inlineStr">
        <is>
          <t>252097280517</t>
        </is>
      </c>
      <c r="F679">
        <f>IMAGE("https://cf.shopee.tw/file/tw-11134207-7ras9-m2yw79zfcewb57_tn")</f>
        <v/>
      </c>
    </row>
    <row r="680">
      <c r="A680" t="inlineStr">
        <is>
          <t>26468539187</t>
        </is>
      </c>
      <c r="B680" t="inlineStr">
        <is>
          <t>隔日到貨🔥 日系莫蘭迪素色內褲 女生內褲 純棉 女生無痕內褲 粉嫩純色 舒適內褲 內褲 緊身 女內褲 無痕內褲</t>
        </is>
      </c>
      <c r="C680">
        <f>IMAGE("https://cf.shopee.tw/file/tw-11134207-7rasm-m2yvq57vwlu349_tn")</f>
        <v/>
      </c>
      <c r="D680" t="inlineStr">
        <is>
          <t>淺藍色,XL</t>
        </is>
      </c>
      <c r="E680" t="inlineStr">
        <is>
          <t>252097280518</t>
        </is>
      </c>
      <c r="F680">
        <f>IMAGE("https://cf.shopee.tw/file/tw-11134207-7ras9-m2yw79zfcewb57_tn")</f>
        <v/>
      </c>
    </row>
    <row r="681">
      <c r="A681" t="inlineStr">
        <is>
          <t>26468539187</t>
        </is>
      </c>
      <c r="B681" t="inlineStr">
        <is>
          <t>隔日到貨🔥 日系莫蘭迪素色內褲 女生內褲 純棉 女生無痕內褲 粉嫩純色 舒適內褲 內褲 緊身 女內褲 無痕內褲</t>
        </is>
      </c>
      <c r="C681">
        <f>IMAGE("https://cf.shopee.tw/file/tw-11134207-7rasm-m2yvq57vwlu349_tn")</f>
        <v/>
      </c>
      <c r="D681" t="inlineStr">
        <is>
          <t>果綠,M</t>
        </is>
      </c>
      <c r="E681" t="inlineStr">
        <is>
          <t>252097280519</t>
        </is>
      </c>
      <c r="F681">
        <f>IMAGE("https://cf.shopee.tw/file/tw-11134207-7rasb-m2yw79zg7bez00_tn")</f>
        <v/>
      </c>
    </row>
    <row r="682">
      <c r="A682" t="inlineStr">
        <is>
          <t>26468539187</t>
        </is>
      </c>
      <c r="B682" t="inlineStr">
        <is>
          <t>隔日到貨🔥 日系莫蘭迪素色內褲 女生內褲 純棉 女生無痕內褲 粉嫩純色 舒適內褲 內褲 緊身 女內褲 無痕內褲</t>
        </is>
      </c>
      <c r="C682">
        <f>IMAGE("https://cf.shopee.tw/file/tw-11134207-7rasm-m2yvq57vwlu349_tn")</f>
        <v/>
      </c>
      <c r="D682" t="inlineStr">
        <is>
          <t>果綠,L</t>
        </is>
      </c>
      <c r="E682" t="inlineStr">
        <is>
          <t>252097280520</t>
        </is>
      </c>
      <c r="F682">
        <f>IMAGE("https://cf.shopee.tw/file/tw-11134207-7rasb-m2yw79zg7bez00_tn")</f>
        <v/>
      </c>
    </row>
    <row r="683">
      <c r="A683" t="inlineStr">
        <is>
          <t>26468539187</t>
        </is>
      </c>
      <c r="B683" t="inlineStr">
        <is>
          <t>隔日到貨🔥 日系莫蘭迪素色內褲 女生內褲 純棉 女生無痕內褲 粉嫩純色 舒適內褲 內褲 緊身 女內褲 無痕內褲</t>
        </is>
      </c>
      <c r="C683">
        <f>IMAGE("https://cf.shopee.tw/file/tw-11134207-7rasm-m2yvq57vwlu349_tn")</f>
        <v/>
      </c>
      <c r="D683" t="inlineStr">
        <is>
          <t>果綠,XL</t>
        </is>
      </c>
      <c r="E683" t="inlineStr">
        <is>
          <t>252097280521</t>
        </is>
      </c>
      <c r="F683">
        <f>IMAGE("https://cf.shopee.tw/file/tw-11134207-7rasb-m2yw79zg7bez00_tn")</f>
        <v/>
      </c>
    </row>
    <row r="684">
      <c r="A684" t="inlineStr">
        <is>
          <t>26468539187</t>
        </is>
      </c>
      <c r="B684" t="inlineStr">
        <is>
          <t>隔日到貨🔥 日系莫蘭迪素色內褲 女生內褲 純棉 女生無痕內褲 粉嫩純色 舒適內褲 內褲 緊身 女內褲 無痕內褲</t>
        </is>
      </c>
      <c r="C684">
        <f>IMAGE("https://cf.shopee.tw/file/tw-11134207-7rasm-m2yvq57vwlu349_tn")</f>
        <v/>
      </c>
      <c r="D684" t="inlineStr">
        <is>
          <t>韓粉,M</t>
        </is>
      </c>
      <c r="E684" t="inlineStr">
        <is>
          <t>252097280522</t>
        </is>
      </c>
      <c r="F684">
        <f>IMAGE("https://cf.shopee.tw/file/tw-11134207-7rash-m2yw79zfrv57f0_tn")</f>
        <v/>
      </c>
    </row>
    <row r="685">
      <c r="A685" t="inlineStr">
        <is>
          <t>26468539187</t>
        </is>
      </c>
      <c r="B685" t="inlineStr">
        <is>
          <t>隔日到貨🔥 日系莫蘭迪素色內褲 女生內褲 純棉 女生無痕內褲 粉嫩純色 舒適內褲 內褲 緊身 女內褲 無痕內褲</t>
        </is>
      </c>
      <c r="C685">
        <f>IMAGE("https://cf.shopee.tw/file/tw-11134207-7rasm-m2yvq57vwlu349_tn")</f>
        <v/>
      </c>
      <c r="D685" t="inlineStr">
        <is>
          <t>韓粉,L</t>
        </is>
      </c>
      <c r="E685" t="inlineStr">
        <is>
          <t>252097280523</t>
        </is>
      </c>
      <c r="F685">
        <f>IMAGE("https://cf.shopee.tw/file/tw-11134207-7rash-m2yw79zfrv57f0_tn")</f>
        <v/>
      </c>
    </row>
    <row r="686">
      <c r="A686" t="inlineStr">
        <is>
          <t>26468539187</t>
        </is>
      </c>
      <c r="B686" t="inlineStr">
        <is>
          <t>隔日到貨🔥 日系莫蘭迪素色內褲 女生內褲 純棉 女生無痕內褲 粉嫩純色 舒適內褲 內褲 緊身 女內褲 無痕內褲</t>
        </is>
      </c>
      <c r="C686">
        <f>IMAGE("https://cf.shopee.tw/file/tw-11134207-7rasm-m2yvq57vwlu349_tn")</f>
        <v/>
      </c>
      <c r="D686" t="inlineStr">
        <is>
          <t>韓粉,XL</t>
        </is>
      </c>
      <c r="E686" t="inlineStr">
        <is>
          <t>252097280524</t>
        </is>
      </c>
      <c r="F686">
        <f>IMAGE("https://cf.shopee.tw/file/tw-11134207-7rash-m2yw79zfrv57f0_tn")</f>
        <v/>
      </c>
    </row>
    <row r="687">
      <c r="A687" t="inlineStr">
        <is>
          <t>25717655009</t>
        </is>
      </c>
      <c r="B687" t="inlineStr">
        <is>
          <t>隔日到貨🔥 iPhone 手機殼 17 16 15 14 pro 13 12 11 XS XR X 保護殼 硬殼 素色殼</t>
        </is>
      </c>
      <c r="C687">
        <f>IMAGE("https://cf.shopee.tw/file/tw-11134207-7r98z-lsmoscd7es4233_tn")</f>
        <v/>
      </c>
      <c r="D687" t="inlineStr">
        <is>
          <t>粉膚邊,14 Pro Max</t>
        </is>
      </c>
      <c r="E687" t="inlineStr"/>
      <c r="F687">
        <f>IMAGE("https://cf.shopee.tw/file/tw-11134207-7r98r-lsmoznulu1n6f7_tn")</f>
        <v/>
      </c>
    </row>
    <row r="688">
      <c r="A688" t="inlineStr">
        <is>
          <t>25717655009</t>
        </is>
      </c>
      <c r="B688" t="inlineStr">
        <is>
          <t>隔日到貨🔥 iPhone 手機殼 17 16 15 14 pro 13 12 11 XS XR X 保護殼 硬殼 素色殼</t>
        </is>
      </c>
      <c r="C688">
        <f>IMAGE("https://cf.shopee.tw/file/tw-11134207-7r98z-lsmoscd7es4233_tn")</f>
        <v/>
      </c>
      <c r="D688" t="inlineStr">
        <is>
          <t>粉膚邊,17</t>
        </is>
      </c>
      <c r="E688" t="inlineStr"/>
      <c r="F688">
        <f>IMAGE("https://cf.shopee.tw/file/tw-11134207-7r98r-lsmoznulu1n6f7_tn")</f>
        <v/>
      </c>
    </row>
    <row r="689">
      <c r="A689" t="inlineStr">
        <is>
          <t>25717655009</t>
        </is>
      </c>
      <c r="B689" t="inlineStr">
        <is>
          <t>隔日到貨🔥 iPhone 手機殼 17 16 15 14 pro 13 12 11 XS XR X 保護殼 硬殼 素色殼</t>
        </is>
      </c>
      <c r="C689">
        <f>IMAGE("https://cf.shopee.tw/file/tw-11134207-7r98z-lsmoscd7es4233_tn")</f>
        <v/>
      </c>
      <c r="D689" t="inlineStr">
        <is>
          <t>粉膚邊,17 Pro</t>
        </is>
      </c>
      <c r="E689" t="inlineStr"/>
      <c r="F689">
        <f>IMAGE("https://cf.shopee.tw/file/tw-11134207-7r98r-lsmoznulu1n6f7_tn")</f>
        <v/>
      </c>
    </row>
    <row r="690">
      <c r="A690" t="inlineStr">
        <is>
          <t>25717655009</t>
        </is>
      </c>
      <c r="B690" t="inlineStr">
        <is>
          <t>隔日到貨🔥 iPhone 手機殼 17 16 15 14 pro 13 12 11 XS XR X 保護殼 硬殼 素色殼</t>
        </is>
      </c>
      <c r="C690">
        <f>IMAGE("https://cf.shopee.tw/file/tw-11134207-7r98z-lsmoscd7es4233_tn")</f>
        <v/>
      </c>
      <c r="D690" t="inlineStr">
        <is>
          <t>粉膚邊,17 Pro Max</t>
        </is>
      </c>
      <c r="E690" t="inlineStr"/>
      <c r="F690">
        <f>IMAGE("https://cf.shopee.tw/file/tw-11134207-7r98r-lsmoznulu1n6f7_tn")</f>
        <v/>
      </c>
    </row>
    <row r="691">
      <c r="A691" t="inlineStr">
        <is>
          <t>25717655009</t>
        </is>
      </c>
      <c r="B691" t="inlineStr">
        <is>
          <t>隔日到貨🔥 iPhone 手機殼 17 16 15 14 pro 13 12 11 XS XR X 保護殼 硬殼 素色殼</t>
        </is>
      </c>
      <c r="C691">
        <f>IMAGE("https://cf.shopee.tw/file/tw-11134207-7r98z-lsmoscd7es4233_tn")</f>
        <v/>
      </c>
      <c r="D691" t="inlineStr">
        <is>
          <t>綠邊,17</t>
        </is>
      </c>
      <c r="E691" t="inlineStr"/>
      <c r="F691">
        <f>IMAGE("https://cf.shopee.tw/file/tw-11134207-7r98s-lsmoznuve77seb_tn")</f>
        <v/>
      </c>
    </row>
    <row r="692">
      <c r="A692" t="inlineStr">
        <is>
          <t>25717655009</t>
        </is>
      </c>
      <c r="B692" t="inlineStr">
        <is>
          <t>隔日到貨🔥 iPhone 手機殼 17 16 15 14 pro 13 12 11 XS XR X 保護殼 硬殼 素色殼</t>
        </is>
      </c>
      <c r="C692">
        <f>IMAGE("https://cf.shopee.tw/file/tw-11134207-7r98z-lsmoscd7es4233_tn")</f>
        <v/>
      </c>
      <c r="D692" t="inlineStr">
        <is>
          <t>綠邊,17 Pro</t>
        </is>
      </c>
      <c r="E692" t="inlineStr"/>
      <c r="F692">
        <f>IMAGE("https://cf.shopee.tw/file/tw-11134207-7r98s-lsmoznuve77seb_tn")</f>
        <v/>
      </c>
    </row>
    <row r="693">
      <c r="A693" t="inlineStr">
        <is>
          <t>25717655009</t>
        </is>
      </c>
      <c r="B693" t="inlineStr">
        <is>
          <t>隔日到貨🔥 iPhone 手機殼 17 16 15 14 pro 13 12 11 XS XR X 保護殼 硬殼 素色殼</t>
        </is>
      </c>
      <c r="C693">
        <f>IMAGE("https://cf.shopee.tw/file/tw-11134207-7r98z-lsmoscd7es4233_tn")</f>
        <v/>
      </c>
      <c r="D693" t="inlineStr">
        <is>
          <t>綠邊,17 Pro Max</t>
        </is>
      </c>
      <c r="E693" t="inlineStr"/>
      <c r="F693">
        <f>IMAGE("https://cf.shopee.tw/file/tw-11134207-7r98s-lsmoznuve77seb_tn")</f>
        <v/>
      </c>
    </row>
    <row r="694">
      <c r="A694" t="inlineStr">
        <is>
          <t>25717655009</t>
        </is>
      </c>
      <c r="B694" t="inlineStr">
        <is>
          <t>隔日到貨🔥 iPhone 手機殼 17 16 15 14 pro 13 12 11 XS XR X 保護殼 硬殼 素色殼</t>
        </is>
      </c>
      <c r="C694">
        <f>IMAGE("https://cf.shopee.tw/file/tw-11134207-7r98z-lsmoscd7es4233_tn")</f>
        <v/>
      </c>
      <c r="D694" t="inlineStr">
        <is>
          <t>黑邊,X / XS</t>
        </is>
      </c>
      <c r="E694" t="inlineStr">
        <is>
          <t>207357888385</t>
        </is>
      </c>
      <c r="F694">
        <f>IMAGE("https://cf.shopee.tw/file/tw-11134207-7r98y-lsmoznuleleace_tn")</f>
        <v/>
      </c>
    </row>
    <row r="695">
      <c r="A695" t="inlineStr">
        <is>
          <t>25717655009</t>
        </is>
      </c>
      <c r="B695" t="inlineStr">
        <is>
          <t>隔日到貨🔥 iPhone 手機殼 17 16 15 14 pro 13 12 11 XS XR X 保護殼 硬殼 素色殼</t>
        </is>
      </c>
      <c r="C695">
        <f>IMAGE("https://cf.shopee.tw/file/tw-11134207-7r98z-lsmoscd7es4233_tn")</f>
        <v/>
      </c>
      <c r="D695" t="inlineStr">
        <is>
          <t>黑邊,XR</t>
        </is>
      </c>
      <c r="E695" t="inlineStr">
        <is>
          <t>207357888386</t>
        </is>
      </c>
      <c r="F695">
        <f>IMAGE("https://cf.shopee.tw/file/tw-11134207-7r98y-lsmoznuleleace_tn")</f>
        <v/>
      </c>
    </row>
    <row r="696">
      <c r="A696" t="inlineStr">
        <is>
          <t>25717655009</t>
        </is>
      </c>
      <c r="B696" t="inlineStr">
        <is>
          <t>隔日到貨🔥 iPhone 手機殼 17 16 15 14 pro 13 12 11 XS XR X 保護殼 硬殼 素色殼</t>
        </is>
      </c>
      <c r="C696">
        <f>IMAGE("https://cf.shopee.tw/file/tw-11134207-7r98z-lsmoscd7es4233_tn")</f>
        <v/>
      </c>
      <c r="D696" t="inlineStr">
        <is>
          <t>黑邊,11</t>
        </is>
      </c>
      <c r="E696" t="inlineStr">
        <is>
          <t>207357888387</t>
        </is>
      </c>
      <c r="F696">
        <f>IMAGE("https://cf.shopee.tw/file/tw-11134207-7r98y-lsmoznuleleace_tn")</f>
        <v/>
      </c>
    </row>
    <row r="697">
      <c r="A697" t="inlineStr">
        <is>
          <t>25717655009</t>
        </is>
      </c>
      <c r="B697" t="inlineStr">
        <is>
          <t>隔日到貨🔥 iPhone 手機殼 17 16 15 14 pro 13 12 11 XS XR X 保護殼 硬殼 素色殼</t>
        </is>
      </c>
      <c r="C697">
        <f>IMAGE("https://cf.shopee.tw/file/tw-11134207-7r98z-lsmoscd7es4233_tn")</f>
        <v/>
      </c>
      <c r="D697" t="inlineStr">
        <is>
          <t>黑邊,12 / 12 Pro</t>
        </is>
      </c>
      <c r="E697" t="inlineStr">
        <is>
          <t>207357888388</t>
        </is>
      </c>
      <c r="F697">
        <f>IMAGE("https://cf.shopee.tw/file/tw-11134207-7r98y-lsmoznuleleace_tn")</f>
        <v/>
      </c>
    </row>
    <row r="698">
      <c r="A698" t="inlineStr">
        <is>
          <t>25717655009</t>
        </is>
      </c>
      <c r="B698" t="inlineStr">
        <is>
          <t>隔日到貨🔥 iPhone 手機殼 17 16 15 14 pro 13 12 11 XS XR X 保護殼 硬殼 素色殼</t>
        </is>
      </c>
      <c r="C698">
        <f>IMAGE("https://cf.shopee.tw/file/tw-11134207-7r98z-lsmoscd7es4233_tn")</f>
        <v/>
      </c>
      <c r="D698" t="inlineStr">
        <is>
          <t>黑邊,13</t>
        </is>
      </c>
      <c r="E698" t="inlineStr">
        <is>
          <t>207357888390</t>
        </is>
      </c>
      <c r="F698">
        <f>IMAGE("https://cf.shopee.tw/file/tw-11134207-7r98y-lsmoznuleleace_tn")</f>
        <v/>
      </c>
    </row>
    <row r="699">
      <c r="A699" t="inlineStr">
        <is>
          <t>25717655009</t>
        </is>
      </c>
      <c r="B699" t="inlineStr">
        <is>
          <t>隔日到貨🔥 iPhone 手機殼 17 16 15 14 pro 13 12 11 XS XR X 保護殼 硬殼 素色殼</t>
        </is>
      </c>
      <c r="C699">
        <f>IMAGE("https://cf.shopee.tw/file/tw-11134207-7r98z-lsmoscd7es4233_tn")</f>
        <v/>
      </c>
      <c r="D699" t="inlineStr">
        <is>
          <t>黑邊,13 Pro</t>
        </is>
      </c>
      <c r="E699" t="inlineStr">
        <is>
          <t>207357888391</t>
        </is>
      </c>
      <c r="F699">
        <f>IMAGE("https://cf.shopee.tw/file/tw-11134207-7r98y-lsmoznuleleace_tn")</f>
        <v/>
      </c>
    </row>
    <row r="700">
      <c r="A700" t="inlineStr">
        <is>
          <t>25717655009</t>
        </is>
      </c>
      <c r="B700" t="inlineStr">
        <is>
          <t>隔日到貨🔥 iPhone 手機殼 17 16 15 14 pro 13 12 11 XS XR X 保護殼 硬殼 素色殼</t>
        </is>
      </c>
      <c r="C700">
        <f>IMAGE("https://cf.shopee.tw/file/tw-11134207-7r98z-lsmoscd7es4233_tn")</f>
        <v/>
      </c>
      <c r="D700" t="inlineStr">
        <is>
          <t>黑邊,14</t>
        </is>
      </c>
      <c r="E700" t="inlineStr">
        <is>
          <t>207357888393</t>
        </is>
      </c>
      <c r="F700">
        <f>IMAGE("https://cf.shopee.tw/file/tw-11134207-7r98y-lsmoznuleleace_tn")</f>
        <v/>
      </c>
    </row>
    <row r="701">
      <c r="A701" t="inlineStr">
        <is>
          <t>25717655009</t>
        </is>
      </c>
      <c r="B701" t="inlineStr">
        <is>
          <t>隔日到貨🔥 iPhone 手機殼 17 16 15 14 pro 13 12 11 XS XR X 保護殼 硬殼 素色殼</t>
        </is>
      </c>
      <c r="C701">
        <f>IMAGE("https://cf.shopee.tw/file/tw-11134207-7r98z-lsmoscd7es4233_tn")</f>
        <v/>
      </c>
      <c r="D701" t="inlineStr">
        <is>
          <t>黑邊,14 Pro</t>
        </is>
      </c>
      <c r="E701" t="inlineStr">
        <is>
          <t>207357888394</t>
        </is>
      </c>
      <c r="F701">
        <f>IMAGE("https://cf.shopee.tw/file/tw-11134207-7r98y-lsmoznuleleace_tn")</f>
        <v/>
      </c>
    </row>
    <row r="702">
      <c r="A702" t="inlineStr">
        <is>
          <t>25717655009</t>
        </is>
      </c>
      <c r="B702" t="inlineStr">
        <is>
          <t>隔日到貨🔥 iPhone 手機殼 17 16 15 14 pro 13 12 11 XS XR X 保護殼 硬殼 素色殼</t>
        </is>
      </c>
      <c r="C702">
        <f>IMAGE("https://cf.shopee.tw/file/tw-11134207-7r98z-lsmoscd7es4233_tn")</f>
        <v/>
      </c>
      <c r="D702" t="inlineStr">
        <is>
          <t>黑邊,14 Pro Max</t>
        </is>
      </c>
      <c r="E702" t="inlineStr"/>
      <c r="F702">
        <f>IMAGE("https://cf.shopee.tw/file/tw-11134207-7r98y-lsmoznuleleace_tn")</f>
        <v/>
      </c>
    </row>
    <row r="703">
      <c r="A703" t="inlineStr">
        <is>
          <t>25717655009</t>
        </is>
      </c>
      <c r="B703" t="inlineStr">
        <is>
          <t>隔日到貨🔥 iPhone 手機殼 17 16 15 14 pro 13 12 11 XS XR X 保護殼 硬殼 素色殼</t>
        </is>
      </c>
      <c r="C703">
        <f>IMAGE("https://cf.shopee.tw/file/tw-11134207-7r98z-lsmoscd7es4233_tn")</f>
        <v/>
      </c>
      <c r="D703" t="inlineStr">
        <is>
          <t>黑邊,14Plus/15Plus</t>
        </is>
      </c>
      <c r="E703" t="inlineStr">
        <is>
          <t>232573700846</t>
        </is>
      </c>
      <c r="F703">
        <f>IMAGE("https://cf.shopee.tw/file/tw-11134207-7r98y-lsmoznuleleace_tn")</f>
        <v/>
      </c>
    </row>
    <row r="704">
      <c r="A704" t="inlineStr">
        <is>
          <t>25717655009</t>
        </is>
      </c>
      <c r="B704" t="inlineStr">
        <is>
          <t>隔日到貨🔥 iPhone 手機殼 17 16 15 14 pro 13 12 11 XS XR X 保護殼 硬殼 素色殼</t>
        </is>
      </c>
      <c r="C704">
        <f>IMAGE("https://cf.shopee.tw/file/tw-11134207-7r98z-lsmoscd7es4233_tn")</f>
        <v/>
      </c>
      <c r="D704" t="inlineStr">
        <is>
          <t>黑邊,15</t>
        </is>
      </c>
      <c r="E704" t="inlineStr">
        <is>
          <t>207357888396</t>
        </is>
      </c>
      <c r="F704">
        <f>IMAGE("https://cf.shopee.tw/file/tw-11134207-7r98y-lsmoznuleleace_tn")</f>
        <v/>
      </c>
    </row>
    <row r="705">
      <c r="A705" t="inlineStr">
        <is>
          <t>25717655009</t>
        </is>
      </c>
      <c r="B705" t="inlineStr">
        <is>
          <t>隔日到貨🔥 iPhone 手機殼 17 16 15 14 pro 13 12 11 XS XR X 保護殼 硬殼 素色殼</t>
        </is>
      </c>
      <c r="C705">
        <f>IMAGE("https://cf.shopee.tw/file/tw-11134207-7r98z-lsmoscd7es4233_tn")</f>
        <v/>
      </c>
      <c r="D705" t="inlineStr">
        <is>
          <t>黑邊,15 Pro</t>
        </is>
      </c>
      <c r="E705" t="inlineStr">
        <is>
          <t>207357888397</t>
        </is>
      </c>
      <c r="F705">
        <f>IMAGE("https://cf.shopee.tw/file/tw-11134207-7r98y-lsmoznuleleace_tn")</f>
        <v/>
      </c>
    </row>
    <row r="706">
      <c r="A706" t="inlineStr">
        <is>
          <t>25717655009</t>
        </is>
      </c>
      <c r="B706" t="inlineStr">
        <is>
          <t>隔日到貨🔥 iPhone 手機殼 17 16 15 14 pro 13 12 11 XS XR X 保護殼 硬殼 素色殼</t>
        </is>
      </c>
      <c r="C706">
        <f>IMAGE("https://cf.shopee.tw/file/tw-11134207-7r98z-lsmoscd7es4233_tn")</f>
        <v/>
      </c>
      <c r="D706" t="inlineStr">
        <is>
          <t>黑邊,15 Pro Max</t>
        </is>
      </c>
      <c r="E706" t="inlineStr">
        <is>
          <t>207357888398</t>
        </is>
      </c>
      <c r="F706">
        <f>IMAGE("https://cf.shopee.tw/file/tw-11134207-7r98y-lsmoznuleleace_tn")</f>
        <v/>
      </c>
    </row>
    <row r="707">
      <c r="A707" t="inlineStr">
        <is>
          <t>25717655009</t>
        </is>
      </c>
      <c r="B707" t="inlineStr">
        <is>
          <t>隔日到貨🔥 iPhone 手機殼 17 16 15 14 pro 13 12 11 XS XR X 保護殼 硬殼 素色殼</t>
        </is>
      </c>
      <c r="C707">
        <f>IMAGE("https://cf.shopee.tw/file/tw-11134207-7r98z-lsmoscd7es4233_tn")</f>
        <v/>
      </c>
      <c r="D707" t="inlineStr">
        <is>
          <t>黑邊,16</t>
        </is>
      </c>
      <c r="E707" t="inlineStr">
        <is>
          <t>118506107444</t>
        </is>
      </c>
      <c r="F707">
        <f>IMAGE("https://cf.shopee.tw/file/tw-11134207-7r98y-lsmoznuleleace_tn")</f>
        <v/>
      </c>
    </row>
    <row r="708">
      <c r="A708" t="inlineStr">
        <is>
          <t>25717655009</t>
        </is>
      </c>
      <c r="B708" t="inlineStr">
        <is>
          <t>隔日到貨🔥 iPhone 手機殼 17 16 15 14 pro 13 12 11 XS XR X 保護殼 硬殼 素色殼</t>
        </is>
      </c>
      <c r="C708">
        <f>IMAGE("https://cf.shopee.tw/file/tw-11134207-7r98z-lsmoscd7es4233_tn")</f>
        <v/>
      </c>
      <c r="D708" t="inlineStr">
        <is>
          <t>黑邊,16 Pro</t>
        </is>
      </c>
      <c r="E708" t="inlineStr">
        <is>
          <t>118506107445</t>
        </is>
      </c>
      <c r="F708">
        <f>IMAGE("https://cf.shopee.tw/file/tw-11134207-7r98y-lsmoznuleleace_tn")</f>
        <v/>
      </c>
    </row>
    <row r="709">
      <c r="A709" t="inlineStr">
        <is>
          <t>25717655009</t>
        </is>
      </c>
      <c r="B709" t="inlineStr">
        <is>
          <t>隔日到貨🔥 iPhone 手機殼 17 16 15 14 pro 13 12 11 XS XR X 保護殼 硬殼 素色殼</t>
        </is>
      </c>
      <c r="C709">
        <f>IMAGE("https://cf.shopee.tw/file/tw-11134207-7r98z-lsmoscd7es4233_tn")</f>
        <v/>
      </c>
      <c r="D709" t="inlineStr">
        <is>
          <t>黑邊,16 Pro Max</t>
        </is>
      </c>
      <c r="E709" t="inlineStr">
        <is>
          <t>118506107446</t>
        </is>
      </c>
      <c r="F709">
        <f>IMAGE("https://cf.shopee.tw/file/tw-11134207-7r98y-lsmoznuleleace_tn")</f>
        <v/>
      </c>
    </row>
    <row r="710">
      <c r="A710" t="inlineStr">
        <is>
          <t>25717655009</t>
        </is>
      </c>
      <c r="B710" t="inlineStr">
        <is>
          <t>隔日到貨🔥 iPhone 手機殼 17 16 15 14 pro 13 12 11 XS XR X 保護殼 硬殼 素色殼</t>
        </is>
      </c>
      <c r="C710">
        <f>IMAGE("https://cf.shopee.tw/file/tw-11134207-7r98z-lsmoscd7es4233_tn")</f>
        <v/>
      </c>
      <c r="D710" t="inlineStr">
        <is>
          <t>黑邊,17</t>
        </is>
      </c>
      <c r="E710" t="inlineStr">
        <is>
          <t>425093285319</t>
        </is>
      </c>
      <c r="F710">
        <f>IMAGE("https://cf.shopee.tw/file/tw-11134207-7r98y-lsmoznuleleace_tn")</f>
        <v/>
      </c>
    </row>
    <row r="711">
      <c r="A711" t="inlineStr">
        <is>
          <t>25717655009</t>
        </is>
      </c>
      <c r="B711" t="inlineStr">
        <is>
          <t>隔日到貨🔥 iPhone 手機殼 17 16 15 14 pro 13 12 11 XS XR X 保護殼 硬殼 素色殼</t>
        </is>
      </c>
      <c r="C711">
        <f>IMAGE("https://cf.shopee.tw/file/tw-11134207-7r98z-lsmoscd7es4233_tn")</f>
        <v/>
      </c>
      <c r="D711" t="inlineStr">
        <is>
          <t>黑邊,17 Pro</t>
        </is>
      </c>
      <c r="E711" t="inlineStr"/>
      <c r="F711">
        <f>IMAGE("https://cf.shopee.tw/file/tw-11134207-7r98y-lsmoznuleleace_tn")</f>
        <v/>
      </c>
    </row>
    <row r="712">
      <c r="A712" t="inlineStr">
        <is>
          <t>25717655009</t>
        </is>
      </c>
      <c r="B712" t="inlineStr">
        <is>
          <t>隔日到貨🔥 iPhone 手機殼 17 16 15 14 pro 13 12 11 XS XR X 保護殼 硬殼 素色殼</t>
        </is>
      </c>
      <c r="C712">
        <f>IMAGE("https://cf.shopee.tw/file/tw-11134207-7r98z-lsmoscd7es4233_tn")</f>
        <v/>
      </c>
      <c r="D712" t="inlineStr">
        <is>
          <t>黑邊,17 Pro Max</t>
        </is>
      </c>
      <c r="E712" t="inlineStr"/>
      <c r="F712">
        <f>IMAGE("https://cf.shopee.tw/file/tw-11134207-7r98y-lsmoznuleleace_tn")</f>
        <v/>
      </c>
    </row>
    <row r="713">
      <c r="A713" t="inlineStr">
        <is>
          <t>25717655009</t>
        </is>
      </c>
      <c r="B713" t="inlineStr">
        <is>
          <t>隔日到貨🔥 iPhone 手機殼 17 16 15 14 pro 13 12 11 XS XR X 保護殼 硬殼 素色殼</t>
        </is>
      </c>
      <c r="C713">
        <f>IMAGE("https://cf.shopee.tw/file/tw-11134207-7r98z-lsmoscd7es4233_tn")</f>
        <v/>
      </c>
      <c r="D713" t="inlineStr">
        <is>
          <t>白邊,X / XS</t>
        </is>
      </c>
      <c r="E713" t="inlineStr">
        <is>
          <t>207357888400</t>
        </is>
      </c>
      <c r="F713">
        <f>IMAGE("https://cf.shopee.tw/file/tw-11134207-7r990-lsmoznulelu061_tn")</f>
        <v/>
      </c>
    </row>
    <row r="714">
      <c r="A714" t="inlineStr">
        <is>
          <t>25717655009</t>
        </is>
      </c>
      <c r="B714" t="inlineStr">
        <is>
          <t>隔日到貨🔥 iPhone 手機殼 17 16 15 14 pro 13 12 11 XS XR X 保護殼 硬殼 素色殼</t>
        </is>
      </c>
      <c r="C714">
        <f>IMAGE("https://cf.shopee.tw/file/tw-11134207-7r98z-lsmoscd7es4233_tn")</f>
        <v/>
      </c>
      <c r="D714" t="inlineStr">
        <is>
          <t>白邊,XR</t>
        </is>
      </c>
      <c r="E714" t="inlineStr">
        <is>
          <t>207357888401</t>
        </is>
      </c>
      <c r="F714">
        <f>IMAGE("https://cf.shopee.tw/file/tw-11134207-7r990-lsmoznulelu061_tn")</f>
        <v/>
      </c>
    </row>
    <row r="715">
      <c r="A715" t="inlineStr">
        <is>
          <t>25717655009</t>
        </is>
      </c>
      <c r="B715" t="inlineStr">
        <is>
          <t>隔日到貨🔥 iPhone 手機殼 17 16 15 14 pro 13 12 11 XS XR X 保護殼 硬殼 素色殼</t>
        </is>
      </c>
      <c r="C715">
        <f>IMAGE("https://cf.shopee.tw/file/tw-11134207-7r98z-lsmoscd7es4233_tn")</f>
        <v/>
      </c>
      <c r="D715" t="inlineStr">
        <is>
          <t>白邊,11</t>
        </is>
      </c>
      <c r="E715" t="inlineStr">
        <is>
          <t>207357888402</t>
        </is>
      </c>
      <c r="F715">
        <f>IMAGE("https://cf.shopee.tw/file/tw-11134207-7r990-lsmoznulelu061_tn")</f>
        <v/>
      </c>
    </row>
    <row r="716">
      <c r="A716" t="inlineStr">
        <is>
          <t>25717655009</t>
        </is>
      </c>
      <c r="B716" t="inlineStr">
        <is>
          <t>隔日到貨🔥 iPhone 手機殼 17 16 15 14 pro 13 12 11 XS XR X 保護殼 硬殼 素色殼</t>
        </is>
      </c>
      <c r="C716">
        <f>IMAGE("https://cf.shopee.tw/file/tw-11134207-7r98z-lsmoscd7es4233_tn")</f>
        <v/>
      </c>
      <c r="D716" t="inlineStr">
        <is>
          <t>白邊,12 / 12 Pro</t>
        </is>
      </c>
      <c r="E716" t="inlineStr">
        <is>
          <t>207357888403</t>
        </is>
      </c>
      <c r="F716">
        <f>IMAGE("https://cf.shopee.tw/file/tw-11134207-7r990-lsmoznulelu061_tn")</f>
        <v/>
      </c>
    </row>
    <row r="717">
      <c r="A717" t="inlineStr">
        <is>
          <t>25717655009</t>
        </is>
      </c>
      <c r="B717" t="inlineStr">
        <is>
          <t>隔日到貨🔥 iPhone 手機殼 17 16 15 14 pro 13 12 11 XS XR X 保護殼 硬殼 素色殼</t>
        </is>
      </c>
      <c r="C717">
        <f>IMAGE("https://cf.shopee.tw/file/tw-11134207-7r98z-lsmoscd7es4233_tn")</f>
        <v/>
      </c>
      <c r="D717" t="inlineStr">
        <is>
          <t>白邊,13</t>
        </is>
      </c>
      <c r="E717" t="inlineStr">
        <is>
          <t>207357888405</t>
        </is>
      </c>
      <c r="F717">
        <f>IMAGE("https://cf.shopee.tw/file/tw-11134207-7r990-lsmoznulelu061_tn")</f>
        <v/>
      </c>
    </row>
    <row r="718">
      <c r="A718" t="inlineStr">
        <is>
          <t>25717655009</t>
        </is>
      </c>
      <c r="B718" t="inlineStr">
        <is>
          <t>隔日到貨🔥 iPhone 手機殼 17 16 15 14 pro 13 12 11 XS XR X 保護殼 硬殼 素色殼</t>
        </is>
      </c>
      <c r="C718">
        <f>IMAGE("https://cf.shopee.tw/file/tw-11134207-7r98z-lsmoscd7es4233_tn")</f>
        <v/>
      </c>
      <c r="D718" t="inlineStr">
        <is>
          <t>白邊,13 Pro</t>
        </is>
      </c>
      <c r="E718" t="inlineStr">
        <is>
          <t>207357888406</t>
        </is>
      </c>
      <c r="F718">
        <f>IMAGE("https://cf.shopee.tw/file/tw-11134207-7r990-lsmoznulelu061_tn")</f>
        <v/>
      </c>
    </row>
    <row r="719">
      <c r="A719" t="inlineStr">
        <is>
          <t>25717655009</t>
        </is>
      </c>
      <c r="B719" t="inlineStr">
        <is>
          <t>隔日到貨🔥 iPhone 手機殼 17 16 15 14 pro 13 12 11 XS XR X 保護殼 硬殼 素色殼</t>
        </is>
      </c>
      <c r="C719">
        <f>IMAGE("https://cf.shopee.tw/file/tw-11134207-7r98z-lsmoscd7es4233_tn")</f>
        <v/>
      </c>
      <c r="D719" t="inlineStr">
        <is>
          <t>白邊,14</t>
        </is>
      </c>
      <c r="E719" t="inlineStr">
        <is>
          <t>207357888408</t>
        </is>
      </c>
      <c r="F719">
        <f>IMAGE("https://cf.shopee.tw/file/tw-11134207-7r990-lsmoznulelu061_tn")</f>
        <v/>
      </c>
    </row>
    <row r="720">
      <c r="A720" t="inlineStr">
        <is>
          <t>25717655009</t>
        </is>
      </c>
      <c r="B720" t="inlineStr">
        <is>
          <t>隔日到貨🔥 iPhone 手機殼 17 16 15 14 pro 13 12 11 XS XR X 保護殼 硬殼 素色殼</t>
        </is>
      </c>
      <c r="C720">
        <f>IMAGE("https://cf.shopee.tw/file/tw-11134207-7r98z-lsmoscd7es4233_tn")</f>
        <v/>
      </c>
      <c r="D720" t="inlineStr">
        <is>
          <t>白邊,14 Pro</t>
        </is>
      </c>
      <c r="E720" t="inlineStr">
        <is>
          <t>207357888409</t>
        </is>
      </c>
      <c r="F720">
        <f>IMAGE("https://cf.shopee.tw/file/tw-11134207-7r990-lsmoznulelu061_tn")</f>
        <v/>
      </c>
    </row>
    <row r="721">
      <c r="A721" t="inlineStr">
        <is>
          <t>25717655009</t>
        </is>
      </c>
      <c r="B721" t="inlineStr">
        <is>
          <t>隔日到貨🔥 iPhone 手機殼 17 16 15 14 pro 13 12 11 XS XR X 保護殼 硬殼 素色殼</t>
        </is>
      </c>
      <c r="C721">
        <f>IMAGE("https://cf.shopee.tw/file/tw-11134207-7r98z-lsmoscd7es4233_tn")</f>
        <v/>
      </c>
      <c r="D721" t="inlineStr">
        <is>
          <t>白邊,14 Pro Max</t>
        </is>
      </c>
      <c r="E721" t="inlineStr">
        <is>
          <t>207357888410</t>
        </is>
      </c>
      <c r="F721">
        <f>IMAGE("https://cf.shopee.tw/file/tw-11134207-7r990-lsmoznulelu061_tn")</f>
        <v/>
      </c>
    </row>
    <row r="722">
      <c r="A722" t="inlineStr">
        <is>
          <t>25717655009</t>
        </is>
      </c>
      <c r="B722" t="inlineStr">
        <is>
          <t>隔日到貨🔥 iPhone 手機殼 17 16 15 14 pro 13 12 11 XS XR X 保護殼 硬殼 素色殼</t>
        </is>
      </c>
      <c r="C722">
        <f>IMAGE("https://cf.shopee.tw/file/tw-11134207-7r98z-lsmoscd7es4233_tn")</f>
        <v/>
      </c>
      <c r="D722" t="inlineStr">
        <is>
          <t>白邊,14Plus/15Plus</t>
        </is>
      </c>
      <c r="E722" t="inlineStr">
        <is>
          <t>232573700847</t>
        </is>
      </c>
      <c r="F722">
        <f>IMAGE("https://cf.shopee.tw/file/tw-11134207-7r990-lsmoznulelu061_tn")</f>
        <v/>
      </c>
    </row>
    <row r="723">
      <c r="A723" t="inlineStr">
        <is>
          <t>25717655009</t>
        </is>
      </c>
      <c r="B723" t="inlineStr">
        <is>
          <t>隔日到貨🔥 iPhone 手機殼 17 16 15 14 pro 13 12 11 XS XR X 保護殼 硬殼 素色殼</t>
        </is>
      </c>
      <c r="C723">
        <f>IMAGE("https://cf.shopee.tw/file/tw-11134207-7r98z-lsmoscd7es4233_tn")</f>
        <v/>
      </c>
      <c r="D723" t="inlineStr">
        <is>
          <t>白邊,15</t>
        </is>
      </c>
      <c r="E723" t="inlineStr">
        <is>
          <t>207357888411</t>
        </is>
      </c>
      <c r="F723">
        <f>IMAGE("https://cf.shopee.tw/file/tw-11134207-7r990-lsmoznulelu061_tn")</f>
        <v/>
      </c>
    </row>
    <row r="724">
      <c r="A724" t="inlineStr">
        <is>
          <t>25717655009</t>
        </is>
      </c>
      <c r="B724" t="inlineStr">
        <is>
          <t>隔日到貨🔥 iPhone 手機殼 17 16 15 14 pro 13 12 11 XS XR X 保護殼 硬殼 素色殼</t>
        </is>
      </c>
      <c r="C724">
        <f>IMAGE("https://cf.shopee.tw/file/tw-11134207-7r98z-lsmoscd7es4233_tn")</f>
        <v/>
      </c>
      <c r="D724" t="inlineStr">
        <is>
          <t>白邊,15 Pro</t>
        </is>
      </c>
      <c r="E724" t="inlineStr">
        <is>
          <t>207357888412</t>
        </is>
      </c>
      <c r="F724">
        <f>IMAGE("https://cf.shopee.tw/file/tw-11134207-7r990-lsmoznulelu061_tn")</f>
        <v/>
      </c>
    </row>
    <row r="725">
      <c r="A725" t="inlineStr">
        <is>
          <t>25717655009</t>
        </is>
      </c>
      <c r="B725" t="inlineStr">
        <is>
          <t>隔日到貨🔥 iPhone 手機殼 17 16 15 14 pro 13 12 11 XS XR X 保護殼 硬殼 素色殼</t>
        </is>
      </c>
      <c r="C725">
        <f>IMAGE("https://cf.shopee.tw/file/tw-11134207-7r98z-lsmoscd7es4233_tn")</f>
        <v/>
      </c>
      <c r="D725" t="inlineStr">
        <is>
          <t>白邊,15 Pro Max</t>
        </is>
      </c>
      <c r="E725" t="inlineStr">
        <is>
          <t>207357888413</t>
        </is>
      </c>
      <c r="F725">
        <f>IMAGE("https://cf.shopee.tw/file/tw-11134207-7r990-lsmoznulelu061_tn")</f>
        <v/>
      </c>
    </row>
    <row r="726">
      <c r="A726" t="inlineStr">
        <is>
          <t>25717655009</t>
        </is>
      </c>
      <c r="B726" t="inlineStr">
        <is>
          <t>隔日到貨🔥 iPhone 手機殼 17 16 15 14 pro 13 12 11 XS XR X 保護殼 硬殼 素色殼</t>
        </is>
      </c>
      <c r="C726">
        <f>IMAGE("https://cf.shopee.tw/file/tw-11134207-7r98z-lsmoscd7es4233_tn")</f>
        <v/>
      </c>
      <c r="D726" t="inlineStr">
        <is>
          <t>白邊,16</t>
        </is>
      </c>
      <c r="E726" t="inlineStr">
        <is>
          <t>118506107447</t>
        </is>
      </c>
      <c r="F726">
        <f>IMAGE("https://cf.shopee.tw/file/tw-11134207-7r990-lsmoznulelu061_tn")</f>
        <v/>
      </c>
    </row>
    <row r="727">
      <c r="A727" t="inlineStr">
        <is>
          <t>25717655009</t>
        </is>
      </c>
      <c r="B727" t="inlineStr">
        <is>
          <t>隔日到貨🔥 iPhone 手機殼 17 16 15 14 pro 13 12 11 XS XR X 保護殼 硬殼 素色殼</t>
        </is>
      </c>
      <c r="C727">
        <f>IMAGE("https://cf.shopee.tw/file/tw-11134207-7r98z-lsmoscd7es4233_tn")</f>
        <v/>
      </c>
      <c r="D727" t="inlineStr">
        <is>
          <t>白邊,16 Pro</t>
        </is>
      </c>
      <c r="E727" t="inlineStr">
        <is>
          <t>118506107448</t>
        </is>
      </c>
      <c r="F727">
        <f>IMAGE("https://cf.shopee.tw/file/tw-11134207-7r990-lsmoznulelu061_tn")</f>
        <v/>
      </c>
    </row>
    <row r="728">
      <c r="A728" t="inlineStr">
        <is>
          <t>25717655009</t>
        </is>
      </c>
      <c r="B728" t="inlineStr">
        <is>
          <t>隔日到貨🔥 iPhone 手機殼 17 16 15 14 pro 13 12 11 XS XR X 保護殼 硬殼 素色殼</t>
        </is>
      </c>
      <c r="C728">
        <f>IMAGE("https://cf.shopee.tw/file/tw-11134207-7r98z-lsmoscd7es4233_tn")</f>
        <v/>
      </c>
      <c r="D728" t="inlineStr">
        <is>
          <t>白邊,16 Pro Max</t>
        </is>
      </c>
      <c r="E728" t="inlineStr">
        <is>
          <t>118506107449</t>
        </is>
      </c>
      <c r="F728">
        <f>IMAGE("https://cf.shopee.tw/file/tw-11134207-7r990-lsmoznulelu061_tn")</f>
        <v/>
      </c>
    </row>
    <row r="729">
      <c r="A729" t="inlineStr">
        <is>
          <t>25717655009</t>
        </is>
      </c>
      <c r="B729" t="inlineStr">
        <is>
          <t>隔日到貨🔥 iPhone 手機殼 17 16 15 14 pro 13 12 11 XS XR X 保護殼 硬殼 素色殼</t>
        </is>
      </c>
      <c r="C729">
        <f>IMAGE("https://cf.shopee.tw/file/tw-11134207-7r98z-lsmoscd7es4233_tn")</f>
        <v/>
      </c>
      <c r="D729" t="inlineStr">
        <is>
          <t>白邊,17</t>
        </is>
      </c>
      <c r="E729" t="inlineStr">
        <is>
          <t>425093285322</t>
        </is>
      </c>
      <c r="F729">
        <f>IMAGE("https://cf.shopee.tw/file/tw-11134207-7r990-lsmoznulelu061_tn")</f>
        <v/>
      </c>
    </row>
    <row r="730">
      <c r="A730" t="inlineStr">
        <is>
          <t>25717655009</t>
        </is>
      </c>
      <c r="B730" t="inlineStr">
        <is>
          <t>隔日到貨🔥 iPhone 手機殼 17 16 15 14 pro 13 12 11 XS XR X 保護殼 硬殼 素色殼</t>
        </is>
      </c>
      <c r="C730">
        <f>IMAGE("https://cf.shopee.tw/file/tw-11134207-7r98z-lsmoscd7es4233_tn")</f>
        <v/>
      </c>
      <c r="D730" t="inlineStr">
        <is>
          <t>白邊,17 Pro</t>
        </is>
      </c>
      <c r="E730" t="inlineStr">
        <is>
          <t>425093285323</t>
        </is>
      </c>
      <c r="F730">
        <f>IMAGE("https://cf.shopee.tw/file/tw-11134207-7r990-lsmoznulelu061_tn")</f>
        <v/>
      </c>
    </row>
    <row r="731">
      <c r="A731" t="inlineStr">
        <is>
          <t>25717655009</t>
        </is>
      </c>
      <c r="B731" t="inlineStr">
        <is>
          <t>隔日到貨🔥 iPhone 手機殼 17 16 15 14 pro 13 12 11 XS XR X 保護殼 硬殼 素色殼</t>
        </is>
      </c>
      <c r="C731">
        <f>IMAGE("https://cf.shopee.tw/file/tw-11134207-7r98z-lsmoscd7es4233_tn")</f>
        <v/>
      </c>
      <c r="D731" t="inlineStr">
        <is>
          <t>白邊,17 Pro Max</t>
        </is>
      </c>
      <c r="E731" t="inlineStr">
        <is>
          <t>425093285324</t>
        </is>
      </c>
      <c r="F731">
        <f>IMAGE("https://cf.shopee.tw/file/tw-11134207-7r990-lsmoznulelu061_tn")</f>
        <v/>
      </c>
    </row>
    <row r="732">
      <c r="A732" t="inlineStr">
        <is>
          <t>25717655009</t>
        </is>
      </c>
      <c r="B732" t="inlineStr">
        <is>
          <t>隔日到貨🔥 iPhone 手機殼 17 16 15 14 pro 13 12 11 XS XR X 保護殼 硬殼 素色殼</t>
        </is>
      </c>
      <c r="C732">
        <f>IMAGE("https://cf.shopee.tw/file/tw-11134207-7r98z-lsmoscd7es4233_tn")</f>
        <v/>
      </c>
      <c r="D732" t="inlineStr">
        <is>
          <t>粉膚邊,X / XS</t>
        </is>
      </c>
      <c r="E732" t="inlineStr">
        <is>
          <t>207357888415</t>
        </is>
      </c>
      <c r="F732">
        <f>IMAGE("https://cf.shopee.tw/file/tw-11134207-7r98r-lsmoznulu1n6f7_tn")</f>
        <v/>
      </c>
    </row>
    <row r="733">
      <c r="A733" t="inlineStr">
        <is>
          <t>25717655009</t>
        </is>
      </c>
      <c r="B733" t="inlineStr">
        <is>
          <t>隔日到貨🔥 iPhone 手機殼 17 16 15 14 pro 13 12 11 XS XR X 保護殼 硬殼 素色殼</t>
        </is>
      </c>
      <c r="C733">
        <f>IMAGE("https://cf.shopee.tw/file/tw-11134207-7r98z-lsmoscd7es4233_tn")</f>
        <v/>
      </c>
      <c r="D733" t="inlineStr">
        <is>
          <t>粉膚邊,XR</t>
        </is>
      </c>
      <c r="E733" t="inlineStr">
        <is>
          <t>207357888416</t>
        </is>
      </c>
      <c r="F733">
        <f>IMAGE("https://cf.shopee.tw/file/tw-11134207-7r98r-lsmoznulu1n6f7_tn")</f>
        <v/>
      </c>
    </row>
    <row r="734">
      <c r="A734" t="inlineStr">
        <is>
          <t>25717655009</t>
        </is>
      </c>
      <c r="B734" t="inlineStr">
        <is>
          <t>隔日到貨🔥 iPhone 手機殼 17 16 15 14 pro 13 12 11 XS XR X 保護殼 硬殼 素色殼</t>
        </is>
      </c>
      <c r="C734">
        <f>IMAGE("https://cf.shopee.tw/file/tw-11134207-7r98z-lsmoscd7es4233_tn")</f>
        <v/>
      </c>
      <c r="D734" t="inlineStr">
        <is>
          <t>粉膚邊,11</t>
        </is>
      </c>
      <c r="E734" t="inlineStr">
        <is>
          <t>207357888417</t>
        </is>
      </c>
      <c r="F734">
        <f>IMAGE("https://cf.shopee.tw/file/tw-11134207-7r98r-lsmoznulu1n6f7_tn")</f>
        <v/>
      </c>
    </row>
    <row r="735">
      <c r="A735" t="inlineStr">
        <is>
          <t>25717655009</t>
        </is>
      </c>
      <c r="B735" t="inlineStr">
        <is>
          <t>隔日到貨🔥 iPhone 手機殼 17 16 15 14 pro 13 12 11 XS XR X 保護殼 硬殼 素色殼</t>
        </is>
      </c>
      <c r="C735">
        <f>IMAGE("https://cf.shopee.tw/file/tw-11134207-7r98z-lsmoscd7es4233_tn")</f>
        <v/>
      </c>
      <c r="D735" t="inlineStr">
        <is>
          <t>粉膚邊,12 / 12 Pro</t>
        </is>
      </c>
      <c r="E735" t="inlineStr">
        <is>
          <t>207357888418</t>
        </is>
      </c>
      <c r="F735">
        <f>IMAGE("https://cf.shopee.tw/file/tw-11134207-7r98r-lsmoznulu1n6f7_tn")</f>
        <v/>
      </c>
    </row>
    <row r="736">
      <c r="A736" t="inlineStr">
        <is>
          <t>25717655009</t>
        </is>
      </c>
      <c r="B736" t="inlineStr">
        <is>
          <t>隔日到貨🔥 iPhone 手機殼 17 16 15 14 pro 13 12 11 XS XR X 保護殼 硬殼 素色殼</t>
        </is>
      </c>
      <c r="C736">
        <f>IMAGE("https://cf.shopee.tw/file/tw-11134207-7r98z-lsmoscd7es4233_tn")</f>
        <v/>
      </c>
      <c r="D736" t="inlineStr">
        <is>
          <t>粉膚邊,13</t>
        </is>
      </c>
      <c r="E736" t="inlineStr">
        <is>
          <t>207357888420</t>
        </is>
      </c>
      <c r="F736">
        <f>IMAGE("https://cf.shopee.tw/file/tw-11134207-7r98r-lsmoznulu1n6f7_tn")</f>
        <v/>
      </c>
    </row>
    <row r="737">
      <c r="A737" t="inlineStr">
        <is>
          <t>25717655009</t>
        </is>
      </c>
      <c r="B737" t="inlineStr">
        <is>
          <t>隔日到貨🔥 iPhone 手機殼 17 16 15 14 pro 13 12 11 XS XR X 保護殼 硬殼 素色殼</t>
        </is>
      </c>
      <c r="C737">
        <f>IMAGE("https://cf.shopee.tw/file/tw-11134207-7r98z-lsmoscd7es4233_tn")</f>
        <v/>
      </c>
      <c r="D737" t="inlineStr">
        <is>
          <t>粉膚邊,13 Pro</t>
        </is>
      </c>
      <c r="E737" t="inlineStr"/>
      <c r="F737">
        <f>IMAGE("https://cf.shopee.tw/file/tw-11134207-7r98r-lsmoznulu1n6f7_tn")</f>
        <v/>
      </c>
    </row>
    <row r="738">
      <c r="A738" t="inlineStr">
        <is>
          <t>25717655009</t>
        </is>
      </c>
      <c r="B738" t="inlineStr">
        <is>
          <t>隔日到貨🔥 iPhone 手機殼 17 16 15 14 pro 13 12 11 XS XR X 保護殼 硬殼 素色殼</t>
        </is>
      </c>
      <c r="C738">
        <f>IMAGE("https://cf.shopee.tw/file/tw-11134207-7r98z-lsmoscd7es4233_tn")</f>
        <v/>
      </c>
      <c r="D738" t="inlineStr">
        <is>
          <t>粉膚邊,14</t>
        </is>
      </c>
      <c r="E738" t="inlineStr">
        <is>
          <t>207357888423</t>
        </is>
      </c>
      <c r="F738">
        <f>IMAGE("https://cf.shopee.tw/file/tw-11134207-7r98r-lsmoznulu1n6f7_tn")</f>
        <v/>
      </c>
    </row>
    <row r="739">
      <c r="A739" t="inlineStr">
        <is>
          <t>25717655009</t>
        </is>
      </c>
      <c r="B739" t="inlineStr">
        <is>
          <t>隔日到貨🔥 iPhone 手機殼 17 16 15 14 pro 13 12 11 XS XR X 保護殼 硬殼 素色殼</t>
        </is>
      </c>
      <c r="C739">
        <f>IMAGE("https://cf.shopee.tw/file/tw-11134207-7r98z-lsmoscd7es4233_tn")</f>
        <v/>
      </c>
      <c r="D739" t="inlineStr">
        <is>
          <t>粉膚邊,14 Pro</t>
        </is>
      </c>
      <c r="E739" t="inlineStr">
        <is>
          <t>207357888424</t>
        </is>
      </c>
      <c r="F739">
        <f>IMAGE("https://cf.shopee.tw/file/tw-11134207-7r98r-lsmoznulu1n6f7_tn")</f>
        <v/>
      </c>
    </row>
    <row r="740">
      <c r="A740" t="inlineStr">
        <is>
          <t>25717655009</t>
        </is>
      </c>
      <c r="B740" t="inlineStr">
        <is>
          <t>隔日到貨🔥 iPhone 手機殼 17 16 15 14 pro 13 12 11 XS XR X 保護殼 硬殼 素色殼</t>
        </is>
      </c>
      <c r="C740">
        <f>IMAGE("https://cf.shopee.tw/file/tw-11134207-7r98z-lsmoscd7es4233_tn")</f>
        <v/>
      </c>
      <c r="D740" t="inlineStr">
        <is>
          <t>粉膚邊,14Plus/15Plus</t>
        </is>
      </c>
      <c r="E740" t="inlineStr">
        <is>
          <t>236109109101</t>
        </is>
      </c>
      <c r="F740">
        <f>IMAGE("https://cf.shopee.tw/file/tw-11134207-7r98r-lsmoznulu1n6f7_tn")</f>
        <v/>
      </c>
    </row>
    <row r="741">
      <c r="A741" t="inlineStr">
        <is>
          <t>25717655009</t>
        </is>
      </c>
      <c r="B741" t="inlineStr">
        <is>
          <t>隔日到貨🔥 iPhone 手機殼 17 16 15 14 pro 13 12 11 XS XR X 保護殼 硬殼 素色殼</t>
        </is>
      </c>
      <c r="C741">
        <f>IMAGE("https://cf.shopee.tw/file/tw-11134207-7r98z-lsmoscd7es4233_tn")</f>
        <v/>
      </c>
      <c r="D741" t="inlineStr">
        <is>
          <t>粉膚邊,15</t>
        </is>
      </c>
      <c r="E741" t="inlineStr">
        <is>
          <t>207357888426</t>
        </is>
      </c>
      <c r="F741">
        <f>IMAGE("https://cf.shopee.tw/file/tw-11134207-7r98r-lsmoznulu1n6f7_tn")</f>
        <v/>
      </c>
    </row>
    <row r="742">
      <c r="A742" t="inlineStr">
        <is>
          <t>25717655009</t>
        </is>
      </c>
      <c r="B742" t="inlineStr">
        <is>
          <t>隔日到貨🔥 iPhone 手機殼 17 16 15 14 pro 13 12 11 XS XR X 保護殼 硬殼 素色殼</t>
        </is>
      </c>
      <c r="C742">
        <f>IMAGE("https://cf.shopee.tw/file/tw-11134207-7r98z-lsmoscd7es4233_tn")</f>
        <v/>
      </c>
      <c r="D742" t="inlineStr">
        <is>
          <t>粉膚邊,15 Pro</t>
        </is>
      </c>
      <c r="E742" t="inlineStr">
        <is>
          <t>207357888427</t>
        </is>
      </c>
      <c r="F742">
        <f>IMAGE("https://cf.shopee.tw/file/tw-11134207-7r98r-lsmoznulu1n6f7_tn")</f>
        <v/>
      </c>
    </row>
    <row r="743">
      <c r="A743" t="inlineStr">
        <is>
          <t>25717655009</t>
        </is>
      </c>
      <c r="B743" t="inlineStr">
        <is>
          <t>隔日到貨🔥 iPhone 手機殼 17 16 15 14 pro 13 12 11 XS XR X 保護殼 硬殼 素色殼</t>
        </is>
      </c>
      <c r="C743">
        <f>IMAGE("https://cf.shopee.tw/file/tw-11134207-7r98z-lsmoscd7es4233_tn")</f>
        <v/>
      </c>
      <c r="D743" t="inlineStr">
        <is>
          <t>粉膚邊,15 Pro Max</t>
        </is>
      </c>
      <c r="E743" t="inlineStr"/>
      <c r="F743">
        <f>IMAGE("https://cf.shopee.tw/file/tw-11134207-7r98r-lsmoznulu1n6f7_tn")</f>
        <v/>
      </c>
    </row>
    <row r="744">
      <c r="A744" t="inlineStr">
        <is>
          <t>25717655009</t>
        </is>
      </c>
      <c r="B744" t="inlineStr">
        <is>
          <t>隔日到貨🔥 iPhone 手機殼 17 16 15 14 pro 13 12 11 XS XR X 保護殼 硬殼 素色殼</t>
        </is>
      </c>
      <c r="C744">
        <f>IMAGE("https://cf.shopee.tw/file/tw-11134207-7r98z-lsmoscd7es4233_tn")</f>
        <v/>
      </c>
      <c r="D744" t="inlineStr">
        <is>
          <t>粉膚邊,16</t>
        </is>
      </c>
      <c r="E744" t="inlineStr">
        <is>
          <t>118506107450</t>
        </is>
      </c>
      <c r="F744">
        <f>IMAGE("https://cf.shopee.tw/file/tw-11134207-7r98r-lsmoznulu1n6f7_tn")</f>
        <v/>
      </c>
    </row>
    <row r="745">
      <c r="A745" t="inlineStr">
        <is>
          <t>25717655009</t>
        </is>
      </c>
      <c r="B745" t="inlineStr">
        <is>
          <t>隔日到貨🔥 iPhone 手機殼 17 16 15 14 pro 13 12 11 XS XR X 保護殼 硬殼 素色殼</t>
        </is>
      </c>
      <c r="C745">
        <f>IMAGE("https://cf.shopee.tw/file/tw-11134207-7r98z-lsmoscd7es4233_tn")</f>
        <v/>
      </c>
      <c r="D745" t="inlineStr">
        <is>
          <t>粉膚邊,16 Pro</t>
        </is>
      </c>
      <c r="E745" t="inlineStr">
        <is>
          <t>118506107451</t>
        </is>
      </c>
      <c r="F745">
        <f>IMAGE("https://cf.shopee.tw/file/tw-11134207-7r98r-lsmoznulu1n6f7_tn")</f>
        <v/>
      </c>
    </row>
    <row r="746">
      <c r="A746" t="inlineStr">
        <is>
          <t>25717655009</t>
        </is>
      </c>
      <c r="B746" t="inlineStr">
        <is>
          <t>隔日到貨🔥 iPhone 手機殼 17 16 15 14 pro 13 12 11 XS XR X 保護殼 硬殼 素色殼</t>
        </is>
      </c>
      <c r="C746">
        <f>IMAGE("https://cf.shopee.tw/file/tw-11134207-7r98z-lsmoscd7es4233_tn")</f>
        <v/>
      </c>
      <c r="D746" t="inlineStr">
        <is>
          <t>粉膚邊,16 Pro Max</t>
        </is>
      </c>
      <c r="E746" t="inlineStr">
        <is>
          <t>118506107452</t>
        </is>
      </c>
      <c r="F746">
        <f>IMAGE("https://cf.shopee.tw/file/tw-11134207-7r98r-lsmoznulu1n6f7_tn")</f>
        <v/>
      </c>
    </row>
    <row r="747">
      <c r="A747" t="inlineStr">
        <is>
          <t>25717655009</t>
        </is>
      </c>
      <c r="B747" t="inlineStr">
        <is>
          <t>隔日到貨🔥 iPhone 手機殼 17 16 15 14 pro 13 12 11 XS XR X 保護殼 硬殼 素色殼</t>
        </is>
      </c>
      <c r="C747">
        <f>IMAGE("https://cf.shopee.tw/file/tw-11134207-7r98z-lsmoscd7es4233_tn")</f>
        <v/>
      </c>
      <c r="D747" t="inlineStr">
        <is>
          <t>綠邊,X / XS</t>
        </is>
      </c>
      <c r="E747" t="inlineStr"/>
      <c r="F747">
        <f>IMAGE("https://cf.shopee.tw/file/tw-11134207-7r98s-lsmoznuve77seb_tn")</f>
        <v/>
      </c>
    </row>
    <row r="748">
      <c r="A748" t="inlineStr">
        <is>
          <t>25717655009</t>
        </is>
      </c>
      <c r="B748" t="inlineStr">
        <is>
          <t>隔日到貨🔥 iPhone 手機殼 17 16 15 14 pro 13 12 11 XS XR X 保護殼 硬殼 素色殼</t>
        </is>
      </c>
      <c r="C748">
        <f>IMAGE("https://cf.shopee.tw/file/tw-11134207-7r98z-lsmoscd7es4233_tn")</f>
        <v/>
      </c>
      <c r="D748" t="inlineStr">
        <is>
          <t>綠邊,XR</t>
        </is>
      </c>
      <c r="E748" t="inlineStr"/>
      <c r="F748">
        <f>IMAGE("https://cf.shopee.tw/file/tw-11134207-7r98s-lsmoznuve77seb_tn")</f>
        <v/>
      </c>
    </row>
    <row r="749">
      <c r="A749" t="inlineStr">
        <is>
          <t>25717655009</t>
        </is>
      </c>
      <c r="B749" t="inlineStr">
        <is>
          <t>隔日到貨🔥 iPhone 手機殼 17 16 15 14 pro 13 12 11 XS XR X 保護殼 硬殼 素色殼</t>
        </is>
      </c>
      <c r="C749">
        <f>IMAGE("https://cf.shopee.tw/file/tw-11134207-7r98z-lsmoscd7es4233_tn")</f>
        <v/>
      </c>
      <c r="D749" t="inlineStr">
        <is>
          <t>綠邊,11</t>
        </is>
      </c>
      <c r="E749" t="inlineStr">
        <is>
          <t>207357888432</t>
        </is>
      </c>
      <c r="F749">
        <f>IMAGE("https://cf.shopee.tw/file/tw-11134207-7r98s-lsmoznuve77seb_tn")</f>
        <v/>
      </c>
    </row>
    <row r="750">
      <c r="A750" t="inlineStr">
        <is>
          <t>25717655009</t>
        </is>
      </c>
      <c r="B750" t="inlineStr">
        <is>
          <t>隔日到貨🔥 iPhone 手機殼 17 16 15 14 pro 13 12 11 XS XR X 保護殼 硬殼 素色殼</t>
        </is>
      </c>
      <c r="C750">
        <f>IMAGE("https://cf.shopee.tw/file/tw-11134207-7r98z-lsmoscd7es4233_tn")</f>
        <v/>
      </c>
      <c r="D750" t="inlineStr">
        <is>
          <t>綠邊,12 / 12 Pro</t>
        </is>
      </c>
      <c r="E750" t="inlineStr">
        <is>
          <t>207357888433</t>
        </is>
      </c>
      <c r="F750">
        <f>IMAGE("https://cf.shopee.tw/file/tw-11134207-7r98s-lsmoznuve77seb_tn")</f>
        <v/>
      </c>
    </row>
    <row r="751">
      <c r="A751" t="inlineStr">
        <is>
          <t>25717655009</t>
        </is>
      </c>
      <c r="B751" t="inlineStr">
        <is>
          <t>隔日到貨🔥 iPhone 手機殼 17 16 15 14 pro 13 12 11 XS XR X 保護殼 硬殼 素色殼</t>
        </is>
      </c>
      <c r="C751">
        <f>IMAGE("https://cf.shopee.tw/file/tw-11134207-7r98z-lsmoscd7es4233_tn")</f>
        <v/>
      </c>
      <c r="D751" t="inlineStr">
        <is>
          <t>綠邊,13</t>
        </is>
      </c>
      <c r="E751" t="inlineStr">
        <is>
          <t>207357888435</t>
        </is>
      </c>
      <c r="F751">
        <f>IMAGE("https://cf.shopee.tw/file/tw-11134207-7r98s-lsmoznuve77seb_tn")</f>
        <v/>
      </c>
    </row>
    <row r="752">
      <c r="A752" t="inlineStr">
        <is>
          <t>25717655009</t>
        </is>
      </c>
      <c r="B752" t="inlineStr">
        <is>
          <t>隔日到貨🔥 iPhone 手機殼 17 16 15 14 pro 13 12 11 XS XR X 保護殼 硬殼 素色殼</t>
        </is>
      </c>
      <c r="C752">
        <f>IMAGE("https://cf.shopee.tw/file/tw-11134207-7r98z-lsmoscd7es4233_tn")</f>
        <v/>
      </c>
      <c r="D752" t="inlineStr">
        <is>
          <t>綠邊,13 Pro</t>
        </is>
      </c>
      <c r="E752" t="inlineStr">
        <is>
          <t>207357888436</t>
        </is>
      </c>
      <c r="F752">
        <f>IMAGE("https://cf.shopee.tw/file/tw-11134207-7r98s-lsmoznuve77seb_tn")</f>
        <v/>
      </c>
    </row>
    <row r="753">
      <c r="A753" t="inlineStr">
        <is>
          <t>25717655009</t>
        </is>
      </c>
      <c r="B753" t="inlineStr">
        <is>
          <t>隔日到貨🔥 iPhone 手機殼 17 16 15 14 pro 13 12 11 XS XR X 保護殼 硬殼 素色殼</t>
        </is>
      </c>
      <c r="C753">
        <f>IMAGE("https://cf.shopee.tw/file/tw-11134207-7r98z-lsmoscd7es4233_tn")</f>
        <v/>
      </c>
      <c r="D753" t="inlineStr">
        <is>
          <t>綠邊,14</t>
        </is>
      </c>
      <c r="E753" t="inlineStr">
        <is>
          <t>207357888438</t>
        </is>
      </c>
      <c r="F753">
        <f>IMAGE("https://cf.shopee.tw/file/tw-11134207-7r98s-lsmoznuve77seb_tn")</f>
        <v/>
      </c>
    </row>
    <row r="754">
      <c r="A754" t="inlineStr">
        <is>
          <t>25717655009</t>
        </is>
      </c>
      <c r="B754" t="inlineStr">
        <is>
          <t>隔日到貨🔥 iPhone 手機殼 17 16 15 14 pro 13 12 11 XS XR X 保護殼 硬殼 素色殼</t>
        </is>
      </c>
      <c r="C754">
        <f>IMAGE("https://cf.shopee.tw/file/tw-11134207-7r98z-lsmoscd7es4233_tn")</f>
        <v/>
      </c>
      <c r="D754" t="inlineStr">
        <is>
          <t>綠邊,14 Pro</t>
        </is>
      </c>
      <c r="E754" t="inlineStr">
        <is>
          <t>207357888439</t>
        </is>
      </c>
      <c r="F754">
        <f>IMAGE("https://cf.shopee.tw/file/tw-11134207-7r98s-lsmoznuve77seb_tn")</f>
        <v/>
      </c>
    </row>
    <row r="755">
      <c r="A755" t="inlineStr">
        <is>
          <t>25717655009</t>
        </is>
      </c>
      <c r="B755" t="inlineStr">
        <is>
          <t>隔日到貨🔥 iPhone 手機殼 17 16 15 14 pro 13 12 11 XS XR X 保護殼 硬殼 素色殼</t>
        </is>
      </c>
      <c r="C755">
        <f>IMAGE("https://cf.shopee.tw/file/tw-11134207-7r98z-lsmoscd7es4233_tn")</f>
        <v/>
      </c>
      <c r="D755" t="inlineStr">
        <is>
          <t>綠邊,14 Pro Max</t>
        </is>
      </c>
      <c r="E755" t="inlineStr">
        <is>
          <t>207357888440</t>
        </is>
      </c>
      <c r="F755">
        <f>IMAGE("https://cf.shopee.tw/file/tw-11134207-7r98s-lsmoznuve77seb_tn")</f>
        <v/>
      </c>
    </row>
    <row r="756">
      <c r="A756" t="inlineStr">
        <is>
          <t>25717655009</t>
        </is>
      </c>
      <c r="B756" t="inlineStr">
        <is>
          <t>隔日到貨🔥 iPhone 手機殼 17 16 15 14 pro 13 12 11 XS XR X 保護殼 硬殼 素色殼</t>
        </is>
      </c>
      <c r="C756">
        <f>IMAGE("https://cf.shopee.tw/file/tw-11134207-7r98z-lsmoscd7es4233_tn")</f>
        <v/>
      </c>
      <c r="D756" t="inlineStr">
        <is>
          <t>綠邊,14Plus/15Plus</t>
        </is>
      </c>
      <c r="E756" t="inlineStr">
        <is>
          <t>236109109102</t>
        </is>
      </c>
      <c r="F756">
        <f>IMAGE("https://cf.shopee.tw/file/tw-11134207-7r98s-lsmoznuve77seb_tn")</f>
        <v/>
      </c>
    </row>
    <row r="757">
      <c r="A757" t="inlineStr">
        <is>
          <t>25717655009</t>
        </is>
      </c>
      <c r="B757" t="inlineStr">
        <is>
          <t>隔日到貨🔥 iPhone 手機殼 17 16 15 14 pro 13 12 11 XS XR X 保護殼 硬殼 素色殼</t>
        </is>
      </c>
      <c r="C757">
        <f>IMAGE("https://cf.shopee.tw/file/tw-11134207-7r98z-lsmoscd7es4233_tn")</f>
        <v/>
      </c>
      <c r="D757" t="inlineStr">
        <is>
          <t>綠邊,15</t>
        </is>
      </c>
      <c r="E757" t="inlineStr">
        <is>
          <t>207357888441</t>
        </is>
      </c>
      <c r="F757">
        <f>IMAGE("https://cf.shopee.tw/file/tw-11134207-7r98s-lsmoznuve77seb_tn")</f>
        <v/>
      </c>
    </row>
    <row r="758">
      <c r="A758" t="inlineStr">
        <is>
          <t>25717655009</t>
        </is>
      </c>
      <c r="B758" t="inlineStr">
        <is>
          <t>隔日到貨🔥 iPhone 手機殼 17 16 15 14 pro 13 12 11 XS XR X 保護殼 硬殼 素色殼</t>
        </is>
      </c>
      <c r="C758">
        <f>IMAGE("https://cf.shopee.tw/file/tw-11134207-7r98z-lsmoscd7es4233_tn")</f>
        <v/>
      </c>
      <c r="D758" t="inlineStr">
        <is>
          <t>綠邊,15 Pro</t>
        </is>
      </c>
      <c r="E758" t="inlineStr">
        <is>
          <t>207357888442</t>
        </is>
      </c>
      <c r="F758">
        <f>IMAGE("https://cf.shopee.tw/file/tw-11134207-7r98s-lsmoznuve77seb_tn")</f>
        <v/>
      </c>
    </row>
    <row r="759">
      <c r="A759" t="inlineStr">
        <is>
          <t>25717655009</t>
        </is>
      </c>
      <c r="B759" t="inlineStr">
        <is>
          <t>隔日到貨🔥 iPhone 手機殼 17 16 15 14 pro 13 12 11 XS XR X 保護殼 硬殼 素色殼</t>
        </is>
      </c>
      <c r="C759">
        <f>IMAGE("https://cf.shopee.tw/file/tw-11134207-7r98z-lsmoscd7es4233_tn")</f>
        <v/>
      </c>
      <c r="D759" t="inlineStr">
        <is>
          <t>綠邊,15 Pro Max</t>
        </is>
      </c>
      <c r="E759" t="inlineStr"/>
      <c r="F759">
        <f>IMAGE("https://cf.shopee.tw/file/tw-11134207-7r98s-lsmoznuve77seb_tn")</f>
        <v/>
      </c>
    </row>
    <row r="760">
      <c r="A760" t="inlineStr">
        <is>
          <t>25717655009</t>
        </is>
      </c>
      <c r="B760" t="inlineStr">
        <is>
          <t>隔日到貨🔥 iPhone 手機殼 17 16 15 14 pro 13 12 11 XS XR X 保護殼 硬殼 素色殼</t>
        </is>
      </c>
      <c r="C760">
        <f>IMAGE("https://cf.shopee.tw/file/tw-11134207-7r98z-lsmoscd7es4233_tn")</f>
        <v/>
      </c>
      <c r="D760" t="inlineStr">
        <is>
          <t>綠邊,16</t>
        </is>
      </c>
      <c r="E760" t="inlineStr">
        <is>
          <t>118506107453</t>
        </is>
      </c>
      <c r="F760">
        <f>IMAGE("https://cf.shopee.tw/file/tw-11134207-7r98s-lsmoznuve77seb_tn")</f>
        <v/>
      </c>
    </row>
    <row r="761">
      <c r="A761" t="inlineStr">
        <is>
          <t>25717655009</t>
        </is>
      </c>
      <c r="B761" t="inlineStr">
        <is>
          <t>隔日到貨🔥 iPhone 手機殼 17 16 15 14 pro 13 12 11 XS XR X 保護殼 硬殼 素色殼</t>
        </is>
      </c>
      <c r="C761">
        <f>IMAGE("https://cf.shopee.tw/file/tw-11134207-7r98z-lsmoscd7es4233_tn")</f>
        <v/>
      </c>
      <c r="D761" t="inlineStr">
        <is>
          <t>綠邊,16 Pro</t>
        </is>
      </c>
      <c r="E761" t="inlineStr"/>
      <c r="F761">
        <f>IMAGE("https://cf.shopee.tw/file/tw-11134207-7r98s-lsmoznuve77seb_tn")</f>
        <v/>
      </c>
    </row>
    <row r="762">
      <c r="A762" t="inlineStr">
        <is>
          <t>25717655009</t>
        </is>
      </c>
      <c r="B762" t="inlineStr">
        <is>
          <t>隔日到貨🔥 iPhone 手機殼 17 16 15 14 pro 13 12 11 XS XR X 保護殼 硬殼 素色殼</t>
        </is>
      </c>
      <c r="C762">
        <f>IMAGE("https://cf.shopee.tw/file/tw-11134207-7r98z-lsmoscd7es4233_tn")</f>
        <v/>
      </c>
      <c r="D762" t="inlineStr">
        <is>
          <t>綠邊,16 Pro Max</t>
        </is>
      </c>
      <c r="E762" t="inlineStr">
        <is>
          <t>251991283804</t>
        </is>
      </c>
      <c r="F762">
        <f>IMAGE("https://cf.shopee.tw/file/tw-11134207-7r98s-lsmoznuve77seb_tn")</f>
        <v/>
      </c>
    </row>
    <row r="763">
      <c r="A763" t="inlineStr">
        <is>
          <t>25717655009</t>
        </is>
      </c>
      <c r="B763" t="inlineStr">
        <is>
          <t>隔日到貨🔥 iPhone 手機殼 17 16 15 14 pro 13 12 11 XS XR X 保護殼 硬殼 素色殼</t>
        </is>
      </c>
      <c r="C763">
        <f>IMAGE("https://cf.shopee.tw/file/tw-11134207-7r98z-lsmoscd7es4233_tn")</f>
        <v/>
      </c>
      <c r="D763" t="inlineStr">
        <is>
          <t>淡紫邊,X / XS</t>
        </is>
      </c>
      <c r="E763" t="inlineStr">
        <is>
          <t>207357888445</t>
        </is>
      </c>
      <c r="F763">
        <f>IMAGE("https://cf.shopee.tw/file/tw-11134207-7r98z-lsmoznvpczd4ee_tn")</f>
        <v/>
      </c>
    </row>
    <row r="764">
      <c r="A764" t="inlineStr">
        <is>
          <t>25717655009</t>
        </is>
      </c>
      <c r="B764" t="inlineStr">
        <is>
          <t>隔日到貨🔥 iPhone 手機殼 17 16 15 14 pro 13 12 11 XS XR X 保護殼 硬殼 素色殼</t>
        </is>
      </c>
      <c r="C764">
        <f>IMAGE("https://cf.shopee.tw/file/tw-11134207-7r98z-lsmoscd7es4233_tn")</f>
        <v/>
      </c>
      <c r="D764" t="inlineStr">
        <is>
          <t>淡紫邊,XR</t>
        </is>
      </c>
      <c r="E764" t="inlineStr">
        <is>
          <t>207357888446</t>
        </is>
      </c>
      <c r="F764">
        <f>IMAGE("https://cf.shopee.tw/file/tw-11134207-7r98z-lsmoznvpczd4ee_tn")</f>
        <v/>
      </c>
    </row>
    <row r="765">
      <c r="A765" t="inlineStr">
        <is>
          <t>25717655009</t>
        </is>
      </c>
      <c r="B765" t="inlineStr">
        <is>
          <t>隔日到貨🔥 iPhone 手機殼 17 16 15 14 pro 13 12 11 XS XR X 保護殼 硬殼 素色殼</t>
        </is>
      </c>
      <c r="C765">
        <f>IMAGE("https://cf.shopee.tw/file/tw-11134207-7r98z-lsmoscd7es4233_tn")</f>
        <v/>
      </c>
      <c r="D765" t="inlineStr">
        <is>
          <t>淡紫邊,11</t>
        </is>
      </c>
      <c r="E765" t="inlineStr">
        <is>
          <t>207357888447</t>
        </is>
      </c>
      <c r="F765">
        <f>IMAGE("https://cf.shopee.tw/file/tw-11134207-7r98z-lsmoznvpczd4ee_tn")</f>
        <v/>
      </c>
    </row>
    <row r="766">
      <c r="A766" t="inlineStr">
        <is>
          <t>25717655009</t>
        </is>
      </c>
      <c r="B766" t="inlineStr">
        <is>
          <t>隔日到貨🔥 iPhone 手機殼 17 16 15 14 pro 13 12 11 XS XR X 保護殼 硬殼 素色殼</t>
        </is>
      </c>
      <c r="C766">
        <f>IMAGE("https://cf.shopee.tw/file/tw-11134207-7r98z-lsmoscd7es4233_tn")</f>
        <v/>
      </c>
      <c r="D766" t="inlineStr">
        <is>
          <t>淡紫邊,12 / 12 Pro</t>
        </is>
      </c>
      <c r="E766" t="inlineStr">
        <is>
          <t>207357888448</t>
        </is>
      </c>
      <c r="F766">
        <f>IMAGE("https://cf.shopee.tw/file/tw-11134207-7r98z-lsmoznvpczd4ee_tn")</f>
        <v/>
      </c>
    </row>
    <row r="767">
      <c r="A767" t="inlineStr">
        <is>
          <t>25717655009</t>
        </is>
      </c>
      <c r="B767" t="inlineStr">
        <is>
          <t>隔日到貨🔥 iPhone 手機殼 17 16 15 14 pro 13 12 11 XS XR X 保護殼 硬殼 素色殼</t>
        </is>
      </c>
      <c r="C767">
        <f>IMAGE("https://cf.shopee.tw/file/tw-11134207-7r98z-lsmoscd7es4233_tn")</f>
        <v/>
      </c>
      <c r="D767" t="inlineStr">
        <is>
          <t>淡紫邊,13</t>
        </is>
      </c>
      <c r="E767" t="inlineStr">
        <is>
          <t>207357888450</t>
        </is>
      </c>
      <c r="F767">
        <f>IMAGE("https://cf.shopee.tw/file/tw-11134207-7r98z-lsmoznvpczd4ee_tn")</f>
        <v/>
      </c>
    </row>
    <row r="768">
      <c r="A768" t="inlineStr">
        <is>
          <t>25717655009</t>
        </is>
      </c>
      <c r="B768" t="inlineStr">
        <is>
          <t>隔日到貨🔥 iPhone 手機殼 17 16 15 14 pro 13 12 11 XS XR X 保護殼 硬殼 素色殼</t>
        </is>
      </c>
      <c r="C768">
        <f>IMAGE("https://cf.shopee.tw/file/tw-11134207-7r98z-lsmoscd7es4233_tn")</f>
        <v/>
      </c>
      <c r="D768" t="inlineStr">
        <is>
          <t>淡紫邊,13 Pro</t>
        </is>
      </c>
      <c r="E768" t="inlineStr">
        <is>
          <t>207357888451</t>
        </is>
      </c>
      <c r="F768">
        <f>IMAGE("https://cf.shopee.tw/file/tw-11134207-7r98z-lsmoznvpczd4ee_tn")</f>
        <v/>
      </c>
    </row>
    <row r="769">
      <c r="A769" t="inlineStr">
        <is>
          <t>25717655009</t>
        </is>
      </c>
      <c r="B769" t="inlineStr">
        <is>
          <t>隔日到貨🔥 iPhone 手機殼 17 16 15 14 pro 13 12 11 XS XR X 保護殼 硬殼 素色殼</t>
        </is>
      </c>
      <c r="C769">
        <f>IMAGE("https://cf.shopee.tw/file/tw-11134207-7r98z-lsmoscd7es4233_tn")</f>
        <v/>
      </c>
      <c r="D769" t="inlineStr">
        <is>
          <t>淡紫邊,14</t>
        </is>
      </c>
      <c r="E769" t="inlineStr">
        <is>
          <t>207357888453</t>
        </is>
      </c>
      <c r="F769">
        <f>IMAGE("https://cf.shopee.tw/file/tw-11134207-7r98z-lsmoznvpczd4ee_tn")</f>
        <v/>
      </c>
    </row>
    <row r="770">
      <c r="A770" t="inlineStr">
        <is>
          <t>25717655009</t>
        </is>
      </c>
      <c r="B770" t="inlineStr">
        <is>
          <t>隔日到貨🔥 iPhone 手機殼 17 16 15 14 pro 13 12 11 XS XR X 保護殼 硬殼 素色殼</t>
        </is>
      </c>
      <c r="C770">
        <f>IMAGE("https://cf.shopee.tw/file/tw-11134207-7r98z-lsmoscd7es4233_tn")</f>
        <v/>
      </c>
      <c r="D770" t="inlineStr">
        <is>
          <t>淡紫邊,14 Pro</t>
        </is>
      </c>
      <c r="E770" t="inlineStr">
        <is>
          <t>207357888454</t>
        </is>
      </c>
      <c r="F770">
        <f>IMAGE("https://cf.shopee.tw/file/tw-11134207-7r98z-lsmoznvpczd4ee_tn")</f>
        <v/>
      </c>
    </row>
    <row r="771">
      <c r="A771" t="inlineStr">
        <is>
          <t>25717655009</t>
        </is>
      </c>
      <c r="B771" t="inlineStr">
        <is>
          <t>隔日到貨🔥 iPhone 手機殼 17 16 15 14 pro 13 12 11 XS XR X 保護殼 硬殼 素色殼</t>
        </is>
      </c>
      <c r="C771">
        <f>IMAGE("https://cf.shopee.tw/file/tw-11134207-7r98z-lsmoscd7es4233_tn")</f>
        <v/>
      </c>
      <c r="D771" t="inlineStr">
        <is>
          <t>淡紫邊,14 Pro Max</t>
        </is>
      </c>
      <c r="E771" t="inlineStr">
        <is>
          <t>207357888455</t>
        </is>
      </c>
      <c r="F771">
        <f>IMAGE("https://cf.shopee.tw/file/tw-11134207-7r98z-lsmoznvpczd4ee_tn")</f>
        <v/>
      </c>
    </row>
    <row r="772">
      <c r="A772" t="inlineStr">
        <is>
          <t>25717655009</t>
        </is>
      </c>
      <c r="B772" t="inlineStr">
        <is>
          <t>隔日到貨🔥 iPhone 手機殼 17 16 15 14 pro 13 12 11 XS XR X 保護殼 硬殼 素色殼</t>
        </is>
      </c>
      <c r="C772">
        <f>IMAGE("https://cf.shopee.tw/file/tw-11134207-7r98z-lsmoscd7es4233_tn")</f>
        <v/>
      </c>
      <c r="D772" t="inlineStr">
        <is>
          <t>淡紫邊,14Plus/15Plus</t>
        </is>
      </c>
      <c r="E772" t="inlineStr">
        <is>
          <t>236109109103</t>
        </is>
      </c>
      <c r="F772">
        <f>IMAGE("https://cf.shopee.tw/file/tw-11134207-7r98z-lsmoznvpczd4ee_tn")</f>
        <v/>
      </c>
    </row>
    <row r="773">
      <c r="A773" t="inlineStr">
        <is>
          <t>25717655009</t>
        </is>
      </c>
      <c r="B773" t="inlineStr">
        <is>
          <t>隔日到貨🔥 iPhone 手機殼 17 16 15 14 pro 13 12 11 XS XR X 保護殼 硬殼 素色殼</t>
        </is>
      </c>
      <c r="C773">
        <f>IMAGE("https://cf.shopee.tw/file/tw-11134207-7r98z-lsmoscd7es4233_tn")</f>
        <v/>
      </c>
      <c r="D773" t="inlineStr">
        <is>
          <t>淡紫邊,15</t>
        </is>
      </c>
      <c r="E773" t="inlineStr"/>
      <c r="F773">
        <f>IMAGE("https://cf.shopee.tw/file/tw-11134207-7r98z-lsmoznvpczd4ee_tn")</f>
        <v/>
      </c>
    </row>
    <row r="774">
      <c r="A774" t="inlineStr">
        <is>
          <t>25717655009</t>
        </is>
      </c>
      <c r="B774" t="inlineStr">
        <is>
          <t>隔日到貨🔥 iPhone 手機殼 17 16 15 14 pro 13 12 11 XS XR X 保護殼 硬殼 素色殼</t>
        </is>
      </c>
      <c r="C774">
        <f>IMAGE("https://cf.shopee.tw/file/tw-11134207-7r98z-lsmoscd7es4233_tn")</f>
        <v/>
      </c>
      <c r="D774" t="inlineStr">
        <is>
          <t>淡紫邊,15 Pro</t>
        </is>
      </c>
      <c r="E774" t="inlineStr">
        <is>
          <t>207357888457</t>
        </is>
      </c>
      <c r="F774">
        <f>IMAGE("https://cf.shopee.tw/file/tw-11134207-7r98z-lsmoznvpczd4ee_tn")</f>
        <v/>
      </c>
    </row>
    <row r="775">
      <c r="A775" t="inlineStr">
        <is>
          <t>25717655009</t>
        </is>
      </c>
      <c r="B775" t="inlineStr">
        <is>
          <t>隔日到貨🔥 iPhone 手機殼 17 16 15 14 pro 13 12 11 XS XR X 保護殼 硬殼 素色殼</t>
        </is>
      </c>
      <c r="C775">
        <f>IMAGE("https://cf.shopee.tw/file/tw-11134207-7r98z-lsmoscd7es4233_tn")</f>
        <v/>
      </c>
      <c r="D775" t="inlineStr">
        <is>
          <t>淡紫邊,15 Pro Max</t>
        </is>
      </c>
      <c r="E775" t="inlineStr">
        <is>
          <t>207357888458</t>
        </is>
      </c>
      <c r="F775">
        <f>IMAGE("https://cf.shopee.tw/file/tw-11134207-7r98z-lsmoznvpczd4ee_tn")</f>
        <v/>
      </c>
    </row>
    <row r="776">
      <c r="A776" t="inlineStr">
        <is>
          <t>25717655009</t>
        </is>
      </c>
      <c r="B776" t="inlineStr">
        <is>
          <t>隔日到貨🔥 iPhone 手機殼 17 16 15 14 pro 13 12 11 XS XR X 保護殼 硬殼 素色殼</t>
        </is>
      </c>
      <c r="C776">
        <f>IMAGE("https://cf.shopee.tw/file/tw-11134207-7r98z-lsmoscd7es4233_tn")</f>
        <v/>
      </c>
      <c r="D776" t="inlineStr">
        <is>
          <t>淡紫邊,16</t>
        </is>
      </c>
      <c r="E776" t="inlineStr">
        <is>
          <t>251991283805</t>
        </is>
      </c>
      <c r="F776">
        <f>IMAGE("https://cf.shopee.tw/file/tw-11134207-7r98z-lsmoznvpczd4ee_tn")</f>
        <v/>
      </c>
    </row>
    <row r="777">
      <c r="A777" t="inlineStr">
        <is>
          <t>25717655009</t>
        </is>
      </c>
      <c r="B777" t="inlineStr">
        <is>
          <t>隔日到貨🔥 iPhone 手機殼 17 16 15 14 pro 13 12 11 XS XR X 保護殼 硬殼 素色殼</t>
        </is>
      </c>
      <c r="C777">
        <f>IMAGE("https://cf.shopee.tw/file/tw-11134207-7r98z-lsmoscd7es4233_tn")</f>
        <v/>
      </c>
      <c r="D777" t="inlineStr">
        <is>
          <t>淡紫邊,16 Pro</t>
        </is>
      </c>
      <c r="E777" t="inlineStr">
        <is>
          <t>251991283806</t>
        </is>
      </c>
      <c r="F777">
        <f>IMAGE("https://cf.shopee.tw/file/tw-11134207-7r98z-lsmoznvpczd4ee_tn")</f>
        <v/>
      </c>
    </row>
    <row r="778">
      <c r="A778" t="inlineStr">
        <is>
          <t>25717655009</t>
        </is>
      </c>
      <c r="B778" t="inlineStr">
        <is>
          <t>隔日到貨🔥 iPhone 手機殼 17 16 15 14 pro 13 12 11 XS XR X 保護殼 硬殼 素色殼</t>
        </is>
      </c>
      <c r="C778">
        <f>IMAGE("https://cf.shopee.tw/file/tw-11134207-7r98z-lsmoscd7es4233_tn")</f>
        <v/>
      </c>
      <c r="D778" t="inlineStr">
        <is>
          <t>淡紫邊,16 Pro Max</t>
        </is>
      </c>
      <c r="E778" t="inlineStr">
        <is>
          <t>251991283807</t>
        </is>
      </c>
      <c r="F778">
        <f>IMAGE("https://cf.shopee.tw/file/tw-11134207-7r98z-lsmoznvpczd4ee_tn")</f>
        <v/>
      </c>
    </row>
    <row r="779">
      <c r="A779" t="inlineStr">
        <is>
          <t>25717655009</t>
        </is>
      </c>
      <c r="B779" t="inlineStr">
        <is>
          <t>隔日到貨🔥 iPhone 手機殼 17 16 15 14 pro 13 12 11 XS XR X 保護殼 硬殼 素色殼</t>
        </is>
      </c>
      <c r="C779">
        <f>IMAGE("https://cf.shopee.tw/file/tw-11134207-7r98z-lsmoscd7es4233_tn")</f>
        <v/>
      </c>
      <c r="D779" t="inlineStr">
        <is>
          <t>淡紫邊,17</t>
        </is>
      </c>
      <c r="E779" t="inlineStr">
        <is>
          <t>430093285357</t>
        </is>
      </c>
      <c r="F779">
        <f>IMAGE("https://cf.shopee.tw/file/tw-11134207-7r98z-lsmoznvpczd4ee_tn")</f>
        <v/>
      </c>
    </row>
    <row r="780">
      <c r="A780" t="inlineStr">
        <is>
          <t>25717655009</t>
        </is>
      </c>
      <c r="B780" t="inlineStr">
        <is>
          <t>隔日到貨🔥 iPhone 手機殼 17 16 15 14 pro 13 12 11 XS XR X 保護殼 硬殼 素色殼</t>
        </is>
      </c>
      <c r="C780">
        <f>IMAGE("https://cf.shopee.tw/file/tw-11134207-7r98z-lsmoscd7es4233_tn")</f>
        <v/>
      </c>
      <c r="D780" t="inlineStr">
        <is>
          <t>淡紫邊,17 Pro</t>
        </is>
      </c>
      <c r="E780" t="inlineStr">
        <is>
          <t>430093285358</t>
        </is>
      </c>
      <c r="F780">
        <f>IMAGE("https://cf.shopee.tw/file/tw-11134207-7r98z-lsmoznvpczd4ee_tn")</f>
        <v/>
      </c>
    </row>
    <row r="781">
      <c r="A781" t="inlineStr">
        <is>
          <t>25717655009</t>
        </is>
      </c>
      <c r="B781" t="inlineStr">
        <is>
          <t>隔日到貨🔥 iPhone 手機殼 17 16 15 14 pro 13 12 11 XS XR X 保護殼 硬殼 素色殼</t>
        </is>
      </c>
      <c r="C781">
        <f>IMAGE("https://cf.shopee.tw/file/tw-11134207-7r98z-lsmoscd7es4233_tn")</f>
        <v/>
      </c>
      <c r="D781" t="inlineStr">
        <is>
          <t>淡紫邊,17 Pro Max</t>
        </is>
      </c>
      <c r="E781" t="inlineStr">
        <is>
          <t>430093285359</t>
        </is>
      </c>
      <c r="F781">
        <f>IMAGE("https://cf.shopee.tw/file/tw-11134207-7r98z-lsmoznvpczd4ee_tn")</f>
        <v/>
      </c>
    </row>
    <row r="782">
      <c r="A782" t="inlineStr">
        <is>
          <t>3034886715</t>
        </is>
      </c>
      <c r="B782" t="inlineStr">
        <is>
          <t>隔日到貨🔥 ins 搞怪表情中筒襪 S2 棉長襪 長襪 中筒襪 襪子 女生襪子 襪子女 女襪 長襪 白長襪 可愛襪</t>
        </is>
      </c>
      <c r="C782">
        <f>IMAGE("https://cf.shopee.tw/file/878f3e23255fb00d9105db21444f3a95_tn")</f>
        <v/>
      </c>
      <c r="D782" t="inlineStr">
        <is>
          <t>抹茶綠表情</t>
        </is>
      </c>
      <c r="E782" t="inlineStr">
        <is>
          <t>74886374963</t>
        </is>
      </c>
      <c r="F782">
        <f>IMAGE("https://cf.shopee.tw/file/523c32b240692791ce69df216e3e80c5_tn")</f>
        <v/>
      </c>
    </row>
    <row r="783">
      <c r="A783" t="inlineStr">
        <is>
          <t>3034886715</t>
        </is>
      </c>
      <c r="B783" t="inlineStr">
        <is>
          <t>隔日到貨🔥 ins 搞怪表情中筒襪 S2 棉長襪 長襪 中筒襪 襪子 女生襪子 襪子女 女襪 長襪 白長襪 可愛襪</t>
        </is>
      </c>
      <c r="C783">
        <f>IMAGE("https://cf.shopee.tw/file/878f3e23255fb00d9105db21444f3a95_tn")</f>
        <v/>
      </c>
      <c r="D783" t="inlineStr">
        <is>
          <t>黃色表情</t>
        </is>
      </c>
      <c r="E783" t="inlineStr">
        <is>
          <t>74886374966</t>
        </is>
      </c>
      <c r="F783">
        <f>IMAGE("https://cf.shopee.tw/file/5c8db1ce59c4a8f002278d606d8f9b97_tn")</f>
        <v/>
      </c>
    </row>
    <row r="784">
      <c r="A784" t="inlineStr">
        <is>
          <t>3034886715</t>
        </is>
      </c>
      <c r="B784" t="inlineStr">
        <is>
          <t>隔日到貨🔥 ins 搞怪表情中筒襪 S2 棉長襪 長襪 中筒襪 襪子 女生襪子 襪子女 女襪 長襪 白長襪 可愛襪</t>
        </is>
      </c>
      <c r="C784">
        <f>IMAGE("https://cf.shopee.tw/file/878f3e23255fb00d9105db21444f3a95_tn")</f>
        <v/>
      </c>
      <c r="D784" t="inlineStr">
        <is>
          <t>藍色表情</t>
        </is>
      </c>
      <c r="E784" t="inlineStr">
        <is>
          <t>64886375206</t>
        </is>
      </c>
      <c r="F784">
        <f>IMAGE("https://cf.shopee.tw/file/a308a097373e5feeedd39ceea477c56a_tn")</f>
        <v/>
      </c>
    </row>
    <row r="785">
      <c r="A785" t="inlineStr">
        <is>
          <t>3034886715</t>
        </is>
      </c>
      <c r="B785" t="inlineStr">
        <is>
          <t>隔日到貨🔥 ins 搞怪表情中筒襪 S2 棉長襪 長襪 中筒襪 襪子 女生襪子 襪子女 女襪 長襪 白長襪 可愛襪</t>
        </is>
      </c>
      <c r="C785">
        <f>IMAGE("https://cf.shopee.tw/file/878f3e23255fb00d9105db21444f3a95_tn")</f>
        <v/>
      </c>
      <c r="D785" t="inlineStr">
        <is>
          <t>灰色表情</t>
        </is>
      </c>
      <c r="E785" t="inlineStr">
        <is>
          <t>64886375207</t>
        </is>
      </c>
      <c r="F785">
        <f>IMAGE("https://cf.shopee.tw/file/61355bcb83a01a16bf41c016a0da9ffa_tn")</f>
        <v/>
      </c>
    </row>
    <row r="786">
      <c r="A786" t="inlineStr">
        <is>
          <t>3034886715</t>
        </is>
      </c>
      <c r="B786" t="inlineStr">
        <is>
          <t>隔日到貨🔥 ins 搞怪表情中筒襪 S2 棉長襪 長襪 中筒襪 襪子 女生襪子 襪子女 女襪 長襪 白長襪 可愛襪</t>
        </is>
      </c>
      <c r="C786">
        <f>IMAGE("https://cf.shopee.tw/file/878f3e23255fb00d9105db21444f3a95_tn")</f>
        <v/>
      </c>
      <c r="D786" t="inlineStr">
        <is>
          <t>黑色表情</t>
        </is>
      </c>
      <c r="E786" t="inlineStr">
        <is>
          <t>74886374964</t>
        </is>
      </c>
      <c r="F786">
        <f>IMAGE("https://cf.shopee.tw/file/bf17f6753cbfac4e931736eca634161f_tn")</f>
        <v/>
      </c>
    </row>
    <row r="787">
      <c r="A787" t="inlineStr">
        <is>
          <t>3034886715</t>
        </is>
      </c>
      <c r="B787" t="inlineStr">
        <is>
          <t>隔日到貨🔥 ins 搞怪表情中筒襪 S2 棉長襪 長襪 中筒襪 襪子 女生襪子 襪子女 女襪 長襪 白長襪 可愛襪</t>
        </is>
      </c>
      <c r="C787">
        <f>IMAGE("https://cf.shopee.tw/file/878f3e23255fb00d9105db21444f3a95_tn")</f>
        <v/>
      </c>
      <c r="D787" t="inlineStr">
        <is>
          <t>米黃色表情</t>
        </is>
      </c>
      <c r="E787" t="inlineStr">
        <is>
          <t>74886374965</t>
        </is>
      </c>
      <c r="F787">
        <f>IMAGE("https://cf.shopee.tw/file/b980cc3822929f248ad100214ca453a1_tn")</f>
        <v/>
      </c>
    </row>
    <row r="788">
      <c r="A788" t="inlineStr">
        <is>
          <t>3034886715</t>
        </is>
      </c>
      <c r="B788" t="inlineStr">
        <is>
          <t>隔日到貨🔥 ins 搞怪表情中筒襪 S2 棉長襪 長襪 中筒襪 襪子 女生襪子 襪子女 女襪 長襪 白長襪 可愛襪</t>
        </is>
      </c>
      <c r="C788">
        <f>IMAGE("https://cf.shopee.tw/file/878f3e23255fb00d9105db21444f3a95_tn")</f>
        <v/>
      </c>
      <c r="D788" t="inlineStr">
        <is>
          <t>白色表情</t>
        </is>
      </c>
      <c r="E788" t="inlineStr">
        <is>
          <t>64886375208</t>
        </is>
      </c>
      <c r="F788">
        <f>IMAGE("https://cf.shopee.tw/file/9a09db2ee1fc4f5b0c94a7c6f3557b82_tn")</f>
        <v/>
      </c>
    </row>
    <row r="789">
      <c r="A789" t="inlineStr">
        <is>
          <t>3034886715</t>
        </is>
      </c>
      <c r="B789" t="inlineStr">
        <is>
          <t>隔日到貨🔥 ins 搞怪表情中筒襪 S2 棉長襪 長襪 中筒襪 襪子 女生襪子 襪子女 女襪 長襪 白長襪 可愛襪</t>
        </is>
      </c>
      <c r="C789">
        <f>IMAGE("https://cf.shopee.tw/file/878f3e23255fb00d9105db21444f3a95_tn")</f>
        <v/>
      </c>
      <c r="D789" t="inlineStr">
        <is>
          <t>紫色表情</t>
        </is>
      </c>
      <c r="E789" t="inlineStr">
        <is>
          <t>74886374960</t>
        </is>
      </c>
      <c r="F789">
        <f>IMAGE("https://cf.shopee.tw/file/d34ddbf591fa8f08cc7d96df5cd1c5ed_tn")</f>
        <v/>
      </c>
    </row>
    <row r="790">
      <c r="A790" t="inlineStr">
        <is>
          <t>3034886715</t>
        </is>
      </c>
      <c r="B790" t="inlineStr">
        <is>
          <t>隔日到貨🔥 ins 搞怪表情中筒襪 S2 棉長襪 長襪 中筒襪 襪子 女生襪子 襪子女 女襪 長襪 白長襪 可愛襪</t>
        </is>
      </c>
      <c r="C790">
        <f>IMAGE("https://cf.shopee.tw/file/878f3e23255fb00d9105db21444f3a95_tn")</f>
        <v/>
      </c>
      <c r="D790" t="inlineStr">
        <is>
          <t>紅色表情</t>
        </is>
      </c>
      <c r="E790" t="inlineStr">
        <is>
          <t>74886374961</t>
        </is>
      </c>
      <c r="F790">
        <f>IMAGE("https://cf.shopee.tw/file/d4fd12a139d4b22dfe0d9667599570be_tn")</f>
        <v/>
      </c>
    </row>
    <row r="791">
      <c r="A791" t="inlineStr">
        <is>
          <t>3034886715</t>
        </is>
      </c>
      <c r="B791" t="inlineStr">
        <is>
          <t>隔日到貨🔥 ins 搞怪表情中筒襪 S2 棉長襪 長襪 中筒襪 襪子 女生襪子 襪子女 女襪 長襪 白長襪 可愛襪</t>
        </is>
      </c>
      <c r="C791">
        <f>IMAGE("https://cf.shopee.tw/file/878f3e23255fb00d9105db21444f3a95_tn")</f>
        <v/>
      </c>
      <c r="D791" t="inlineStr">
        <is>
          <t>暗紅表情</t>
        </is>
      </c>
      <c r="E791" t="inlineStr">
        <is>
          <t>74886374962</t>
        </is>
      </c>
      <c r="F791">
        <f>IMAGE("https://cf.shopee.tw/file/746c079dbd8ee173e552eca6e5ce47a3_tn")</f>
        <v/>
      </c>
    </row>
    <row r="792">
      <c r="A792" t="inlineStr">
        <is>
          <t>21673708906</t>
        </is>
      </c>
      <c r="B792" t="inlineStr">
        <is>
          <t>隔日到貨🔥 ins 韓系大圓點中筒襪 S35 長襪 泡泡襪 長襪 中筒襪 襪子 韓風 女襪 情侶襪 可愛襪 短襪</t>
        </is>
      </c>
      <c r="C792">
        <f>IMAGE("https://cf.shopee.tw/file/tw-11134207-23020-i4vvcb7hwsnv7c_tn")</f>
        <v/>
      </c>
      <c r="D792" t="inlineStr">
        <is>
          <t>百搭黑</t>
        </is>
      </c>
      <c r="E792" t="inlineStr">
        <is>
          <t>156633348312</t>
        </is>
      </c>
      <c r="F792">
        <f>IMAGE("https://cf.shopee.tw/file/tw-11134207-23020-kqlh1kj1eonv9f_tn")</f>
        <v/>
      </c>
    </row>
    <row r="793">
      <c r="A793" t="inlineStr">
        <is>
          <t>21673708906</t>
        </is>
      </c>
      <c r="B793" t="inlineStr">
        <is>
          <t>隔日到貨🔥 ins 韓系大圓點中筒襪 S35 長襪 泡泡襪 長襪 中筒襪 襪子 韓風 女襪 情侶襪 可愛襪 短襪</t>
        </is>
      </c>
      <c r="C793">
        <f>IMAGE("https://cf.shopee.tw/file/tw-11134207-23020-i4vvcb7hwsnv7c_tn")</f>
        <v/>
      </c>
      <c r="D793" t="inlineStr">
        <is>
          <t>米白色</t>
        </is>
      </c>
      <c r="E793" t="inlineStr">
        <is>
          <t>156633348313</t>
        </is>
      </c>
      <c r="F793">
        <f>IMAGE("https://cf.shopee.tw/file/tw-11134207-23020-wz938km1eonve2_tn")</f>
        <v/>
      </c>
    </row>
    <row r="794">
      <c r="A794" t="inlineStr">
        <is>
          <t>21673708906</t>
        </is>
      </c>
      <c r="B794" t="inlineStr">
        <is>
          <t>隔日到貨🔥 ins 韓系大圓點中筒襪 S35 長襪 泡泡襪 長襪 中筒襪 襪子 韓風 女襪 情侶襪 可愛襪 短襪</t>
        </is>
      </c>
      <c r="C794">
        <f>IMAGE("https://cf.shopee.tw/file/tw-11134207-23020-i4vvcb7hwsnv7c_tn")</f>
        <v/>
      </c>
      <c r="D794" t="inlineStr">
        <is>
          <t>高級灰</t>
        </is>
      </c>
      <c r="E794" t="inlineStr">
        <is>
          <t>156633348314</t>
        </is>
      </c>
      <c r="F794">
        <f>IMAGE("https://cf.shopee.tw/file/tw-11134207-23020-o2ctdip1eonv7c_tn")</f>
        <v/>
      </c>
    </row>
    <row r="795">
      <c r="A795" t="inlineStr">
        <is>
          <t>21673708906</t>
        </is>
      </c>
      <c r="B795" t="inlineStr">
        <is>
          <t>隔日到貨🔥 ins 韓系大圓點中筒襪 S35 長襪 泡泡襪 長襪 中筒襪 襪子 韓風 女襪 情侶襪 可愛襪 短襪</t>
        </is>
      </c>
      <c r="C795">
        <f>IMAGE("https://cf.shopee.tw/file/tw-11134207-23020-i4vvcb7hwsnv7c_tn")</f>
        <v/>
      </c>
      <c r="D795" t="inlineStr">
        <is>
          <t>霧霾藍</t>
        </is>
      </c>
      <c r="E795" t="inlineStr">
        <is>
          <t>156633348315</t>
        </is>
      </c>
      <c r="F795">
        <f>IMAGE("https://cf.shopee.tw/file/tw-11134207-23020-13d1kss1eonv85_tn")</f>
        <v/>
      </c>
    </row>
    <row r="796">
      <c r="A796" t="inlineStr">
        <is>
          <t>21673708906</t>
        </is>
      </c>
      <c r="B796" t="inlineStr">
        <is>
          <t>隔日到貨🔥 ins 韓系大圓點中筒襪 S35 長襪 泡泡襪 長襪 中筒襪 襪子 韓風 女襪 情侶襪 可愛襪 短襪</t>
        </is>
      </c>
      <c r="C796">
        <f>IMAGE("https://cf.shopee.tw/file/tw-11134207-23020-i4vvcb7hwsnv7c_tn")</f>
        <v/>
      </c>
      <c r="D796" t="inlineStr">
        <is>
          <t>焦糖色</t>
        </is>
      </c>
      <c r="E796" t="inlineStr">
        <is>
          <t>156633348316</t>
        </is>
      </c>
      <c r="F796">
        <f>IMAGE("https://cf.shopee.tw/file/tw-11134207-23020-5p7w5lv1eonv9b_tn")</f>
        <v/>
      </c>
    </row>
    <row r="797">
      <c r="A797" t="inlineStr">
        <is>
          <t>18379321477</t>
        </is>
      </c>
      <c r="B797" t="inlineStr">
        <is>
          <t>隔日到貨🔥 iPhone 手機殼 17 16 15 14 13 12 11 XS XR SE pro 保護殼 蘋果 素色</t>
        </is>
      </c>
      <c r="C797">
        <f>IMAGE("https://cf.shopee.tw/file/tw-11134207-7qul3-lg6b9d9blfl619_tn")</f>
        <v/>
      </c>
      <c r="D797" t="inlineStr">
        <is>
          <t>電鍍米白,15 pro</t>
        </is>
      </c>
      <c r="E797" t="inlineStr">
        <is>
          <t>194612440373</t>
        </is>
      </c>
      <c r="F797">
        <f>IMAGE("https://cf.shopee.tw/file/tw-11134207-7qul6-lg6qmgyr82ddca_tn")</f>
        <v/>
      </c>
    </row>
    <row r="798">
      <c r="A798" t="inlineStr">
        <is>
          <t>18379321477</t>
        </is>
      </c>
      <c r="B798" t="inlineStr">
        <is>
          <t>隔日到貨🔥 iPhone 手機殼 17 16 15 14 13 12 11 XS XR SE pro 保護殼 蘋果 素色</t>
        </is>
      </c>
      <c r="C798">
        <f>IMAGE("https://cf.shopee.tw/file/tw-11134207-7qul3-lg6b9d9blfl619_tn")</f>
        <v/>
      </c>
      <c r="D798" t="inlineStr">
        <is>
          <t>電鍍黑色,7 / 8 / SE2 / SE3</t>
        </is>
      </c>
      <c r="E798" t="inlineStr">
        <is>
          <t>225158598483</t>
        </is>
      </c>
      <c r="F798">
        <f>IMAGE("https://cf.shopee.tw/file/tw-11134207-7qul6-lg6bahryawhtd2_tn")</f>
        <v/>
      </c>
    </row>
    <row r="799">
      <c r="A799" t="inlineStr">
        <is>
          <t>18379321477</t>
        </is>
      </c>
      <c r="B799" t="inlineStr">
        <is>
          <t>隔日到貨🔥 iPhone 手機殼 17 16 15 14 13 12 11 XS XR SE pro 保護殼 蘋果 素色</t>
        </is>
      </c>
      <c r="C799">
        <f>IMAGE("https://cf.shopee.tw/file/tw-11134207-7qul3-lg6b9d9blfl619_tn")</f>
        <v/>
      </c>
      <c r="D799" t="inlineStr">
        <is>
          <t>電鍍黑色,7Plus / 8Plus</t>
        </is>
      </c>
      <c r="E799" t="inlineStr">
        <is>
          <t>206713510649</t>
        </is>
      </c>
      <c r="F799">
        <f>IMAGE("https://cf.shopee.tw/file/tw-11134207-7qul6-lg6bahryawhtd2_tn")</f>
        <v/>
      </c>
    </row>
    <row r="800">
      <c r="A800" t="inlineStr">
        <is>
          <t>18379321477</t>
        </is>
      </c>
      <c r="B800" t="inlineStr">
        <is>
          <t>隔日到貨🔥 iPhone 手機殼 17 16 15 14 13 12 11 XS XR SE pro 保護殼 蘋果 素色</t>
        </is>
      </c>
      <c r="C800">
        <f>IMAGE("https://cf.shopee.tw/file/tw-11134207-7qul3-lg6b9d9blfl619_tn")</f>
        <v/>
      </c>
      <c r="D800" t="inlineStr">
        <is>
          <t>電鍍黑色,X / XS</t>
        </is>
      </c>
      <c r="E800" t="inlineStr">
        <is>
          <t>206713510644</t>
        </is>
      </c>
      <c r="F800">
        <f>IMAGE("https://cf.shopee.tw/file/tw-11134207-7qul6-lg6bahryawhtd2_tn")</f>
        <v/>
      </c>
    </row>
    <row r="801">
      <c r="A801" t="inlineStr">
        <is>
          <t>18379321477</t>
        </is>
      </c>
      <c r="B801" t="inlineStr">
        <is>
          <t>隔日到貨🔥 iPhone 手機殼 17 16 15 14 13 12 11 XS XR SE pro 保護殼 蘋果 素色</t>
        </is>
      </c>
      <c r="C801">
        <f>IMAGE("https://cf.shopee.tw/file/tw-11134207-7qul3-lg6b9d9blfl619_tn")</f>
        <v/>
      </c>
      <c r="D801" t="inlineStr">
        <is>
          <t>電鍍黑色,XR</t>
        </is>
      </c>
      <c r="E801" t="inlineStr">
        <is>
          <t>206713510625</t>
        </is>
      </c>
      <c r="F801">
        <f>IMAGE("https://cf.shopee.tw/file/tw-11134207-7qul6-lg6bahryawhtd2_tn")</f>
        <v/>
      </c>
    </row>
    <row r="802">
      <c r="A802" t="inlineStr">
        <is>
          <t>18379321477</t>
        </is>
      </c>
      <c r="B802" t="inlineStr">
        <is>
          <t>隔日到貨🔥 iPhone 手機殼 17 16 15 14 13 12 11 XS XR SE pro 保護殼 蘋果 素色</t>
        </is>
      </c>
      <c r="C802">
        <f>IMAGE("https://cf.shopee.tw/file/tw-11134207-7qul3-lg6b9d9blfl619_tn")</f>
        <v/>
      </c>
      <c r="D802" t="inlineStr">
        <is>
          <t>電鍍黑色,XS Max</t>
        </is>
      </c>
      <c r="E802" t="inlineStr">
        <is>
          <t>236147203070</t>
        </is>
      </c>
      <c r="F802">
        <f>IMAGE("https://cf.shopee.tw/file/tw-11134207-7qul6-lg6bahryawhtd2_tn")</f>
        <v/>
      </c>
    </row>
    <row r="803">
      <c r="A803" t="inlineStr">
        <is>
          <t>18379321477</t>
        </is>
      </c>
      <c r="B803" t="inlineStr">
        <is>
          <t>隔日到貨🔥 iPhone 手機殼 17 16 15 14 13 12 11 XS XR SE pro 保護殼 蘋果 素色</t>
        </is>
      </c>
      <c r="C803">
        <f>IMAGE("https://cf.shopee.tw/file/tw-11134207-7qul3-lg6b9d9blfl619_tn")</f>
        <v/>
      </c>
      <c r="D803" t="inlineStr">
        <is>
          <t>電鍍黑色,11</t>
        </is>
      </c>
      <c r="E803" t="inlineStr">
        <is>
          <t>206713510645</t>
        </is>
      </c>
      <c r="F803">
        <f>IMAGE("https://cf.shopee.tw/file/tw-11134207-7qul6-lg6bahryawhtd2_tn")</f>
        <v/>
      </c>
    </row>
    <row r="804">
      <c r="A804" t="inlineStr">
        <is>
          <t>18379321477</t>
        </is>
      </c>
      <c r="B804" t="inlineStr">
        <is>
          <t>隔日到貨🔥 iPhone 手機殼 17 16 15 14 13 12 11 XS XR SE pro 保護殼 蘋果 素色</t>
        </is>
      </c>
      <c r="C804">
        <f>IMAGE("https://cf.shopee.tw/file/tw-11134207-7qul3-lg6b9d9blfl619_tn")</f>
        <v/>
      </c>
      <c r="D804" t="inlineStr">
        <is>
          <t>電鍍黑色,11 pro Max</t>
        </is>
      </c>
      <c r="E804" t="inlineStr">
        <is>
          <t>236147203071</t>
        </is>
      </c>
      <c r="F804">
        <f>IMAGE("https://cf.shopee.tw/file/tw-11134207-7qul6-lg6bahryawhtd2_tn")</f>
        <v/>
      </c>
    </row>
    <row r="805">
      <c r="A805" t="inlineStr">
        <is>
          <t>18379321477</t>
        </is>
      </c>
      <c r="B805" t="inlineStr">
        <is>
          <t>隔日到貨🔥 iPhone 手機殼 17 16 15 14 13 12 11 XS XR SE pro 保護殼 蘋果 素色</t>
        </is>
      </c>
      <c r="C805">
        <f>IMAGE("https://cf.shopee.tw/file/tw-11134207-7qul3-lg6b9d9blfl619_tn")</f>
        <v/>
      </c>
      <c r="D805" t="inlineStr">
        <is>
          <t>電鍍黑色,12/12 pro</t>
        </is>
      </c>
      <c r="E805" t="inlineStr">
        <is>
          <t>206713510614</t>
        </is>
      </c>
      <c r="F805">
        <f>IMAGE("https://cf.shopee.tw/file/tw-11134207-7qul6-lg6bahryawhtd2_tn")</f>
        <v/>
      </c>
    </row>
    <row r="806">
      <c r="A806" t="inlineStr">
        <is>
          <t>18379321477</t>
        </is>
      </c>
      <c r="B806" t="inlineStr">
        <is>
          <t>隔日到貨🔥 iPhone 手機殼 17 16 15 14 13 12 11 XS XR SE pro 保護殼 蘋果 素色</t>
        </is>
      </c>
      <c r="C806">
        <f>IMAGE("https://cf.shopee.tw/file/tw-11134207-7qul3-lg6b9d9blfl619_tn")</f>
        <v/>
      </c>
      <c r="D806" t="inlineStr">
        <is>
          <t>電鍍黑色,12 pro Max</t>
        </is>
      </c>
      <c r="E806" t="inlineStr">
        <is>
          <t>206713510629</t>
        </is>
      </c>
      <c r="F806">
        <f>IMAGE("https://cf.shopee.tw/file/tw-11134207-7qul6-lg6bahryawhtd2_tn")</f>
        <v/>
      </c>
    </row>
    <row r="807">
      <c r="A807" t="inlineStr">
        <is>
          <t>18379321477</t>
        </is>
      </c>
      <c r="B807" t="inlineStr">
        <is>
          <t>隔日到貨🔥 iPhone 手機殼 17 16 15 14 13 12 11 XS XR SE pro 保護殼 蘋果 素色</t>
        </is>
      </c>
      <c r="C807">
        <f>IMAGE("https://cf.shopee.tw/file/tw-11134207-7qul3-lg6b9d9blfl619_tn")</f>
        <v/>
      </c>
      <c r="D807" t="inlineStr">
        <is>
          <t>電鍍黑色,13/14</t>
        </is>
      </c>
      <c r="E807" t="inlineStr">
        <is>
          <t>206713510643</t>
        </is>
      </c>
      <c r="F807">
        <f>IMAGE("https://cf.shopee.tw/file/tw-11134207-7qul6-lg6bahryawhtd2_tn")</f>
        <v/>
      </c>
    </row>
    <row r="808">
      <c r="A808" t="inlineStr">
        <is>
          <t>18379321477</t>
        </is>
      </c>
      <c r="B808" t="inlineStr">
        <is>
          <t>隔日到貨🔥 iPhone 手機殼 17 16 15 14 13 12 11 XS XR SE pro 保護殼 蘋果 素色</t>
        </is>
      </c>
      <c r="C808">
        <f>IMAGE("https://cf.shopee.tw/file/tw-11134207-7qul3-lg6b9d9blfl619_tn")</f>
        <v/>
      </c>
      <c r="D808" t="inlineStr">
        <is>
          <t>電鍍黑色,13 pro</t>
        </is>
      </c>
      <c r="E808" t="inlineStr">
        <is>
          <t>206713510639</t>
        </is>
      </c>
      <c r="F808">
        <f>IMAGE("https://cf.shopee.tw/file/tw-11134207-7qul6-lg6bahryawhtd2_tn")</f>
        <v/>
      </c>
    </row>
    <row r="809">
      <c r="A809" t="inlineStr">
        <is>
          <t>18379321477</t>
        </is>
      </c>
      <c r="B809" t="inlineStr">
        <is>
          <t>隔日到貨🔥 iPhone 手機殼 17 16 15 14 13 12 11 XS XR SE pro 保護殼 蘋果 素色</t>
        </is>
      </c>
      <c r="C809">
        <f>IMAGE("https://cf.shopee.tw/file/tw-11134207-7qul3-lg6b9d9blfl619_tn")</f>
        <v/>
      </c>
      <c r="D809" t="inlineStr">
        <is>
          <t>電鍍黑色,13 pro Max</t>
        </is>
      </c>
      <c r="E809" t="inlineStr">
        <is>
          <t>206713510646</t>
        </is>
      </c>
      <c r="F809">
        <f>IMAGE("https://cf.shopee.tw/file/tw-11134207-7qul6-lg6bahryawhtd2_tn")</f>
        <v/>
      </c>
    </row>
    <row r="810">
      <c r="A810" t="inlineStr">
        <is>
          <t>18379321477</t>
        </is>
      </c>
      <c r="B810" t="inlineStr">
        <is>
          <t>隔日到貨🔥 iPhone 手機殼 17 16 15 14 13 12 11 XS XR SE pro 保護殼 蘋果 素色</t>
        </is>
      </c>
      <c r="C810">
        <f>IMAGE("https://cf.shopee.tw/file/tw-11134207-7qul3-lg6b9d9blfl619_tn")</f>
        <v/>
      </c>
      <c r="D810" t="inlineStr">
        <is>
          <t>電鍍黑色,14 pro</t>
        </is>
      </c>
      <c r="E810" t="inlineStr">
        <is>
          <t>206713510640</t>
        </is>
      </c>
      <c r="F810">
        <f>IMAGE("https://cf.shopee.tw/file/tw-11134207-7qul6-lg6bahryawhtd2_tn")</f>
        <v/>
      </c>
    </row>
    <row r="811">
      <c r="A811" t="inlineStr">
        <is>
          <t>18379321477</t>
        </is>
      </c>
      <c r="B811" t="inlineStr">
        <is>
          <t>隔日到貨🔥 iPhone 手機殼 17 16 15 14 13 12 11 XS XR SE pro 保護殼 蘋果 素色</t>
        </is>
      </c>
      <c r="C811">
        <f>IMAGE("https://cf.shopee.tw/file/tw-11134207-7qul3-lg6b9d9blfl619_tn")</f>
        <v/>
      </c>
      <c r="D811" t="inlineStr">
        <is>
          <t>電鍍黑色,14 pro Max</t>
        </is>
      </c>
      <c r="E811" t="inlineStr">
        <is>
          <t>206713510635</t>
        </is>
      </c>
      <c r="F811">
        <f>IMAGE("https://cf.shopee.tw/file/tw-11134207-7qul6-lg6bahryawhtd2_tn")</f>
        <v/>
      </c>
    </row>
    <row r="812">
      <c r="A812" t="inlineStr">
        <is>
          <t>18379321477</t>
        </is>
      </c>
      <c r="B812" t="inlineStr">
        <is>
          <t>隔日到貨🔥 iPhone 手機殼 17 16 15 14 13 12 11 XS XR SE pro 保護殼 蘋果 素色</t>
        </is>
      </c>
      <c r="C812">
        <f>IMAGE("https://cf.shopee.tw/file/tw-11134207-7qul3-lg6b9d9blfl619_tn")</f>
        <v/>
      </c>
      <c r="D812" t="inlineStr">
        <is>
          <t>電鍍黑色,14 Plus</t>
        </is>
      </c>
      <c r="E812" t="inlineStr">
        <is>
          <t>236147203072</t>
        </is>
      </c>
      <c r="F812">
        <f>IMAGE("https://cf.shopee.tw/file/tw-11134207-7qul6-lg6bahryawhtd2_tn")</f>
        <v/>
      </c>
    </row>
    <row r="813">
      <c r="A813" t="inlineStr">
        <is>
          <t>18379321477</t>
        </is>
      </c>
      <c r="B813" t="inlineStr">
        <is>
          <t>隔日到貨🔥 iPhone 手機殼 17 16 15 14 13 12 11 XS XR SE pro 保護殼 蘋果 素色</t>
        </is>
      </c>
      <c r="C813">
        <f>IMAGE("https://cf.shopee.tw/file/tw-11134207-7qul3-lg6b9d9blfl619_tn")</f>
        <v/>
      </c>
      <c r="D813" t="inlineStr">
        <is>
          <t>電鍍黑色,15</t>
        </is>
      </c>
      <c r="E813" t="inlineStr">
        <is>
          <t>194612440374</t>
        </is>
      </c>
      <c r="F813">
        <f>IMAGE("https://cf.shopee.tw/file/tw-11134207-7qul6-lg6bahryawhtd2_tn")</f>
        <v/>
      </c>
    </row>
    <row r="814">
      <c r="A814" t="inlineStr">
        <is>
          <t>18379321477</t>
        </is>
      </c>
      <c r="B814" t="inlineStr">
        <is>
          <t>隔日到貨🔥 iPhone 手機殼 17 16 15 14 13 12 11 XS XR SE pro 保護殼 蘋果 素色</t>
        </is>
      </c>
      <c r="C814">
        <f>IMAGE("https://cf.shopee.tw/file/tw-11134207-7qul3-lg6b9d9blfl619_tn")</f>
        <v/>
      </c>
      <c r="D814" t="inlineStr">
        <is>
          <t>電鍍黑色,15 pro</t>
        </is>
      </c>
      <c r="E814" t="inlineStr"/>
      <c r="F814">
        <f>IMAGE("https://cf.shopee.tw/file/tw-11134207-7qul6-lg6bahryawhtd2_tn")</f>
        <v/>
      </c>
    </row>
    <row r="815">
      <c r="A815" t="inlineStr">
        <is>
          <t>18379321477</t>
        </is>
      </c>
      <c r="B815" t="inlineStr">
        <is>
          <t>隔日到貨🔥 iPhone 手機殼 17 16 15 14 13 12 11 XS XR SE pro 保護殼 蘋果 素色</t>
        </is>
      </c>
      <c r="C815">
        <f>IMAGE("https://cf.shopee.tw/file/tw-11134207-7qul3-lg6b9d9blfl619_tn")</f>
        <v/>
      </c>
      <c r="D815" t="inlineStr">
        <is>
          <t>電鍍黑色,15 pro Max</t>
        </is>
      </c>
      <c r="E815" t="inlineStr">
        <is>
          <t>194612440372</t>
        </is>
      </c>
      <c r="F815">
        <f>IMAGE("https://cf.shopee.tw/file/tw-11134207-7qul6-lg6bahryawhtd2_tn")</f>
        <v/>
      </c>
    </row>
    <row r="816">
      <c r="A816" t="inlineStr">
        <is>
          <t>18379321477</t>
        </is>
      </c>
      <c r="B816" t="inlineStr">
        <is>
          <t>隔日到貨🔥 iPhone 手機殼 17 16 15 14 13 12 11 XS XR SE pro 保護殼 蘋果 素色</t>
        </is>
      </c>
      <c r="C816">
        <f>IMAGE("https://cf.shopee.tw/file/tw-11134207-7qul3-lg6b9d9blfl619_tn")</f>
        <v/>
      </c>
      <c r="D816" t="inlineStr">
        <is>
          <t>電鍍黑色,15 Plus</t>
        </is>
      </c>
      <c r="E816" t="inlineStr">
        <is>
          <t>236147203073</t>
        </is>
      </c>
      <c r="F816">
        <f>IMAGE("https://cf.shopee.tw/file/tw-11134207-7qul6-lg6bahryawhtd2_tn")</f>
        <v/>
      </c>
    </row>
    <row r="817">
      <c r="A817" t="inlineStr">
        <is>
          <t>18379321477</t>
        </is>
      </c>
      <c r="B817" t="inlineStr">
        <is>
          <t>隔日到貨🔥 iPhone 手機殼 17 16 15 14 13 12 11 XS XR SE pro 保護殼 蘋果 素色</t>
        </is>
      </c>
      <c r="C817">
        <f>IMAGE("https://cf.shopee.tw/file/tw-11134207-7qul3-lg6b9d9blfl619_tn")</f>
        <v/>
      </c>
      <c r="D817" t="inlineStr">
        <is>
          <t>電鍍黑色,16</t>
        </is>
      </c>
      <c r="E817" t="inlineStr">
        <is>
          <t>168425280306</t>
        </is>
      </c>
      <c r="F817">
        <f>IMAGE("https://cf.shopee.tw/file/tw-11134207-7qul6-lg6bahryawhtd2_tn")</f>
        <v/>
      </c>
    </row>
    <row r="818">
      <c r="A818" t="inlineStr">
        <is>
          <t>18379321477</t>
        </is>
      </c>
      <c r="B818" t="inlineStr">
        <is>
          <t>隔日到貨🔥 iPhone 手機殼 17 16 15 14 13 12 11 XS XR SE pro 保護殼 蘋果 素色</t>
        </is>
      </c>
      <c r="C818">
        <f>IMAGE("https://cf.shopee.tw/file/tw-11134207-7qul3-lg6b9d9blfl619_tn")</f>
        <v/>
      </c>
      <c r="D818" t="inlineStr">
        <is>
          <t>電鍍黑色,16 pro</t>
        </is>
      </c>
      <c r="E818" t="inlineStr">
        <is>
          <t>168425280307</t>
        </is>
      </c>
      <c r="F818">
        <f>IMAGE("https://cf.shopee.tw/file/tw-11134207-7qul6-lg6bahryawhtd2_tn")</f>
        <v/>
      </c>
    </row>
    <row r="819">
      <c r="A819" t="inlineStr">
        <is>
          <t>18379321477</t>
        </is>
      </c>
      <c r="B819" t="inlineStr">
        <is>
          <t>隔日到貨🔥 iPhone 手機殼 17 16 15 14 13 12 11 XS XR SE pro 保護殼 蘋果 素色</t>
        </is>
      </c>
      <c r="C819">
        <f>IMAGE("https://cf.shopee.tw/file/tw-11134207-7qul3-lg6b9d9blfl619_tn")</f>
        <v/>
      </c>
      <c r="D819" t="inlineStr">
        <is>
          <t>電鍍黑色,16 pro Max</t>
        </is>
      </c>
      <c r="E819" t="inlineStr">
        <is>
          <t>168425280308</t>
        </is>
      </c>
      <c r="F819">
        <f>IMAGE("https://cf.shopee.tw/file/tw-11134207-7qul6-lg6bahryawhtd2_tn")</f>
        <v/>
      </c>
    </row>
    <row r="820">
      <c r="A820" t="inlineStr">
        <is>
          <t>18379321477</t>
        </is>
      </c>
      <c r="B820" t="inlineStr">
        <is>
          <t>隔日到貨🔥 iPhone 手機殼 17 16 15 14 13 12 11 XS XR SE pro 保護殼 蘋果 素色</t>
        </is>
      </c>
      <c r="C820">
        <f>IMAGE("https://cf.shopee.tw/file/tw-11134207-7qul3-lg6b9d9blfl619_tn")</f>
        <v/>
      </c>
      <c r="D820" t="inlineStr">
        <is>
          <t>電鍍黑色,16 Plus</t>
        </is>
      </c>
      <c r="E820" t="inlineStr"/>
      <c r="F820">
        <f>IMAGE("https://cf.shopee.tw/file/tw-11134207-7qul6-lg6bahryawhtd2_tn")</f>
        <v/>
      </c>
    </row>
    <row r="821">
      <c r="A821" t="inlineStr">
        <is>
          <t>18379321477</t>
        </is>
      </c>
      <c r="B821" t="inlineStr">
        <is>
          <t>隔日到貨🔥 iPhone 手機殼 17 16 15 14 13 12 11 XS XR SE pro 保護殼 蘋果 素色</t>
        </is>
      </c>
      <c r="C821">
        <f>IMAGE("https://cf.shopee.tw/file/tw-11134207-7qul3-lg6b9d9blfl619_tn")</f>
        <v/>
      </c>
      <c r="D821" t="inlineStr">
        <is>
          <t>電鍍黑色,17</t>
        </is>
      </c>
      <c r="E821" t="inlineStr">
        <is>
          <t>266657803832</t>
        </is>
      </c>
      <c r="F821">
        <f>IMAGE("https://cf.shopee.tw/file/tw-11134207-7qul6-lg6bahryawhtd2_tn")</f>
        <v/>
      </c>
    </row>
    <row r="822">
      <c r="A822" t="inlineStr">
        <is>
          <t>18379321477</t>
        </is>
      </c>
      <c r="B822" t="inlineStr">
        <is>
          <t>隔日到貨🔥 iPhone 手機殼 17 16 15 14 13 12 11 XS XR SE pro 保護殼 蘋果 素色</t>
        </is>
      </c>
      <c r="C822">
        <f>IMAGE("https://cf.shopee.tw/file/tw-11134207-7qul3-lg6b9d9blfl619_tn")</f>
        <v/>
      </c>
      <c r="D822" t="inlineStr">
        <is>
          <t>電鍍黑色,17 pro</t>
        </is>
      </c>
      <c r="E822" t="inlineStr">
        <is>
          <t>266657803833</t>
        </is>
      </c>
      <c r="F822">
        <f>IMAGE("https://cf.shopee.tw/file/tw-11134207-7qul6-lg6bahryawhtd2_tn")</f>
        <v/>
      </c>
    </row>
    <row r="823">
      <c r="A823" t="inlineStr">
        <is>
          <t>18379321477</t>
        </is>
      </c>
      <c r="B823" t="inlineStr">
        <is>
          <t>隔日到貨🔥 iPhone 手機殼 17 16 15 14 13 12 11 XS XR SE pro 保護殼 蘋果 素色</t>
        </is>
      </c>
      <c r="C823">
        <f>IMAGE("https://cf.shopee.tw/file/tw-11134207-7qul3-lg6b9d9blfl619_tn")</f>
        <v/>
      </c>
      <c r="D823" t="inlineStr">
        <is>
          <t>電鍍黑色,17 pro Max</t>
        </is>
      </c>
      <c r="E823" t="inlineStr">
        <is>
          <t>266657803834</t>
        </is>
      </c>
      <c r="F823">
        <f>IMAGE("https://cf.shopee.tw/file/tw-11134207-7qul6-lg6bahryawhtd2_tn")</f>
        <v/>
      </c>
    </row>
    <row r="824">
      <c r="A824" t="inlineStr">
        <is>
          <t>18379321477</t>
        </is>
      </c>
      <c r="B824" t="inlineStr">
        <is>
          <t>隔日到貨🔥 iPhone 手機殼 17 16 15 14 13 12 11 XS XR SE pro 保護殼 蘋果 素色</t>
        </is>
      </c>
      <c r="C824">
        <f>IMAGE("https://cf.shopee.tw/file/tw-11134207-7qul3-lg6b9d9blfl619_tn")</f>
        <v/>
      </c>
      <c r="D824" t="inlineStr">
        <is>
          <t>電鍍米白,7 / 8 / SE2 / SE3</t>
        </is>
      </c>
      <c r="E824" t="inlineStr">
        <is>
          <t>216711420285</t>
        </is>
      </c>
      <c r="F824">
        <f>IMAGE("https://cf.shopee.tw/file/tw-11134207-7qul6-lg6qmgyr82ddca_tn")</f>
        <v/>
      </c>
    </row>
    <row r="825">
      <c r="A825" t="inlineStr">
        <is>
          <t>18379321477</t>
        </is>
      </c>
      <c r="B825" t="inlineStr">
        <is>
          <t>隔日到貨🔥 iPhone 手機殼 17 16 15 14 13 12 11 XS XR SE pro 保護殼 蘋果 素色</t>
        </is>
      </c>
      <c r="C825">
        <f>IMAGE("https://cf.shopee.tw/file/tw-11134207-7qul3-lg6b9d9blfl619_tn")</f>
        <v/>
      </c>
      <c r="D825" t="inlineStr">
        <is>
          <t>電鍍米白,7Plus / 8Plus</t>
        </is>
      </c>
      <c r="E825" t="inlineStr">
        <is>
          <t>206713510611</t>
        </is>
      </c>
      <c r="F825">
        <f>IMAGE("https://cf.shopee.tw/file/tw-11134207-7qul6-lg6qmgyr82ddca_tn")</f>
        <v/>
      </c>
    </row>
    <row r="826">
      <c r="A826" t="inlineStr">
        <is>
          <t>18379321477</t>
        </is>
      </c>
      <c r="B826" t="inlineStr">
        <is>
          <t>隔日到貨🔥 iPhone 手機殼 17 16 15 14 13 12 11 XS XR SE pro 保護殼 蘋果 素色</t>
        </is>
      </c>
      <c r="C826">
        <f>IMAGE("https://cf.shopee.tw/file/tw-11134207-7qul3-lg6b9d9blfl619_tn")</f>
        <v/>
      </c>
      <c r="D826" t="inlineStr">
        <is>
          <t>電鍍米白,X / XS</t>
        </is>
      </c>
      <c r="E826" t="inlineStr">
        <is>
          <t>206713510630</t>
        </is>
      </c>
      <c r="F826">
        <f>IMAGE("https://cf.shopee.tw/file/tw-11134207-7qul6-lg6qmgyr82ddca_tn")</f>
        <v/>
      </c>
    </row>
    <row r="827">
      <c r="A827" t="inlineStr">
        <is>
          <t>18379321477</t>
        </is>
      </c>
      <c r="B827" t="inlineStr">
        <is>
          <t>隔日到貨🔥 iPhone 手機殼 17 16 15 14 13 12 11 XS XR SE pro 保護殼 蘋果 素色</t>
        </is>
      </c>
      <c r="C827">
        <f>IMAGE("https://cf.shopee.tw/file/tw-11134207-7qul3-lg6b9d9blfl619_tn")</f>
        <v/>
      </c>
      <c r="D827" t="inlineStr">
        <is>
          <t>電鍍米白,XR</t>
        </is>
      </c>
      <c r="E827" t="inlineStr">
        <is>
          <t>206713510636</t>
        </is>
      </c>
      <c r="F827">
        <f>IMAGE("https://cf.shopee.tw/file/tw-11134207-7qul6-lg6qmgyr82ddca_tn")</f>
        <v/>
      </c>
    </row>
    <row r="828">
      <c r="A828" t="inlineStr">
        <is>
          <t>18379321477</t>
        </is>
      </c>
      <c r="B828" t="inlineStr">
        <is>
          <t>隔日到貨🔥 iPhone 手機殼 17 16 15 14 13 12 11 XS XR SE pro 保護殼 蘋果 素色</t>
        </is>
      </c>
      <c r="C828">
        <f>IMAGE("https://cf.shopee.tw/file/tw-11134207-7qul3-lg6b9d9blfl619_tn")</f>
        <v/>
      </c>
      <c r="D828" t="inlineStr">
        <is>
          <t>電鍍米白,XS Max</t>
        </is>
      </c>
      <c r="E828" t="inlineStr">
        <is>
          <t>236147203074</t>
        </is>
      </c>
      <c r="F828">
        <f>IMAGE("https://cf.shopee.tw/file/tw-11134207-7qul6-lg6qmgyr82ddca_tn")</f>
        <v/>
      </c>
    </row>
    <row r="829">
      <c r="A829" t="inlineStr">
        <is>
          <t>18379321477</t>
        </is>
      </c>
      <c r="B829" t="inlineStr">
        <is>
          <t>隔日到貨🔥 iPhone 手機殼 17 16 15 14 13 12 11 XS XR SE pro 保護殼 蘋果 素色</t>
        </is>
      </c>
      <c r="C829">
        <f>IMAGE("https://cf.shopee.tw/file/tw-11134207-7qul3-lg6b9d9blfl619_tn")</f>
        <v/>
      </c>
      <c r="D829" t="inlineStr">
        <is>
          <t>電鍍米白,11</t>
        </is>
      </c>
      <c r="E829" t="inlineStr"/>
      <c r="F829">
        <f>IMAGE("https://cf.shopee.tw/file/tw-11134207-7qul6-lg6qmgyr82ddca_tn")</f>
        <v/>
      </c>
    </row>
    <row r="830">
      <c r="A830" t="inlineStr">
        <is>
          <t>18379321477</t>
        </is>
      </c>
      <c r="B830" t="inlineStr">
        <is>
          <t>隔日到貨🔥 iPhone 手機殼 17 16 15 14 13 12 11 XS XR SE pro 保護殼 蘋果 素色</t>
        </is>
      </c>
      <c r="C830">
        <f>IMAGE("https://cf.shopee.tw/file/tw-11134207-7qul3-lg6b9d9blfl619_tn")</f>
        <v/>
      </c>
      <c r="D830" t="inlineStr">
        <is>
          <t>電鍍米白,11 pro Max</t>
        </is>
      </c>
      <c r="E830" t="inlineStr">
        <is>
          <t>236147203075</t>
        </is>
      </c>
      <c r="F830">
        <f>IMAGE("https://cf.shopee.tw/file/tw-11134207-7qul6-lg6qmgyr82ddca_tn")</f>
        <v/>
      </c>
    </row>
    <row r="831">
      <c r="A831" t="inlineStr">
        <is>
          <t>18379321477</t>
        </is>
      </c>
      <c r="B831" t="inlineStr">
        <is>
          <t>隔日到貨🔥 iPhone 手機殼 17 16 15 14 13 12 11 XS XR SE pro 保護殼 蘋果 素色</t>
        </is>
      </c>
      <c r="C831">
        <f>IMAGE("https://cf.shopee.tw/file/tw-11134207-7qul3-lg6b9d9blfl619_tn")</f>
        <v/>
      </c>
      <c r="D831" t="inlineStr">
        <is>
          <t>電鍍米白,12/12 pro</t>
        </is>
      </c>
      <c r="E831" t="inlineStr">
        <is>
          <t>206713510631</t>
        </is>
      </c>
      <c r="F831">
        <f>IMAGE("https://cf.shopee.tw/file/tw-11134207-7qul6-lg6qmgyr82ddca_tn")</f>
        <v/>
      </c>
    </row>
    <row r="832">
      <c r="A832" t="inlineStr">
        <is>
          <t>18379321477</t>
        </is>
      </c>
      <c r="B832" t="inlineStr">
        <is>
          <t>隔日到貨🔥 iPhone 手機殼 17 16 15 14 13 12 11 XS XR SE pro 保護殼 蘋果 素色</t>
        </is>
      </c>
      <c r="C832">
        <f>IMAGE("https://cf.shopee.tw/file/tw-11134207-7qul3-lg6b9d9blfl619_tn")</f>
        <v/>
      </c>
      <c r="D832" t="inlineStr">
        <is>
          <t>電鍍米白,12 pro Max</t>
        </is>
      </c>
      <c r="E832" t="inlineStr">
        <is>
          <t>206713510612</t>
        </is>
      </c>
      <c r="F832">
        <f>IMAGE("https://cf.shopee.tw/file/tw-11134207-7qul6-lg6qmgyr82ddca_tn")</f>
        <v/>
      </c>
    </row>
    <row r="833">
      <c r="A833" t="inlineStr">
        <is>
          <t>18379321477</t>
        </is>
      </c>
      <c r="B833" t="inlineStr">
        <is>
          <t>隔日到貨🔥 iPhone 手機殼 17 16 15 14 13 12 11 XS XR SE pro 保護殼 蘋果 素色</t>
        </is>
      </c>
      <c r="C833">
        <f>IMAGE("https://cf.shopee.tw/file/tw-11134207-7qul3-lg6b9d9blfl619_tn")</f>
        <v/>
      </c>
      <c r="D833" t="inlineStr">
        <is>
          <t>電鍍米白,13/14</t>
        </is>
      </c>
      <c r="E833" t="inlineStr">
        <is>
          <t>206713510647</t>
        </is>
      </c>
      <c r="F833">
        <f>IMAGE("https://cf.shopee.tw/file/tw-11134207-7qul6-lg6qmgyr82ddca_tn")</f>
        <v/>
      </c>
    </row>
    <row r="834">
      <c r="A834" t="inlineStr">
        <is>
          <t>18379321477</t>
        </is>
      </c>
      <c r="B834" t="inlineStr">
        <is>
          <t>隔日到貨🔥 iPhone 手機殼 17 16 15 14 13 12 11 XS XR SE pro 保護殼 蘋果 素色</t>
        </is>
      </c>
      <c r="C834">
        <f>IMAGE("https://cf.shopee.tw/file/tw-11134207-7qul3-lg6b9d9blfl619_tn")</f>
        <v/>
      </c>
      <c r="D834" t="inlineStr">
        <is>
          <t>電鍍米白,13 pro</t>
        </is>
      </c>
      <c r="E834" t="inlineStr">
        <is>
          <t>206713510626</t>
        </is>
      </c>
      <c r="F834">
        <f>IMAGE("https://cf.shopee.tw/file/tw-11134207-7qul6-lg6qmgyr82ddca_tn")</f>
        <v/>
      </c>
    </row>
    <row r="835">
      <c r="A835" t="inlineStr">
        <is>
          <t>18379321477</t>
        </is>
      </c>
      <c r="B835" t="inlineStr">
        <is>
          <t>隔日到貨🔥 iPhone 手機殼 17 16 15 14 13 12 11 XS XR SE pro 保護殼 蘋果 素色</t>
        </is>
      </c>
      <c r="C835">
        <f>IMAGE("https://cf.shopee.tw/file/tw-11134207-7qul3-lg6b9d9blfl619_tn")</f>
        <v/>
      </c>
      <c r="D835" t="inlineStr">
        <is>
          <t>電鍍米白,13 pro Max</t>
        </is>
      </c>
      <c r="E835" t="inlineStr">
        <is>
          <t>206713510637</t>
        </is>
      </c>
      <c r="F835">
        <f>IMAGE("https://cf.shopee.tw/file/tw-11134207-7qul6-lg6qmgyr82ddca_tn")</f>
        <v/>
      </c>
    </row>
    <row r="836">
      <c r="A836" t="inlineStr">
        <is>
          <t>18379321477</t>
        </is>
      </c>
      <c r="B836" t="inlineStr">
        <is>
          <t>隔日到貨🔥 iPhone 手機殼 17 16 15 14 13 12 11 XS XR SE pro 保護殼 蘋果 素色</t>
        </is>
      </c>
      <c r="C836">
        <f>IMAGE("https://cf.shopee.tw/file/tw-11134207-7qul3-lg6b9d9blfl619_tn")</f>
        <v/>
      </c>
      <c r="D836" t="inlineStr">
        <is>
          <t>電鍍米白,14 pro</t>
        </is>
      </c>
      <c r="E836" t="inlineStr">
        <is>
          <t>206713510632</t>
        </is>
      </c>
      <c r="F836">
        <f>IMAGE("https://cf.shopee.tw/file/tw-11134207-7qul6-lg6qmgyr82ddca_tn")</f>
        <v/>
      </c>
    </row>
    <row r="837">
      <c r="A837" t="inlineStr">
        <is>
          <t>18379321477</t>
        </is>
      </c>
      <c r="B837" t="inlineStr">
        <is>
          <t>隔日到貨🔥 iPhone 手機殼 17 16 15 14 13 12 11 XS XR SE pro 保護殼 蘋果 素色</t>
        </is>
      </c>
      <c r="C837">
        <f>IMAGE("https://cf.shopee.tw/file/tw-11134207-7qul3-lg6b9d9blfl619_tn")</f>
        <v/>
      </c>
      <c r="D837" t="inlineStr">
        <is>
          <t>電鍍米白,14 pro Max</t>
        </is>
      </c>
      <c r="E837" t="inlineStr">
        <is>
          <t>206713510633</t>
        </is>
      </c>
      <c r="F837">
        <f>IMAGE("https://cf.shopee.tw/file/tw-11134207-7qul6-lg6qmgyr82ddca_tn")</f>
        <v/>
      </c>
    </row>
    <row r="838">
      <c r="A838" t="inlineStr">
        <is>
          <t>18379321477</t>
        </is>
      </c>
      <c r="B838" t="inlineStr">
        <is>
          <t>隔日到貨🔥 iPhone 手機殼 17 16 15 14 13 12 11 XS XR SE pro 保護殼 蘋果 素色</t>
        </is>
      </c>
      <c r="C838">
        <f>IMAGE("https://cf.shopee.tw/file/tw-11134207-7qul3-lg6b9d9blfl619_tn")</f>
        <v/>
      </c>
      <c r="D838" t="inlineStr">
        <is>
          <t>電鍍米白,14 Plus</t>
        </is>
      </c>
      <c r="E838" t="inlineStr">
        <is>
          <t>236147203076</t>
        </is>
      </c>
      <c r="F838">
        <f>IMAGE("https://cf.shopee.tw/file/tw-11134207-7qul6-lg6qmgyr82ddca_tn")</f>
        <v/>
      </c>
    </row>
    <row r="839">
      <c r="A839" t="inlineStr">
        <is>
          <t>18379321477</t>
        </is>
      </c>
      <c r="B839" t="inlineStr">
        <is>
          <t>隔日到貨🔥 iPhone 手機殼 17 16 15 14 13 12 11 XS XR SE pro 保護殼 蘋果 素色</t>
        </is>
      </c>
      <c r="C839">
        <f>IMAGE("https://cf.shopee.tw/file/tw-11134207-7qul3-lg6b9d9blfl619_tn")</f>
        <v/>
      </c>
      <c r="D839" t="inlineStr">
        <is>
          <t>電鍍米白,15</t>
        </is>
      </c>
      <c r="E839" t="inlineStr">
        <is>
          <t>194612440376</t>
        </is>
      </c>
      <c r="F839">
        <f>IMAGE("https://cf.shopee.tw/file/tw-11134207-7qul6-lg6qmgyr82ddca_tn")</f>
        <v/>
      </c>
    </row>
    <row r="840">
      <c r="A840" t="inlineStr">
        <is>
          <t>18379321477</t>
        </is>
      </c>
      <c r="B840" t="inlineStr">
        <is>
          <t>隔日到貨🔥 iPhone 手機殼 17 16 15 14 13 12 11 XS XR SE pro 保護殼 蘋果 素色</t>
        </is>
      </c>
      <c r="C840">
        <f>IMAGE("https://cf.shopee.tw/file/tw-11134207-7qul3-lg6b9d9blfl619_tn")</f>
        <v/>
      </c>
      <c r="D840" t="inlineStr">
        <is>
          <t>電鍍米白,15 pro Max</t>
        </is>
      </c>
      <c r="E840" t="inlineStr">
        <is>
          <t>194612440375</t>
        </is>
      </c>
      <c r="F840">
        <f>IMAGE("https://cf.shopee.tw/file/tw-11134207-7qul6-lg6qmgyr82ddca_tn")</f>
        <v/>
      </c>
    </row>
    <row r="841">
      <c r="A841" t="inlineStr">
        <is>
          <t>18379321477</t>
        </is>
      </c>
      <c r="B841" t="inlineStr">
        <is>
          <t>隔日到貨🔥 iPhone 手機殼 17 16 15 14 13 12 11 XS XR SE pro 保護殼 蘋果 素色</t>
        </is>
      </c>
      <c r="C841">
        <f>IMAGE("https://cf.shopee.tw/file/tw-11134207-7qul3-lg6b9d9blfl619_tn")</f>
        <v/>
      </c>
      <c r="D841" t="inlineStr">
        <is>
          <t>電鍍米白,15 Plus</t>
        </is>
      </c>
      <c r="E841" t="inlineStr">
        <is>
          <t>236147203077</t>
        </is>
      </c>
      <c r="F841">
        <f>IMAGE("https://cf.shopee.tw/file/tw-11134207-7qul6-lg6qmgyr82ddca_tn")</f>
        <v/>
      </c>
    </row>
    <row r="842">
      <c r="A842" t="inlineStr">
        <is>
          <t>18379321477</t>
        </is>
      </c>
      <c r="B842" t="inlineStr">
        <is>
          <t>隔日到貨🔥 iPhone 手機殼 17 16 15 14 13 12 11 XS XR SE pro 保護殼 蘋果 素色</t>
        </is>
      </c>
      <c r="C842">
        <f>IMAGE("https://cf.shopee.tw/file/tw-11134207-7qul3-lg6b9d9blfl619_tn")</f>
        <v/>
      </c>
      <c r="D842" t="inlineStr">
        <is>
          <t>電鍍米白,16</t>
        </is>
      </c>
      <c r="E842" t="inlineStr">
        <is>
          <t>168425280310</t>
        </is>
      </c>
      <c r="F842">
        <f>IMAGE("https://cf.shopee.tw/file/tw-11134207-7qul6-lg6qmgyr82ddca_tn")</f>
        <v/>
      </c>
    </row>
    <row r="843">
      <c r="A843" t="inlineStr">
        <is>
          <t>18379321477</t>
        </is>
      </c>
      <c r="B843" t="inlineStr">
        <is>
          <t>隔日到貨🔥 iPhone 手機殼 17 16 15 14 13 12 11 XS XR SE pro 保護殼 蘋果 素色</t>
        </is>
      </c>
      <c r="C843">
        <f>IMAGE("https://cf.shopee.tw/file/tw-11134207-7qul3-lg6b9d9blfl619_tn")</f>
        <v/>
      </c>
      <c r="D843" t="inlineStr">
        <is>
          <t>電鍍米白,16 pro</t>
        </is>
      </c>
      <c r="E843" t="inlineStr">
        <is>
          <t>168425280311</t>
        </is>
      </c>
      <c r="F843">
        <f>IMAGE("https://cf.shopee.tw/file/tw-11134207-7qul6-lg6qmgyr82ddca_tn")</f>
        <v/>
      </c>
    </row>
    <row r="844">
      <c r="A844" t="inlineStr">
        <is>
          <t>18379321477</t>
        </is>
      </c>
      <c r="B844" t="inlineStr">
        <is>
          <t>隔日到貨🔥 iPhone 手機殼 17 16 15 14 13 12 11 XS XR SE pro 保護殼 蘋果 素色</t>
        </is>
      </c>
      <c r="C844">
        <f>IMAGE("https://cf.shopee.tw/file/tw-11134207-7qul3-lg6b9d9blfl619_tn")</f>
        <v/>
      </c>
      <c r="D844" t="inlineStr">
        <is>
          <t>電鍍米白,16 pro Max</t>
        </is>
      </c>
      <c r="E844" t="inlineStr">
        <is>
          <t>168425280312</t>
        </is>
      </c>
      <c r="F844">
        <f>IMAGE("https://cf.shopee.tw/file/tw-11134207-7qul6-lg6qmgyr82ddca_tn")</f>
        <v/>
      </c>
    </row>
    <row r="845">
      <c r="A845" t="inlineStr">
        <is>
          <t>18379321477</t>
        </is>
      </c>
      <c r="B845" t="inlineStr">
        <is>
          <t>隔日到貨🔥 iPhone 手機殼 17 16 15 14 13 12 11 XS XR SE pro 保護殼 蘋果 素色</t>
        </is>
      </c>
      <c r="C845">
        <f>IMAGE("https://cf.shopee.tw/file/tw-11134207-7qul3-lg6b9d9blfl619_tn")</f>
        <v/>
      </c>
      <c r="D845" t="inlineStr">
        <is>
          <t>電鍍米白,16 Plus</t>
        </is>
      </c>
      <c r="E845" t="inlineStr"/>
      <c r="F845">
        <f>IMAGE("https://cf.shopee.tw/file/tw-11134207-7qul6-lg6qmgyr82ddca_tn")</f>
        <v/>
      </c>
    </row>
    <row r="846">
      <c r="A846" t="inlineStr">
        <is>
          <t>18379321477</t>
        </is>
      </c>
      <c r="B846" t="inlineStr">
        <is>
          <t>隔日到貨🔥 iPhone 手機殼 17 16 15 14 13 12 11 XS XR SE pro 保護殼 蘋果 素色</t>
        </is>
      </c>
      <c r="C846">
        <f>IMAGE("https://cf.shopee.tw/file/tw-11134207-7qul3-lg6b9d9blfl619_tn")</f>
        <v/>
      </c>
      <c r="D846" t="inlineStr">
        <is>
          <t>電鍍米白,17</t>
        </is>
      </c>
      <c r="E846" t="inlineStr">
        <is>
          <t>266657803835</t>
        </is>
      </c>
      <c r="F846">
        <f>IMAGE("https://cf.shopee.tw/file/tw-11134207-7qul6-lg6qmgyr82ddca_tn")</f>
        <v/>
      </c>
    </row>
    <row r="847">
      <c r="A847" t="inlineStr">
        <is>
          <t>18379321477</t>
        </is>
      </c>
      <c r="B847" t="inlineStr">
        <is>
          <t>隔日到貨🔥 iPhone 手機殼 17 16 15 14 13 12 11 XS XR SE pro 保護殼 蘋果 素色</t>
        </is>
      </c>
      <c r="C847">
        <f>IMAGE("https://cf.shopee.tw/file/tw-11134207-7qul3-lg6b9d9blfl619_tn")</f>
        <v/>
      </c>
      <c r="D847" t="inlineStr">
        <is>
          <t>電鍍米白,17 pro</t>
        </is>
      </c>
      <c r="E847" t="inlineStr">
        <is>
          <t>266657803836</t>
        </is>
      </c>
      <c r="F847">
        <f>IMAGE("https://cf.shopee.tw/file/tw-11134207-7qul6-lg6qmgyr82ddca_tn")</f>
        <v/>
      </c>
    </row>
    <row r="848">
      <c r="A848" t="inlineStr">
        <is>
          <t>18379321477</t>
        </is>
      </c>
      <c r="B848" t="inlineStr">
        <is>
          <t>隔日到貨🔥 iPhone 手機殼 17 16 15 14 13 12 11 XS XR SE pro 保護殼 蘋果 素色</t>
        </is>
      </c>
      <c r="C848">
        <f>IMAGE("https://cf.shopee.tw/file/tw-11134207-7qul3-lg6b9d9blfl619_tn")</f>
        <v/>
      </c>
      <c r="D848" t="inlineStr">
        <is>
          <t>電鍍米白,17 pro Max</t>
        </is>
      </c>
      <c r="E848" t="inlineStr">
        <is>
          <t>266657803837</t>
        </is>
      </c>
      <c r="F848">
        <f>IMAGE("https://cf.shopee.tw/file/tw-11134207-7qul6-lg6qmgyr82ddca_tn")</f>
        <v/>
      </c>
    </row>
    <row r="849">
      <c r="A849" t="inlineStr">
        <is>
          <t>18379321477</t>
        </is>
      </c>
      <c r="B849" t="inlineStr">
        <is>
          <t>隔日到貨🔥 iPhone 手機殼 17 16 15 14 13 12 11 XS XR SE pro 保護殼 蘋果 素色</t>
        </is>
      </c>
      <c r="C849">
        <f>IMAGE("https://cf.shopee.tw/file/tw-11134207-7qul3-lg6b9d9blfl619_tn")</f>
        <v/>
      </c>
      <c r="D849" t="inlineStr">
        <is>
          <t>電鍍粉色,7 / 8 / SE2 / SE3</t>
        </is>
      </c>
      <c r="E849" t="inlineStr">
        <is>
          <t>216711420286</t>
        </is>
      </c>
      <c r="F849">
        <f>IMAGE("https://cf.shopee.tw/file/tw-11134207-7qul4-lg6qmkfc5r8qf6_tn")</f>
        <v/>
      </c>
    </row>
    <row r="850">
      <c r="A850" t="inlineStr">
        <is>
          <t>18379321477</t>
        </is>
      </c>
      <c r="B850" t="inlineStr">
        <is>
          <t>隔日到貨🔥 iPhone 手機殼 17 16 15 14 13 12 11 XS XR SE pro 保護殼 蘋果 素色</t>
        </is>
      </c>
      <c r="C850">
        <f>IMAGE("https://cf.shopee.tw/file/tw-11134207-7qul3-lg6b9d9blfl619_tn")</f>
        <v/>
      </c>
      <c r="D850" t="inlineStr">
        <is>
          <t>電鍍粉色,7Plus / 8Plus</t>
        </is>
      </c>
      <c r="E850" t="inlineStr">
        <is>
          <t>206713510620</t>
        </is>
      </c>
      <c r="F850">
        <f>IMAGE("https://cf.shopee.tw/file/tw-11134207-7qul4-lg6qmkfc5r8qf6_tn")</f>
        <v/>
      </c>
    </row>
    <row r="851">
      <c r="A851" t="inlineStr">
        <is>
          <t>18379321477</t>
        </is>
      </c>
      <c r="B851" t="inlineStr">
        <is>
          <t>隔日到貨🔥 iPhone 手機殼 17 16 15 14 13 12 11 XS XR SE pro 保護殼 蘋果 素色</t>
        </is>
      </c>
      <c r="C851">
        <f>IMAGE("https://cf.shopee.tw/file/tw-11134207-7qul3-lg6b9d9blfl619_tn")</f>
        <v/>
      </c>
      <c r="D851" t="inlineStr">
        <is>
          <t>電鍍粉色,X / XS</t>
        </is>
      </c>
      <c r="E851" t="inlineStr">
        <is>
          <t>206713510616</t>
        </is>
      </c>
      <c r="F851">
        <f>IMAGE("https://cf.shopee.tw/file/tw-11134207-7qul4-lg6qmkfc5r8qf6_tn")</f>
        <v/>
      </c>
    </row>
    <row r="852">
      <c r="A852" t="inlineStr">
        <is>
          <t>18379321477</t>
        </is>
      </c>
      <c r="B852" t="inlineStr">
        <is>
          <t>隔日到貨🔥 iPhone 手機殼 17 16 15 14 13 12 11 XS XR SE pro 保護殼 蘋果 素色</t>
        </is>
      </c>
      <c r="C852">
        <f>IMAGE("https://cf.shopee.tw/file/tw-11134207-7qul3-lg6b9d9blfl619_tn")</f>
        <v/>
      </c>
      <c r="D852" t="inlineStr">
        <is>
          <t>電鍍粉色,XR</t>
        </is>
      </c>
      <c r="E852" t="inlineStr">
        <is>
          <t>206713510627</t>
        </is>
      </c>
      <c r="F852">
        <f>IMAGE("https://cf.shopee.tw/file/tw-11134207-7qul4-lg6qmkfc5r8qf6_tn")</f>
        <v/>
      </c>
    </row>
    <row r="853">
      <c r="A853" t="inlineStr">
        <is>
          <t>18379321477</t>
        </is>
      </c>
      <c r="B853" t="inlineStr">
        <is>
          <t>隔日到貨🔥 iPhone 手機殼 17 16 15 14 13 12 11 XS XR SE pro 保護殼 蘋果 素色</t>
        </is>
      </c>
      <c r="C853">
        <f>IMAGE("https://cf.shopee.tw/file/tw-11134207-7qul3-lg6b9d9blfl619_tn")</f>
        <v/>
      </c>
      <c r="D853" t="inlineStr">
        <is>
          <t>電鍍粉色,XS Max</t>
        </is>
      </c>
      <c r="E853" t="inlineStr">
        <is>
          <t>236147203078</t>
        </is>
      </c>
      <c r="F853">
        <f>IMAGE("https://cf.shopee.tw/file/tw-11134207-7qul4-lg6qmkfc5r8qf6_tn")</f>
        <v/>
      </c>
    </row>
    <row r="854">
      <c r="A854" t="inlineStr">
        <is>
          <t>18379321477</t>
        </is>
      </c>
      <c r="B854" t="inlineStr">
        <is>
          <t>隔日到貨🔥 iPhone 手機殼 17 16 15 14 13 12 11 XS XR SE pro 保護殼 蘋果 素色</t>
        </is>
      </c>
      <c r="C854">
        <f>IMAGE("https://cf.shopee.tw/file/tw-11134207-7qul3-lg6b9d9blfl619_tn")</f>
        <v/>
      </c>
      <c r="D854" t="inlineStr">
        <is>
          <t>電鍍粉色,11</t>
        </is>
      </c>
      <c r="E854" t="inlineStr">
        <is>
          <t>206713510621</t>
        </is>
      </c>
      <c r="F854">
        <f>IMAGE("https://cf.shopee.tw/file/tw-11134207-7qul4-lg6qmkfc5r8qf6_tn")</f>
        <v/>
      </c>
    </row>
    <row r="855">
      <c r="A855" t="inlineStr">
        <is>
          <t>18379321477</t>
        </is>
      </c>
      <c r="B855" t="inlineStr">
        <is>
          <t>隔日到貨🔥 iPhone 手機殼 17 16 15 14 13 12 11 XS XR SE pro 保護殼 蘋果 素色</t>
        </is>
      </c>
      <c r="C855">
        <f>IMAGE("https://cf.shopee.tw/file/tw-11134207-7qul3-lg6b9d9blfl619_tn")</f>
        <v/>
      </c>
      <c r="D855" t="inlineStr">
        <is>
          <t>電鍍粉色,11 pro Max</t>
        </is>
      </c>
      <c r="E855" t="inlineStr">
        <is>
          <t>236147203079</t>
        </is>
      </c>
      <c r="F855">
        <f>IMAGE("https://cf.shopee.tw/file/tw-11134207-7qul4-lg6qmkfc5r8qf6_tn")</f>
        <v/>
      </c>
    </row>
    <row r="856">
      <c r="A856" t="inlineStr">
        <is>
          <t>18379321477</t>
        </is>
      </c>
      <c r="B856" t="inlineStr">
        <is>
          <t>隔日到貨🔥 iPhone 手機殼 17 16 15 14 13 12 11 XS XR SE pro 保護殼 蘋果 素色</t>
        </is>
      </c>
      <c r="C856">
        <f>IMAGE("https://cf.shopee.tw/file/tw-11134207-7qul3-lg6b9d9blfl619_tn")</f>
        <v/>
      </c>
      <c r="D856" t="inlineStr">
        <is>
          <t>電鍍粉色,12/12 pro</t>
        </is>
      </c>
      <c r="E856" t="inlineStr">
        <is>
          <t>206713510628</t>
        </is>
      </c>
      <c r="F856">
        <f>IMAGE("https://cf.shopee.tw/file/tw-11134207-7qul4-lg6qmkfc5r8qf6_tn")</f>
        <v/>
      </c>
    </row>
    <row r="857">
      <c r="A857" t="inlineStr">
        <is>
          <t>18379321477</t>
        </is>
      </c>
      <c r="B857" t="inlineStr">
        <is>
          <t>隔日到貨🔥 iPhone 手機殼 17 16 15 14 13 12 11 XS XR SE pro 保護殼 蘋果 素色</t>
        </is>
      </c>
      <c r="C857">
        <f>IMAGE("https://cf.shopee.tw/file/tw-11134207-7qul3-lg6b9d9blfl619_tn")</f>
        <v/>
      </c>
      <c r="D857" t="inlineStr">
        <is>
          <t>電鍍粉色,12 pro Max</t>
        </is>
      </c>
      <c r="E857" t="inlineStr">
        <is>
          <t>206713510613</t>
        </is>
      </c>
      <c r="F857">
        <f>IMAGE("https://cf.shopee.tw/file/tw-11134207-7qul4-lg6qmkfc5r8qf6_tn")</f>
        <v/>
      </c>
    </row>
    <row r="858">
      <c r="A858" t="inlineStr">
        <is>
          <t>18379321477</t>
        </is>
      </c>
      <c r="B858" t="inlineStr">
        <is>
          <t>隔日到貨🔥 iPhone 手機殼 17 16 15 14 13 12 11 XS XR SE pro 保護殼 蘋果 素色</t>
        </is>
      </c>
      <c r="C858">
        <f>IMAGE("https://cf.shopee.tw/file/tw-11134207-7qul3-lg6b9d9blfl619_tn")</f>
        <v/>
      </c>
      <c r="D858" t="inlineStr">
        <is>
          <t>電鍍粉色,13/14</t>
        </is>
      </c>
      <c r="E858" t="inlineStr">
        <is>
          <t>206713510641</t>
        </is>
      </c>
      <c r="F858">
        <f>IMAGE("https://cf.shopee.tw/file/tw-11134207-7qul4-lg6qmkfc5r8qf6_tn")</f>
        <v/>
      </c>
    </row>
    <row r="859">
      <c r="A859" t="inlineStr">
        <is>
          <t>18379321477</t>
        </is>
      </c>
      <c r="B859" t="inlineStr">
        <is>
          <t>隔日到貨🔥 iPhone 手機殼 17 16 15 14 13 12 11 XS XR SE pro 保護殼 蘋果 素色</t>
        </is>
      </c>
      <c r="C859">
        <f>IMAGE("https://cf.shopee.tw/file/tw-11134207-7qul3-lg6b9d9blfl619_tn")</f>
        <v/>
      </c>
      <c r="D859" t="inlineStr">
        <is>
          <t>電鍍粉色,13 pro</t>
        </is>
      </c>
      <c r="E859" t="inlineStr">
        <is>
          <t>206713510622</t>
        </is>
      </c>
      <c r="F859">
        <f>IMAGE("https://cf.shopee.tw/file/tw-11134207-7qul4-lg6qmkfc5r8qf6_tn")</f>
        <v/>
      </c>
    </row>
    <row r="860">
      <c r="A860" t="inlineStr">
        <is>
          <t>18379321477</t>
        </is>
      </c>
      <c r="B860" t="inlineStr">
        <is>
          <t>隔日到貨🔥 iPhone 手機殼 17 16 15 14 13 12 11 XS XR SE pro 保護殼 蘋果 素色</t>
        </is>
      </c>
      <c r="C860">
        <f>IMAGE("https://cf.shopee.tw/file/tw-11134207-7qul3-lg6b9d9blfl619_tn")</f>
        <v/>
      </c>
      <c r="D860" t="inlineStr">
        <is>
          <t>電鍍粉色,13 pro Max</t>
        </is>
      </c>
      <c r="E860" t="inlineStr">
        <is>
          <t>206713510623</t>
        </is>
      </c>
      <c r="F860">
        <f>IMAGE("https://cf.shopee.tw/file/tw-11134207-7qul4-lg6qmkfc5r8qf6_tn")</f>
        <v/>
      </c>
    </row>
    <row r="861">
      <c r="A861" t="inlineStr">
        <is>
          <t>18379321477</t>
        </is>
      </c>
      <c r="B861" t="inlineStr">
        <is>
          <t>隔日到貨🔥 iPhone 手機殼 17 16 15 14 13 12 11 XS XR SE pro 保護殼 蘋果 素色</t>
        </is>
      </c>
      <c r="C861">
        <f>IMAGE("https://cf.shopee.tw/file/tw-11134207-7qul3-lg6b9d9blfl619_tn")</f>
        <v/>
      </c>
      <c r="D861" t="inlineStr">
        <is>
          <t>電鍍粉色,14 pro</t>
        </is>
      </c>
      <c r="E861" t="inlineStr">
        <is>
          <t>206713510648</t>
        </is>
      </c>
      <c r="F861">
        <f>IMAGE("https://cf.shopee.tw/file/tw-11134207-7qul4-lg6qmkfc5r8qf6_tn")</f>
        <v/>
      </c>
    </row>
    <row r="862">
      <c r="A862" t="inlineStr">
        <is>
          <t>18379321477</t>
        </is>
      </c>
      <c r="B862" t="inlineStr">
        <is>
          <t>隔日到貨🔥 iPhone 手機殼 17 16 15 14 13 12 11 XS XR SE pro 保護殼 蘋果 素色</t>
        </is>
      </c>
      <c r="C862">
        <f>IMAGE("https://cf.shopee.tw/file/tw-11134207-7qul3-lg6b9d9blfl619_tn")</f>
        <v/>
      </c>
      <c r="D862" t="inlineStr">
        <is>
          <t>電鍍粉色,14 pro Max</t>
        </is>
      </c>
      <c r="E862" t="inlineStr">
        <is>
          <t>206713510642</t>
        </is>
      </c>
      <c r="F862">
        <f>IMAGE("https://cf.shopee.tw/file/tw-11134207-7qul4-lg6qmkfc5r8qf6_tn")</f>
        <v/>
      </c>
    </row>
    <row r="863">
      <c r="A863" t="inlineStr">
        <is>
          <t>18379321477</t>
        </is>
      </c>
      <c r="B863" t="inlineStr">
        <is>
          <t>隔日到貨🔥 iPhone 手機殼 17 16 15 14 13 12 11 XS XR SE pro 保護殼 蘋果 素色</t>
        </is>
      </c>
      <c r="C863">
        <f>IMAGE("https://cf.shopee.tw/file/tw-11134207-7qul3-lg6b9d9blfl619_tn")</f>
        <v/>
      </c>
      <c r="D863" t="inlineStr">
        <is>
          <t>電鍍粉色,14 Plus</t>
        </is>
      </c>
      <c r="E863" t="inlineStr">
        <is>
          <t>236147203080</t>
        </is>
      </c>
      <c r="F863">
        <f>IMAGE("https://cf.shopee.tw/file/tw-11134207-7qul4-lg6qmkfc5r8qf6_tn")</f>
        <v/>
      </c>
    </row>
    <row r="864">
      <c r="A864" t="inlineStr">
        <is>
          <t>18379321477</t>
        </is>
      </c>
      <c r="B864" t="inlineStr">
        <is>
          <t>隔日到貨🔥 iPhone 手機殼 17 16 15 14 13 12 11 XS XR SE pro 保護殼 蘋果 素色</t>
        </is>
      </c>
      <c r="C864">
        <f>IMAGE("https://cf.shopee.tw/file/tw-11134207-7qul3-lg6b9d9blfl619_tn")</f>
        <v/>
      </c>
      <c r="D864" t="inlineStr">
        <is>
          <t>電鍍粉色,15</t>
        </is>
      </c>
      <c r="E864" t="inlineStr">
        <is>
          <t>194612440369</t>
        </is>
      </c>
      <c r="F864">
        <f>IMAGE("https://cf.shopee.tw/file/tw-11134207-7qul4-lg6qmkfc5r8qf6_tn")</f>
        <v/>
      </c>
    </row>
    <row r="865">
      <c r="A865" t="inlineStr">
        <is>
          <t>18379321477</t>
        </is>
      </c>
      <c r="B865" t="inlineStr">
        <is>
          <t>隔日到貨🔥 iPhone 手機殼 17 16 15 14 13 12 11 XS XR SE pro 保護殼 蘋果 素色</t>
        </is>
      </c>
      <c r="C865">
        <f>IMAGE("https://cf.shopee.tw/file/tw-11134207-7qul3-lg6b9d9blfl619_tn")</f>
        <v/>
      </c>
      <c r="D865" t="inlineStr">
        <is>
          <t>電鍍粉色,15 pro</t>
        </is>
      </c>
      <c r="E865" t="inlineStr">
        <is>
          <t>194612440377</t>
        </is>
      </c>
      <c r="F865">
        <f>IMAGE("https://cf.shopee.tw/file/tw-11134207-7qul4-lg6qmkfc5r8qf6_tn")</f>
        <v/>
      </c>
    </row>
    <row r="866">
      <c r="A866" t="inlineStr">
        <is>
          <t>18379321477</t>
        </is>
      </c>
      <c r="B866" t="inlineStr">
        <is>
          <t>隔日到貨🔥 iPhone 手機殼 17 16 15 14 13 12 11 XS XR SE pro 保護殼 蘋果 素色</t>
        </is>
      </c>
      <c r="C866">
        <f>IMAGE("https://cf.shopee.tw/file/tw-11134207-7qul3-lg6b9d9blfl619_tn")</f>
        <v/>
      </c>
      <c r="D866" t="inlineStr">
        <is>
          <t>電鍍粉色,15 pro Max</t>
        </is>
      </c>
      <c r="E866" t="inlineStr">
        <is>
          <t>194612440370</t>
        </is>
      </c>
      <c r="F866">
        <f>IMAGE("https://cf.shopee.tw/file/tw-11134207-7qul4-lg6qmkfc5r8qf6_tn")</f>
        <v/>
      </c>
    </row>
    <row r="867">
      <c r="A867" t="inlineStr">
        <is>
          <t>18379321477</t>
        </is>
      </c>
      <c r="B867" t="inlineStr">
        <is>
          <t>隔日到貨🔥 iPhone 手機殼 17 16 15 14 13 12 11 XS XR SE pro 保護殼 蘋果 素色</t>
        </is>
      </c>
      <c r="C867">
        <f>IMAGE("https://cf.shopee.tw/file/tw-11134207-7qul3-lg6b9d9blfl619_tn")</f>
        <v/>
      </c>
      <c r="D867" t="inlineStr">
        <is>
          <t>電鍍粉色,15 Plus</t>
        </is>
      </c>
      <c r="E867" t="inlineStr">
        <is>
          <t>236147203081</t>
        </is>
      </c>
      <c r="F867">
        <f>IMAGE("https://cf.shopee.tw/file/tw-11134207-7qul4-lg6qmkfc5r8qf6_tn")</f>
        <v/>
      </c>
    </row>
    <row r="868">
      <c r="A868" t="inlineStr">
        <is>
          <t>18379321477</t>
        </is>
      </c>
      <c r="B868" t="inlineStr">
        <is>
          <t>隔日到貨🔥 iPhone 手機殼 17 16 15 14 13 12 11 XS XR SE pro 保護殼 蘋果 素色</t>
        </is>
      </c>
      <c r="C868">
        <f>IMAGE("https://cf.shopee.tw/file/tw-11134207-7qul3-lg6b9d9blfl619_tn")</f>
        <v/>
      </c>
      <c r="D868" t="inlineStr">
        <is>
          <t>電鍍粉色,16</t>
        </is>
      </c>
      <c r="E868" t="inlineStr">
        <is>
          <t>168425280314</t>
        </is>
      </c>
      <c r="F868">
        <f>IMAGE("https://cf.shopee.tw/file/tw-11134207-7qul4-lg6qmkfc5r8qf6_tn")</f>
        <v/>
      </c>
    </row>
    <row r="869">
      <c r="A869" t="inlineStr">
        <is>
          <t>18379321477</t>
        </is>
      </c>
      <c r="B869" t="inlineStr">
        <is>
          <t>隔日到貨🔥 iPhone 手機殼 17 16 15 14 13 12 11 XS XR SE pro 保護殼 蘋果 素色</t>
        </is>
      </c>
      <c r="C869">
        <f>IMAGE("https://cf.shopee.tw/file/tw-11134207-7qul3-lg6b9d9blfl619_tn")</f>
        <v/>
      </c>
      <c r="D869" t="inlineStr">
        <is>
          <t>電鍍粉色,16 pro</t>
        </is>
      </c>
      <c r="E869" t="inlineStr">
        <is>
          <t>168425280315</t>
        </is>
      </c>
      <c r="F869">
        <f>IMAGE("https://cf.shopee.tw/file/tw-11134207-7qul4-lg6qmkfc5r8qf6_tn")</f>
        <v/>
      </c>
    </row>
    <row r="870">
      <c r="A870" t="inlineStr">
        <is>
          <t>18379321477</t>
        </is>
      </c>
      <c r="B870" t="inlineStr">
        <is>
          <t>隔日到貨🔥 iPhone 手機殼 17 16 15 14 13 12 11 XS XR SE pro 保護殼 蘋果 素色</t>
        </is>
      </c>
      <c r="C870">
        <f>IMAGE("https://cf.shopee.tw/file/tw-11134207-7qul3-lg6b9d9blfl619_tn")</f>
        <v/>
      </c>
      <c r="D870" t="inlineStr">
        <is>
          <t>電鍍粉色,16 pro Max</t>
        </is>
      </c>
      <c r="E870" t="inlineStr"/>
      <c r="F870">
        <f>IMAGE("https://cf.shopee.tw/file/tw-11134207-7qul4-lg6qmkfc5r8qf6_tn")</f>
        <v/>
      </c>
    </row>
    <row r="871">
      <c r="A871" t="inlineStr">
        <is>
          <t>18379321477</t>
        </is>
      </c>
      <c r="B871" t="inlineStr">
        <is>
          <t>隔日到貨🔥 iPhone 手機殼 17 16 15 14 13 12 11 XS XR SE pro 保護殼 蘋果 素色</t>
        </is>
      </c>
      <c r="C871">
        <f>IMAGE("https://cf.shopee.tw/file/tw-11134207-7qul3-lg6b9d9blfl619_tn")</f>
        <v/>
      </c>
      <c r="D871" t="inlineStr">
        <is>
          <t>電鍍粉色,16 Plus</t>
        </is>
      </c>
      <c r="E871" t="inlineStr"/>
      <c r="F871">
        <f>IMAGE("https://cf.shopee.tw/file/tw-11134207-7qul4-lg6qmkfc5r8qf6_tn")</f>
        <v/>
      </c>
    </row>
    <row r="872">
      <c r="A872" t="inlineStr">
        <is>
          <t>18379321477</t>
        </is>
      </c>
      <c r="B872" t="inlineStr">
        <is>
          <t>隔日到貨🔥 iPhone 手機殼 17 16 15 14 13 12 11 XS XR SE pro 保護殼 蘋果 素色</t>
        </is>
      </c>
      <c r="C872">
        <f>IMAGE("https://cf.shopee.tw/file/tw-11134207-7qul3-lg6b9d9blfl619_tn")</f>
        <v/>
      </c>
      <c r="D872" t="inlineStr">
        <is>
          <t>電鍍粉色,17</t>
        </is>
      </c>
      <c r="E872" t="inlineStr">
        <is>
          <t>266657803838</t>
        </is>
      </c>
      <c r="F872">
        <f>IMAGE("https://cf.shopee.tw/file/tw-11134207-7qul4-lg6qmkfc5r8qf6_tn")</f>
        <v/>
      </c>
    </row>
    <row r="873">
      <c r="A873" t="inlineStr">
        <is>
          <t>18379321477</t>
        </is>
      </c>
      <c r="B873" t="inlineStr">
        <is>
          <t>隔日到貨🔥 iPhone 手機殼 17 16 15 14 13 12 11 XS XR SE pro 保護殼 蘋果 素色</t>
        </is>
      </c>
      <c r="C873">
        <f>IMAGE("https://cf.shopee.tw/file/tw-11134207-7qul3-lg6b9d9blfl619_tn")</f>
        <v/>
      </c>
      <c r="D873" t="inlineStr">
        <is>
          <t>電鍍粉色,17 pro</t>
        </is>
      </c>
      <c r="E873" t="inlineStr">
        <is>
          <t>266657803839</t>
        </is>
      </c>
      <c r="F873">
        <f>IMAGE("https://cf.shopee.tw/file/tw-11134207-7qul4-lg6qmkfc5r8qf6_tn")</f>
        <v/>
      </c>
    </row>
    <row r="874">
      <c r="A874" t="inlineStr">
        <is>
          <t>18379321477</t>
        </is>
      </c>
      <c r="B874" t="inlineStr">
        <is>
          <t>隔日到貨🔥 iPhone 手機殼 17 16 15 14 13 12 11 XS XR SE pro 保護殼 蘋果 素色</t>
        </is>
      </c>
      <c r="C874">
        <f>IMAGE("https://cf.shopee.tw/file/tw-11134207-7qul3-lg6b9d9blfl619_tn")</f>
        <v/>
      </c>
      <c r="D874" t="inlineStr">
        <is>
          <t>電鍍粉色,17 pro Max</t>
        </is>
      </c>
      <c r="E874" t="inlineStr"/>
      <c r="F874">
        <f>IMAGE("https://cf.shopee.tw/file/tw-11134207-7qul4-lg6qmkfc5r8qf6_tn")</f>
        <v/>
      </c>
    </row>
    <row r="875">
      <c r="A875" t="inlineStr">
        <is>
          <t>24542100808</t>
        </is>
      </c>
      <c r="B875" t="inlineStr">
        <is>
          <t>隔日到貨🔥 iPhone 手機殼 17 16 15 14 pro 13 12 11 保護殼 軟殼 蘋果</t>
        </is>
      </c>
      <c r="C875">
        <f>IMAGE("https://cf.shopee.tw/file/tw-11134207-7rbk2-m6uo3k7uhtr8f6_tn")</f>
        <v/>
      </c>
      <c r="D875" t="inlineStr">
        <is>
          <t>鏡面白花,11</t>
        </is>
      </c>
      <c r="E875" t="inlineStr">
        <is>
          <t>185836108399</t>
        </is>
      </c>
      <c r="F875">
        <f>IMAGE("https://cf.shopee.tw/file/tw-11134207-7rbk2-m6uo3k7uhtr8f6_tn")</f>
        <v/>
      </c>
    </row>
    <row r="876">
      <c r="A876" t="inlineStr">
        <is>
          <t>24542100808</t>
        </is>
      </c>
      <c r="B876" t="inlineStr">
        <is>
          <t>隔日到貨🔥 iPhone 手機殼 17 16 15 14 pro 13 12 11 保護殼 軟殼 蘋果</t>
        </is>
      </c>
      <c r="C876">
        <f>IMAGE("https://cf.shopee.tw/file/tw-11134207-7rbk2-m6uo3k7uhtr8f6_tn")</f>
        <v/>
      </c>
      <c r="D876" t="inlineStr">
        <is>
          <t>鏡面白花,11 Pro</t>
        </is>
      </c>
      <c r="E876" t="inlineStr">
        <is>
          <t>185836108400</t>
        </is>
      </c>
      <c r="F876">
        <f>IMAGE("https://cf.shopee.tw/file/tw-11134207-7rbk2-m6uo3k7uhtr8f6_tn")</f>
        <v/>
      </c>
    </row>
    <row r="877">
      <c r="A877" t="inlineStr">
        <is>
          <t>24542100808</t>
        </is>
      </c>
      <c r="B877" t="inlineStr">
        <is>
          <t>隔日到貨🔥 iPhone 手機殼 17 16 15 14 pro 13 12 11 保護殼 軟殼 蘋果</t>
        </is>
      </c>
      <c r="C877">
        <f>IMAGE("https://cf.shopee.tw/file/tw-11134207-7rbk2-m6uo3k7uhtr8f6_tn")</f>
        <v/>
      </c>
      <c r="D877" t="inlineStr">
        <is>
          <t>鏡面白花,11 Pro Max</t>
        </is>
      </c>
      <c r="E877" t="inlineStr">
        <is>
          <t>185836108401</t>
        </is>
      </c>
      <c r="F877">
        <f>IMAGE("https://cf.shopee.tw/file/tw-11134207-7rbk2-m6uo3k7uhtr8f6_tn")</f>
        <v/>
      </c>
    </row>
    <row r="878">
      <c r="A878" t="inlineStr">
        <is>
          <t>24542100808</t>
        </is>
      </c>
      <c r="B878" t="inlineStr">
        <is>
          <t>隔日到貨🔥 iPhone 手機殼 17 16 15 14 pro 13 12 11 保護殼 軟殼 蘋果</t>
        </is>
      </c>
      <c r="C878">
        <f>IMAGE("https://cf.shopee.tw/file/tw-11134207-7rbk2-m6uo3k7uhtr8f6_tn")</f>
        <v/>
      </c>
      <c r="D878" t="inlineStr">
        <is>
          <t>鏡面白花,12</t>
        </is>
      </c>
      <c r="E878" t="inlineStr">
        <is>
          <t>185836108402</t>
        </is>
      </c>
      <c r="F878">
        <f>IMAGE("https://cf.shopee.tw/file/tw-11134207-7rbk2-m6uo3k7uhtr8f6_tn")</f>
        <v/>
      </c>
    </row>
    <row r="879">
      <c r="A879" t="inlineStr">
        <is>
          <t>24542100808</t>
        </is>
      </c>
      <c r="B879" t="inlineStr">
        <is>
          <t>隔日到貨🔥 iPhone 手機殼 17 16 15 14 pro 13 12 11 保護殼 軟殼 蘋果</t>
        </is>
      </c>
      <c r="C879">
        <f>IMAGE("https://cf.shopee.tw/file/tw-11134207-7rbk2-m6uo3k7uhtr8f6_tn")</f>
        <v/>
      </c>
      <c r="D879" t="inlineStr">
        <is>
          <t>鏡面白花,12 Pro</t>
        </is>
      </c>
      <c r="E879" t="inlineStr">
        <is>
          <t>185836108403</t>
        </is>
      </c>
      <c r="F879">
        <f>IMAGE("https://cf.shopee.tw/file/tw-11134207-7rbk2-m6uo3k7uhtr8f6_tn")</f>
        <v/>
      </c>
    </row>
    <row r="880">
      <c r="A880" t="inlineStr">
        <is>
          <t>24542100808</t>
        </is>
      </c>
      <c r="B880" t="inlineStr">
        <is>
          <t>隔日到貨🔥 iPhone 手機殼 17 16 15 14 pro 13 12 11 保護殼 軟殼 蘋果</t>
        </is>
      </c>
      <c r="C880">
        <f>IMAGE("https://cf.shopee.tw/file/tw-11134207-7rbk2-m6uo3k7uhtr8f6_tn")</f>
        <v/>
      </c>
      <c r="D880" t="inlineStr">
        <is>
          <t>鏡面白花,12 Pro Max</t>
        </is>
      </c>
      <c r="E880" t="inlineStr">
        <is>
          <t>185836108404</t>
        </is>
      </c>
      <c r="F880">
        <f>IMAGE("https://cf.shopee.tw/file/tw-11134207-7rbk2-m6uo3k7uhtr8f6_tn")</f>
        <v/>
      </c>
    </row>
    <row r="881">
      <c r="A881" t="inlineStr">
        <is>
          <t>24542100808</t>
        </is>
      </c>
      <c r="B881" t="inlineStr">
        <is>
          <t>隔日到貨🔥 iPhone 手機殼 17 16 15 14 pro 13 12 11 保護殼 軟殼 蘋果</t>
        </is>
      </c>
      <c r="C881">
        <f>IMAGE("https://cf.shopee.tw/file/tw-11134207-7rbk2-m6uo3k7uhtr8f6_tn")</f>
        <v/>
      </c>
      <c r="D881" t="inlineStr">
        <is>
          <t>鏡面白花,13</t>
        </is>
      </c>
      <c r="E881" t="inlineStr">
        <is>
          <t>185836108405</t>
        </is>
      </c>
      <c r="F881">
        <f>IMAGE("https://cf.shopee.tw/file/tw-11134207-7rbk2-m6uo3k7uhtr8f6_tn")</f>
        <v/>
      </c>
    </row>
    <row r="882">
      <c r="A882" t="inlineStr">
        <is>
          <t>24542100808</t>
        </is>
      </c>
      <c r="B882" t="inlineStr">
        <is>
          <t>隔日到貨🔥 iPhone 手機殼 17 16 15 14 pro 13 12 11 保護殼 軟殼 蘋果</t>
        </is>
      </c>
      <c r="C882">
        <f>IMAGE("https://cf.shopee.tw/file/tw-11134207-7rbk2-m6uo3k7uhtr8f6_tn")</f>
        <v/>
      </c>
      <c r="D882" t="inlineStr">
        <is>
          <t>鏡面白花,13 Pro</t>
        </is>
      </c>
      <c r="E882" t="inlineStr">
        <is>
          <t>185836108406</t>
        </is>
      </c>
      <c r="F882">
        <f>IMAGE("https://cf.shopee.tw/file/tw-11134207-7rbk2-m6uo3k7uhtr8f6_tn")</f>
        <v/>
      </c>
    </row>
    <row r="883">
      <c r="A883" t="inlineStr">
        <is>
          <t>24542100808</t>
        </is>
      </c>
      <c r="B883" t="inlineStr">
        <is>
          <t>隔日到貨🔥 iPhone 手機殼 17 16 15 14 pro 13 12 11 保護殼 軟殼 蘋果</t>
        </is>
      </c>
      <c r="C883">
        <f>IMAGE("https://cf.shopee.tw/file/tw-11134207-7rbk2-m6uo3k7uhtr8f6_tn")</f>
        <v/>
      </c>
      <c r="D883" t="inlineStr">
        <is>
          <t>鏡面白花,13 Pro Max</t>
        </is>
      </c>
      <c r="E883" t="inlineStr">
        <is>
          <t>185836108407</t>
        </is>
      </c>
      <c r="F883">
        <f>IMAGE("https://cf.shopee.tw/file/tw-11134207-7rbk2-m6uo3k7uhtr8f6_tn")</f>
        <v/>
      </c>
    </row>
    <row r="884">
      <c r="A884" t="inlineStr">
        <is>
          <t>24542100808</t>
        </is>
      </c>
      <c r="B884" t="inlineStr">
        <is>
          <t>隔日到貨🔥 iPhone 手機殼 17 16 15 14 pro 13 12 11 保護殼 軟殼 蘋果</t>
        </is>
      </c>
      <c r="C884">
        <f>IMAGE("https://cf.shopee.tw/file/tw-11134207-7rbk2-m6uo3k7uhtr8f6_tn")</f>
        <v/>
      </c>
      <c r="D884" t="inlineStr">
        <is>
          <t>鏡面白花,14</t>
        </is>
      </c>
      <c r="E884" t="inlineStr">
        <is>
          <t>185836108408</t>
        </is>
      </c>
      <c r="F884">
        <f>IMAGE("https://cf.shopee.tw/file/tw-11134207-7rbk2-m6uo3k7uhtr8f6_tn")</f>
        <v/>
      </c>
    </row>
    <row r="885">
      <c r="A885" t="inlineStr">
        <is>
          <t>24542100808</t>
        </is>
      </c>
      <c r="B885" t="inlineStr">
        <is>
          <t>隔日到貨🔥 iPhone 手機殼 17 16 15 14 pro 13 12 11 保護殼 軟殼 蘋果</t>
        </is>
      </c>
      <c r="C885">
        <f>IMAGE("https://cf.shopee.tw/file/tw-11134207-7rbk2-m6uo3k7uhtr8f6_tn")</f>
        <v/>
      </c>
      <c r="D885" t="inlineStr">
        <is>
          <t>鏡面白花,14 Plus</t>
        </is>
      </c>
      <c r="E885" t="inlineStr">
        <is>
          <t>185836108409</t>
        </is>
      </c>
      <c r="F885">
        <f>IMAGE("https://cf.shopee.tw/file/tw-11134207-7rbk2-m6uo3k7uhtr8f6_tn")</f>
        <v/>
      </c>
    </row>
    <row r="886">
      <c r="A886" t="inlineStr">
        <is>
          <t>24542100808</t>
        </is>
      </c>
      <c r="B886" t="inlineStr">
        <is>
          <t>隔日到貨🔥 iPhone 手機殼 17 16 15 14 pro 13 12 11 保護殼 軟殼 蘋果</t>
        </is>
      </c>
      <c r="C886">
        <f>IMAGE("https://cf.shopee.tw/file/tw-11134207-7rbk2-m6uo3k7uhtr8f6_tn")</f>
        <v/>
      </c>
      <c r="D886" t="inlineStr">
        <is>
          <t>鏡面白花,14 Pro</t>
        </is>
      </c>
      <c r="E886" t="inlineStr">
        <is>
          <t>185836108410</t>
        </is>
      </c>
      <c r="F886">
        <f>IMAGE("https://cf.shopee.tw/file/tw-11134207-7rbk2-m6uo3k7uhtr8f6_tn")</f>
        <v/>
      </c>
    </row>
    <row r="887">
      <c r="A887" t="inlineStr">
        <is>
          <t>24542100808</t>
        </is>
      </c>
      <c r="B887" t="inlineStr">
        <is>
          <t>隔日到貨🔥 iPhone 手機殼 17 16 15 14 pro 13 12 11 保護殼 軟殼 蘋果</t>
        </is>
      </c>
      <c r="C887">
        <f>IMAGE("https://cf.shopee.tw/file/tw-11134207-7rbk2-m6uo3k7uhtr8f6_tn")</f>
        <v/>
      </c>
      <c r="D887" t="inlineStr">
        <is>
          <t>鏡面白花,14 Pro Max</t>
        </is>
      </c>
      <c r="E887" t="inlineStr">
        <is>
          <t>185836108411</t>
        </is>
      </c>
      <c r="F887">
        <f>IMAGE("https://cf.shopee.tw/file/tw-11134207-7rbk2-m6uo3k7uhtr8f6_tn")</f>
        <v/>
      </c>
    </row>
    <row r="888">
      <c r="A888" t="inlineStr">
        <is>
          <t>24542100808</t>
        </is>
      </c>
      <c r="B888" t="inlineStr">
        <is>
          <t>隔日到貨🔥 iPhone 手機殼 17 16 15 14 pro 13 12 11 保護殼 軟殼 蘋果</t>
        </is>
      </c>
      <c r="C888">
        <f>IMAGE("https://cf.shopee.tw/file/tw-11134207-7rbk2-m6uo3k7uhtr8f6_tn")</f>
        <v/>
      </c>
      <c r="D888" t="inlineStr">
        <is>
          <t>鏡面白花,15</t>
        </is>
      </c>
      <c r="E888" t="inlineStr">
        <is>
          <t>185836108412</t>
        </is>
      </c>
      <c r="F888">
        <f>IMAGE("https://cf.shopee.tw/file/tw-11134207-7rbk2-m6uo3k7uhtr8f6_tn")</f>
        <v/>
      </c>
    </row>
    <row r="889">
      <c r="A889" t="inlineStr">
        <is>
          <t>24542100808</t>
        </is>
      </c>
      <c r="B889" t="inlineStr">
        <is>
          <t>隔日到貨🔥 iPhone 手機殼 17 16 15 14 pro 13 12 11 保護殼 軟殼 蘋果</t>
        </is>
      </c>
      <c r="C889">
        <f>IMAGE("https://cf.shopee.tw/file/tw-11134207-7rbk2-m6uo3k7uhtr8f6_tn")</f>
        <v/>
      </c>
      <c r="D889" t="inlineStr">
        <is>
          <t>鏡面白花,15 Plus</t>
        </is>
      </c>
      <c r="E889" t="inlineStr">
        <is>
          <t>185836108413</t>
        </is>
      </c>
      <c r="F889">
        <f>IMAGE("https://cf.shopee.tw/file/tw-11134207-7rbk2-m6uo3k7uhtr8f6_tn")</f>
        <v/>
      </c>
    </row>
    <row r="890">
      <c r="A890" t="inlineStr">
        <is>
          <t>24542100808</t>
        </is>
      </c>
      <c r="B890" t="inlineStr">
        <is>
          <t>隔日到貨🔥 iPhone 手機殼 17 16 15 14 pro 13 12 11 保護殼 軟殼 蘋果</t>
        </is>
      </c>
      <c r="C890">
        <f>IMAGE("https://cf.shopee.tw/file/tw-11134207-7rbk2-m6uo3k7uhtr8f6_tn")</f>
        <v/>
      </c>
      <c r="D890" t="inlineStr">
        <is>
          <t>鏡面白花,15 Pro</t>
        </is>
      </c>
      <c r="E890" t="inlineStr">
        <is>
          <t>185836108414</t>
        </is>
      </c>
      <c r="F890">
        <f>IMAGE("https://cf.shopee.tw/file/tw-11134207-7rbk2-m6uo3k7uhtr8f6_tn")</f>
        <v/>
      </c>
    </row>
    <row r="891">
      <c r="A891" t="inlineStr">
        <is>
          <t>24542100808</t>
        </is>
      </c>
      <c r="B891" t="inlineStr">
        <is>
          <t>隔日到貨🔥 iPhone 手機殼 17 16 15 14 pro 13 12 11 保護殼 軟殼 蘋果</t>
        </is>
      </c>
      <c r="C891">
        <f>IMAGE("https://cf.shopee.tw/file/tw-11134207-7rbk2-m6uo3k7uhtr8f6_tn")</f>
        <v/>
      </c>
      <c r="D891" t="inlineStr">
        <is>
          <t>鏡面白花,15 Pro Max</t>
        </is>
      </c>
      <c r="E891" t="inlineStr">
        <is>
          <t>218264709001</t>
        </is>
      </c>
      <c r="F891">
        <f>IMAGE("https://cf.shopee.tw/file/tw-11134207-7rbk2-m6uo3k7uhtr8f6_tn")</f>
        <v/>
      </c>
    </row>
    <row r="892">
      <c r="A892" t="inlineStr">
        <is>
          <t>24542100808</t>
        </is>
      </c>
      <c r="B892" t="inlineStr">
        <is>
          <t>隔日到貨🔥 iPhone 手機殼 17 16 15 14 pro 13 12 11 保護殼 軟殼 蘋果</t>
        </is>
      </c>
      <c r="C892">
        <f>IMAGE("https://cf.shopee.tw/file/tw-11134207-7rbk2-m6uo3k7uhtr8f6_tn")</f>
        <v/>
      </c>
      <c r="D892" t="inlineStr">
        <is>
          <t>鏡面白花,16</t>
        </is>
      </c>
      <c r="E892" t="inlineStr">
        <is>
          <t>218264709002</t>
        </is>
      </c>
      <c r="F892">
        <f>IMAGE("https://cf.shopee.tw/file/tw-11134207-7rbk2-m6uo3k7uhtr8f6_tn")</f>
        <v/>
      </c>
    </row>
    <row r="893">
      <c r="A893" t="inlineStr">
        <is>
          <t>24542100808</t>
        </is>
      </c>
      <c r="B893" t="inlineStr">
        <is>
          <t>隔日到貨🔥 iPhone 手機殼 17 16 15 14 pro 13 12 11 保護殼 軟殼 蘋果</t>
        </is>
      </c>
      <c r="C893">
        <f>IMAGE("https://cf.shopee.tw/file/tw-11134207-7rbk2-m6uo3k7uhtr8f6_tn")</f>
        <v/>
      </c>
      <c r="D893" t="inlineStr">
        <is>
          <t>鏡面白花,16 Plus</t>
        </is>
      </c>
      <c r="E893" t="inlineStr">
        <is>
          <t>218264709003</t>
        </is>
      </c>
      <c r="F893">
        <f>IMAGE("https://cf.shopee.tw/file/tw-11134207-7rbk2-m6uo3k7uhtr8f6_tn")</f>
        <v/>
      </c>
    </row>
    <row r="894">
      <c r="A894" t="inlineStr">
        <is>
          <t>24542100808</t>
        </is>
      </c>
      <c r="B894" t="inlineStr">
        <is>
          <t>隔日到貨🔥 iPhone 手機殼 17 16 15 14 pro 13 12 11 保護殼 軟殼 蘋果</t>
        </is>
      </c>
      <c r="C894">
        <f>IMAGE("https://cf.shopee.tw/file/tw-11134207-7rbk2-m6uo3k7uhtr8f6_tn")</f>
        <v/>
      </c>
      <c r="D894" t="inlineStr">
        <is>
          <t>鏡面白花,16 Pro</t>
        </is>
      </c>
      <c r="E894" t="inlineStr">
        <is>
          <t>218264709004</t>
        </is>
      </c>
      <c r="F894">
        <f>IMAGE("https://cf.shopee.tw/file/tw-11134207-7rbk2-m6uo3k7uhtr8f6_tn")</f>
        <v/>
      </c>
    </row>
    <row r="895">
      <c r="A895" t="inlineStr">
        <is>
          <t>24542100808</t>
        </is>
      </c>
      <c r="B895" t="inlineStr">
        <is>
          <t>隔日到貨🔥 iPhone 手機殼 17 16 15 14 pro 13 12 11 保護殼 軟殼 蘋果</t>
        </is>
      </c>
      <c r="C895">
        <f>IMAGE("https://cf.shopee.tw/file/tw-11134207-7rbk2-m6uo3k7uhtr8f6_tn")</f>
        <v/>
      </c>
      <c r="D895" t="inlineStr">
        <is>
          <t>鏡面白花,16 Pro Max</t>
        </is>
      </c>
      <c r="E895" t="inlineStr">
        <is>
          <t>218264709005</t>
        </is>
      </c>
      <c r="F895">
        <f>IMAGE("https://cf.shopee.tw/file/tw-11134207-7rbk2-m6uo3k7uhtr8f6_tn")</f>
        <v/>
      </c>
    </row>
    <row r="896">
      <c r="A896" t="inlineStr">
        <is>
          <t>24542100808</t>
        </is>
      </c>
      <c r="B896" t="inlineStr">
        <is>
          <t>隔日到貨🔥 iPhone 手機殼 17 16 15 14 pro 13 12 11 保護殼 軟殼 蘋果</t>
        </is>
      </c>
      <c r="C896">
        <f>IMAGE("https://cf.shopee.tw/file/tw-11134207-7rbk2-m6uo3k7uhtr8f6_tn")</f>
        <v/>
      </c>
      <c r="D896" t="inlineStr">
        <is>
          <t>鏡面白花,17</t>
        </is>
      </c>
      <c r="E896" t="inlineStr">
        <is>
          <t>410267116176</t>
        </is>
      </c>
      <c r="F896">
        <f>IMAGE("https://cf.shopee.tw/file/tw-11134207-7rbk2-m6uo3k7uhtr8f6_tn")</f>
        <v/>
      </c>
    </row>
    <row r="897">
      <c r="A897" t="inlineStr">
        <is>
          <t>24542100808</t>
        </is>
      </c>
      <c r="B897" t="inlineStr">
        <is>
          <t>隔日到貨🔥 iPhone 手機殼 17 16 15 14 pro 13 12 11 保護殼 軟殼 蘋果</t>
        </is>
      </c>
      <c r="C897">
        <f>IMAGE("https://cf.shopee.tw/file/tw-11134207-7rbk2-m6uo3k7uhtr8f6_tn")</f>
        <v/>
      </c>
      <c r="D897" t="inlineStr">
        <is>
          <t>鏡面白花,17 Pro</t>
        </is>
      </c>
      <c r="E897" t="inlineStr">
        <is>
          <t>410267116177</t>
        </is>
      </c>
      <c r="F897">
        <f>IMAGE("https://cf.shopee.tw/file/tw-11134207-7rbk2-m6uo3k7uhtr8f6_tn")</f>
        <v/>
      </c>
    </row>
    <row r="898">
      <c r="A898" t="inlineStr">
        <is>
          <t>24542100808</t>
        </is>
      </c>
      <c r="B898" t="inlineStr">
        <is>
          <t>隔日到貨🔥 iPhone 手機殼 17 16 15 14 pro 13 12 11 保護殼 軟殼 蘋果</t>
        </is>
      </c>
      <c r="C898">
        <f>IMAGE("https://cf.shopee.tw/file/tw-11134207-7rbk2-m6uo3k7uhtr8f6_tn")</f>
        <v/>
      </c>
      <c r="D898" t="inlineStr">
        <is>
          <t>鏡面白花,17 pro Max</t>
        </is>
      </c>
      <c r="E898" t="inlineStr">
        <is>
          <t>410267116178</t>
        </is>
      </c>
      <c r="F898">
        <f>IMAGE("https://cf.shopee.tw/file/tw-11134207-7rbk2-m6uo3k7uhtr8f6_tn")</f>
        <v/>
      </c>
    </row>
    <row r="899">
      <c r="A899" t="inlineStr">
        <is>
          <t>26950858066</t>
        </is>
      </c>
      <c r="B899" t="inlineStr">
        <is>
          <t>隔日到貨🔥 iPhone 手機殼 素色 亮面 矽膠手機殼 17 16 15 14 13 12 11 保護殼 軟殼 蘋果</t>
        </is>
      </c>
      <c r="C899">
        <f>IMAGE("https://cf.shopee.tw/file/tw-11134207-7r98x-lvojne0lxyoncb_tn")</f>
        <v/>
      </c>
      <c r="D899" t="inlineStr">
        <is>
          <t>水藍,11 pro Max</t>
        </is>
      </c>
      <c r="E899" t="inlineStr">
        <is>
          <t>226368447090</t>
        </is>
      </c>
      <c r="F899">
        <f>IMAGE("https://cf.shopee.tw/file/tw-11134207-7r98p-lvojne2jxx3m7c_tn")</f>
        <v/>
      </c>
    </row>
    <row r="900">
      <c r="A900" t="inlineStr">
        <is>
          <t>26950858066</t>
        </is>
      </c>
      <c r="B900" t="inlineStr">
        <is>
          <t>隔日到貨🔥 iPhone 手機殼 素色 亮面 矽膠手機殼 17 16 15 14 13 12 11 保護殼 軟殼 蘋果</t>
        </is>
      </c>
      <c r="C900">
        <f>IMAGE("https://cf.shopee.tw/file/tw-11134207-7r98x-lvojne0lxyoncb_tn")</f>
        <v/>
      </c>
      <c r="D900" t="inlineStr">
        <is>
          <t>水藍,13 pro Max</t>
        </is>
      </c>
      <c r="E900" t="inlineStr">
        <is>
          <t>226368447096</t>
        </is>
      </c>
      <c r="F900">
        <f>IMAGE("https://cf.shopee.tw/file/tw-11134207-7r98p-lvojne2jxx3m7c_tn")</f>
        <v/>
      </c>
    </row>
    <row r="901">
      <c r="A901" t="inlineStr">
        <is>
          <t>26950858066</t>
        </is>
      </c>
      <c r="B901" t="inlineStr">
        <is>
          <t>隔日到貨🔥 iPhone 手機殼 素色 亮面 矽膠手機殼 17 16 15 14 13 12 11 保護殼 軟殼 蘋果</t>
        </is>
      </c>
      <c r="C901">
        <f>IMAGE("https://cf.shopee.tw/file/tw-11134207-7r98x-lvojne0lxyoncb_tn")</f>
        <v/>
      </c>
      <c r="D901" t="inlineStr">
        <is>
          <t>椰白,11</t>
        </is>
      </c>
      <c r="E901" t="inlineStr">
        <is>
          <t>98929063697</t>
        </is>
      </c>
      <c r="F901">
        <f>IMAGE("https://cf.shopee.tw/file/tw-11134207-7r991-lvojne15yk0n20_tn")</f>
        <v/>
      </c>
    </row>
    <row r="902">
      <c r="A902" t="inlineStr">
        <is>
          <t>26950858066</t>
        </is>
      </c>
      <c r="B902" t="inlineStr">
        <is>
          <t>隔日到貨🔥 iPhone 手機殼 素色 亮面 矽膠手機殼 17 16 15 14 13 12 11 保護殼 軟殼 蘋果</t>
        </is>
      </c>
      <c r="C902">
        <f>IMAGE("https://cf.shopee.tw/file/tw-11134207-7r98x-lvojne0lxyoncb_tn")</f>
        <v/>
      </c>
      <c r="D902" t="inlineStr">
        <is>
          <t>椰白,11 pro Max</t>
        </is>
      </c>
      <c r="E902" t="inlineStr">
        <is>
          <t>226368447041</t>
        </is>
      </c>
      <c r="F902">
        <f>IMAGE("https://cf.shopee.tw/file/tw-11134207-7r991-lvojne15yk0n20_tn")</f>
        <v/>
      </c>
    </row>
    <row r="903">
      <c r="A903" t="inlineStr">
        <is>
          <t>26950858066</t>
        </is>
      </c>
      <c r="B903" t="inlineStr">
        <is>
          <t>隔日到貨🔥 iPhone 手機殼 素色 亮面 矽膠手機殼 17 16 15 14 13 12 11 保護殼 軟殼 蘋果</t>
        </is>
      </c>
      <c r="C903">
        <f>IMAGE("https://cf.shopee.tw/file/tw-11134207-7r98x-lvojne0lxyoncb_tn")</f>
        <v/>
      </c>
      <c r="D903" t="inlineStr">
        <is>
          <t>椰白,12</t>
        </is>
      </c>
      <c r="E903" t="inlineStr">
        <is>
          <t>226368447042</t>
        </is>
      </c>
      <c r="F903">
        <f>IMAGE("https://cf.shopee.tw/file/tw-11134207-7r991-lvojne15yk0n20_tn")</f>
        <v/>
      </c>
    </row>
    <row r="904">
      <c r="A904" t="inlineStr">
        <is>
          <t>26950858066</t>
        </is>
      </c>
      <c r="B904" t="inlineStr">
        <is>
          <t>隔日到貨🔥 iPhone 手機殼 素色 亮面 矽膠手機殼 17 16 15 14 13 12 11 保護殼 軟殼 蘋果</t>
        </is>
      </c>
      <c r="C904">
        <f>IMAGE("https://cf.shopee.tw/file/tw-11134207-7r98x-lvojne0lxyoncb_tn")</f>
        <v/>
      </c>
      <c r="D904" t="inlineStr">
        <is>
          <t>椰白,12 pro</t>
        </is>
      </c>
      <c r="E904" t="inlineStr">
        <is>
          <t>226368447043</t>
        </is>
      </c>
      <c r="F904">
        <f>IMAGE("https://cf.shopee.tw/file/tw-11134207-7r991-lvojne15yk0n20_tn")</f>
        <v/>
      </c>
    </row>
    <row r="905">
      <c r="A905" t="inlineStr">
        <is>
          <t>26950858066</t>
        </is>
      </c>
      <c r="B905" t="inlineStr">
        <is>
          <t>隔日到貨🔥 iPhone 手機殼 素色 亮面 矽膠手機殼 17 16 15 14 13 12 11 保護殼 軟殼 蘋果</t>
        </is>
      </c>
      <c r="C905">
        <f>IMAGE("https://cf.shopee.tw/file/tw-11134207-7r98x-lvojne0lxyoncb_tn")</f>
        <v/>
      </c>
      <c r="D905" t="inlineStr">
        <is>
          <t>椰白,13</t>
        </is>
      </c>
      <c r="E905" t="inlineStr">
        <is>
          <t>226368447045</t>
        </is>
      </c>
      <c r="F905">
        <f>IMAGE("https://cf.shopee.tw/file/tw-11134207-7r991-lvojne15yk0n20_tn")</f>
        <v/>
      </c>
    </row>
    <row r="906">
      <c r="A906" t="inlineStr">
        <is>
          <t>26950858066</t>
        </is>
      </c>
      <c r="B906" t="inlineStr">
        <is>
          <t>隔日到貨🔥 iPhone 手機殼 素色 亮面 矽膠手機殼 17 16 15 14 13 12 11 保護殼 軟殼 蘋果</t>
        </is>
      </c>
      <c r="C906">
        <f>IMAGE("https://cf.shopee.tw/file/tw-11134207-7r98x-lvojne0lxyoncb_tn")</f>
        <v/>
      </c>
      <c r="D906" t="inlineStr">
        <is>
          <t>椰白,13 pro</t>
        </is>
      </c>
      <c r="E906" t="inlineStr">
        <is>
          <t>226368447046</t>
        </is>
      </c>
      <c r="F906">
        <f>IMAGE("https://cf.shopee.tw/file/tw-11134207-7r991-lvojne15yk0n20_tn")</f>
        <v/>
      </c>
    </row>
    <row r="907">
      <c r="A907" t="inlineStr">
        <is>
          <t>26950858066</t>
        </is>
      </c>
      <c r="B907" t="inlineStr">
        <is>
          <t>隔日到貨🔥 iPhone 手機殼 素色 亮面 矽膠手機殼 17 16 15 14 13 12 11 保護殼 軟殼 蘋果</t>
        </is>
      </c>
      <c r="C907">
        <f>IMAGE("https://cf.shopee.tw/file/tw-11134207-7r98x-lvojne0lxyoncb_tn")</f>
        <v/>
      </c>
      <c r="D907" t="inlineStr">
        <is>
          <t>椰白,13 pro Max</t>
        </is>
      </c>
      <c r="E907" t="inlineStr">
        <is>
          <t>226368447047</t>
        </is>
      </c>
      <c r="F907">
        <f>IMAGE("https://cf.shopee.tw/file/tw-11134207-7r991-lvojne15yk0n20_tn")</f>
        <v/>
      </c>
    </row>
    <row r="908">
      <c r="A908" t="inlineStr">
        <is>
          <t>26950858066</t>
        </is>
      </c>
      <c r="B908" t="inlineStr">
        <is>
          <t>隔日到貨🔥 iPhone 手機殼 素色 亮面 矽膠手機殼 17 16 15 14 13 12 11 保護殼 軟殼 蘋果</t>
        </is>
      </c>
      <c r="C908">
        <f>IMAGE("https://cf.shopee.tw/file/tw-11134207-7r98x-lvojne0lxyoncb_tn")</f>
        <v/>
      </c>
      <c r="D908" t="inlineStr">
        <is>
          <t>椰白,14</t>
        </is>
      </c>
      <c r="E908" t="inlineStr">
        <is>
          <t>226368447048</t>
        </is>
      </c>
      <c r="F908">
        <f>IMAGE("https://cf.shopee.tw/file/tw-11134207-7r991-lvojne15yk0n20_tn")</f>
        <v/>
      </c>
    </row>
    <row r="909">
      <c r="A909" t="inlineStr">
        <is>
          <t>26950858066</t>
        </is>
      </c>
      <c r="B909" t="inlineStr">
        <is>
          <t>隔日到貨🔥 iPhone 手機殼 素色 亮面 矽膠手機殼 17 16 15 14 13 12 11 保護殼 軟殼 蘋果</t>
        </is>
      </c>
      <c r="C909">
        <f>IMAGE("https://cf.shopee.tw/file/tw-11134207-7r98x-lvojne0lxyoncb_tn")</f>
        <v/>
      </c>
      <c r="D909" t="inlineStr">
        <is>
          <t>椰白,14 pro</t>
        </is>
      </c>
      <c r="E909" t="inlineStr">
        <is>
          <t>226368447049</t>
        </is>
      </c>
      <c r="F909">
        <f>IMAGE("https://cf.shopee.tw/file/tw-11134207-7r991-lvojne15yk0n20_tn")</f>
        <v/>
      </c>
    </row>
    <row r="910">
      <c r="A910" t="inlineStr">
        <is>
          <t>26950858066</t>
        </is>
      </c>
      <c r="B910" t="inlineStr">
        <is>
          <t>隔日到貨🔥 iPhone 手機殼 素色 亮面 矽膠手機殼 17 16 15 14 13 12 11 保護殼 軟殼 蘋果</t>
        </is>
      </c>
      <c r="C910">
        <f>IMAGE("https://cf.shopee.tw/file/tw-11134207-7r98x-lvojne0lxyoncb_tn")</f>
        <v/>
      </c>
      <c r="D910" t="inlineStr">
        <is>
          <t>椰白,14 pro Max</t>
        </is>
      </c>
      <c r="E910" t="inlineStr">
        <is>
          <t>226368447050</t>
        </is>
      </c>
      <c r="F910">
        <f>IMAGE("https://cf.shopee.tw/file/tw-11134207-7r991-lvojne15yk0n20_tn")</f>
        <v/>
      </c>
    </row>
    <row r="911">
      <c r="A911" t="inlineStr">
        <is>
          <t>26950858066</t>
        </is>
      </c>
      <c r="B911" t="inlineStr">
        <is>
          <t>隔日到貨🔥 iPhone 手機殼 素色 亮面 矽膠手機殼 17 16 15 14 13 12 11 保護殼 軟殼 蘋果</t>
        </is>
      </c>
      <c r="C911">
        <f>IMAGE("https://cf.shopee.tw/file/tw-11134207-7r98x-lvojne0lxyoncb_tn")</f>
        <v/>
      </c>
      <c r="D911" t="inlineStr">
        <is>
          <t>椰白,14 Plus</t>
        </is>
      </c>
      <c r="E911" t="inlineStr">
        <is>
          <t>226368447051</t>
        </is>
      </c>
      <c r="F911">
        <f>IMAGE("https://cf.shopee.tw/file/tw-11134207-7r991-lvojne15yk0n20_tn")</f>
        <v/>
      </c>
    </row>
    <row r="912">
      <c r="A912" t="inlineStr">
        <is>
          <t>26950858066</t>
        </is>
      </c>
      <c r="B912" t="inlineStr">
        <is>
          <t>隔日到貨🔥 iPhone 手機殼 素色 亮面 矽膠手機殼 17 16 15 14 13 12 11 保護殼 軟殼 蘋果</t>
        </is>
      </c>
      <c r="C912">
        <f>IMAGE("https://cf.shopee.tw/file/tw-11134207-7r98x-lvojne0lxyoncb_tn")</f>
        <v/>
      </c>
      <c r="D912" t="inlineStr">
        <is>
          <t>椰白,15</t>
        </is>
      </c>
      <c r="E912" t="inlineStr">
        <is>
          <t>226368447052</t>
        </is>
      </c>
      <c r="F912">
        <f>IMAGE("https://cf.shopee.tw/file/tw-11134207-7r991-lvojne15yk0n20_tn")</f>
        <v/>
      </c>
    </row>
    <row r="913">
      <c r="A913" t="inlineStr">
        <is>
          <t>26950858066</t>
        </is>
      </c>
      <c r="B913" t="inlineStr">
        <is>
          <t>隔日到貨🔥 iPhone 手機殼 素色 亮面 矽膠手機殼 17 16 15 14 13 12 11 保護殼 軟殼 蘋果</t>
        </is>
      </c>
      <c r="C913">
        <f>IMAGE("https://cf.shopee.tw/file/tw-11134207-7r98x-lvojne0lxyoncb_tn")</f>
        <v/>
      </c>
      <c r="D913" t="inlineStr">
        <is>
          <t>椰白,15 pro</t>
        </is>
      </c>
      <c r="E913" t="inlineStr">
        <is>
          <t>226368447053</t>
        </is>
      </c>
      <c r="F913">
        <f>IMAGE("https://cf.shopee.tw/file/tw-11134207-7r991-lvojne15yk0n20_tn")</f>
        <v/>
      </c>
    </row>
    <row r="914">
      <c r="A914" t="inlineStr">
        <is>
          <t>26950858066</t>
        </is>
      </c>
      <c r="B914" t="inlineStr">
        <is>
          <t>隔日到貨🔥 iPhone 手機殼 素色 亮面 矽膠手機殼 17 16 15 14 13 12 11 保護殼 軟殼 蘋果</t>
        </is>
      </c>
      <c r="C914">
        <f>IMAGE("https://cf.shopee.tw/file/tw-11134207-7r98x-lvojne0lxyoncb_tn")</f>
        <v/>
      </c>
      <c r="D914" t="inlineStr">
        <is>
          <t>椰白,15 pro Max</t>
        </is>
      </c>
      <c r="E914" t="inlineStr">
        <is>
          <t>226368447054</t>
        </is>
      </c>
      <c r="F914">
        <f>IMAGE("https://cf.shopee.tw/file/tw-11134207-7r991-lvojne15yk0n20_tn")</f>
        <v/>
      </c>
    </row>
    <row r="915">
      <c r="A915" t="inlineStr">
        <is>
          <t>26950858066</t>
        </is>
      </c>
      <c r="B915" t="inlineStr">
        <is>
          <t>隔日到貨🔥 iPhone 手機殼 素色 亮面 矽膠手機殼 17 16 15 14 13 12 11 保護殼 軟殼 蘋果</t>
        </is>
      </c>
      <c r="C915">
        <f>IMAGE("https://cf.shopee.tw/file/tw-11134207-7r98x-lvojne0lxyoncb_tn")</f>
        <v/>
      </c>
      <c r="D915" t="inlineStr">
        <is>
          <t>椰白,15 Plus</t>
        </is>
      </c>
      <c r="E915" t="inlineStr">
        <is>
          <t>226368447055</t>
        </is>
      </c>
      <c r="F915">
        <f>IMAGE("https://cf.shopee.tw/file/tw-11134207-7r991-lvojne15yk0n20_tn")</f>
        <v/>
      </c>
    </row>
    <row r="916">
      <c r="A916" t="inlineStr">
        <is>
          <t>26950858066</t>
        </is>
      </c>
      <c r="B916" t="inlineStr">
        <is>
          <t>隔日到貨🔥 iPhone 手機殼 素色 亮面 矽膠手機殼 17 16 15 14 13 12 11 保護殼 軟殼 蘋果</t>
        </is>
      </c>
      <c r="C916">
        <f>IMAGE("https://cf.shopee.tw/file/tw-11134207-7r98x-lvojne0lxyoncb_tn")</f>
        <v/>
      </c>
      <c r="D916" t="inlineStr">
        <is>
          <t>椰白,16</t>
        </is>
      </c>
      <c r="E916" t="inlineStr">
        <is>
          <t>256816745740</t>
        </is>
      </c>
      <c r="F916">
        <f>IMAGE("https://cf.shopee.tw/file/tw-11134207-7r991-lvojne15yk0n20_tn")</f>
        <v/>
      </c>
    </row>
    <row r="917">
      <c r="A917" t="inlineStr">
        <is>
          <t>26950858066</t>
        </is>
      </c>
      <c r="B917" t="inlineStr">
        <is>
          <t>隔日到貨🔥 iPhone 手機殼 素色 亮面 矽膠手機殼 17 16 15 14 13 12 11 保護殼 軟殼 蘋果</t>
        </is>
      </c>
      <c r="C917">
        <f>IMAGE("https://cf.shopee.tw/file/tw-11134207-7r98x-lvojne0lxyoncb_tn")</f>
        <v/>
      </c>
      <c r="D917" t="inlineStr">
        <is>
          <t>椰白,16 pro</t>
        </is>
      </c>
      <c r="E917" t="inlineStr">
        <is>
          <t>256816745741</t>
        </is>
      </c>
      <c r="F917">
        <f>IMAGE("https://cf.shopee.tw/file/tw-11134207-7r991-lvojne15yk0n20_tn")</f>
        <v/>
      </c>
    </row>
    <row r="918">
      <c r="A918" t="inlineStr">
        <is>
          <t>26950858066</t>
        </is>
      </c>
      <c r="B918" t="inlineStr">
        <is>
          <t>隔日到貨🔥 iPhone 手機殼 素色 亮面 矽膠手機殼 17 16 15 14 13 12 11 保護殼 軟殼 蘋果</t>
        </is>
      </c>
      <c r="C918">
        <f>IMAGE("https://cf.shopee.tw/file/tw-11134207-7r98x-lvojne0lxyoncb_tn")</f>
        <v/>
      </c>
      <c r="D918" t="inlineStr">
        <is>
          <t>椰白,16 pro Max</t>
        </is>
      </c>
      <c r="E918" t="inlineStr">
        <is>
          <t>256816745742</t>
        </is>
      </c>
      <c r="F918">
        <f>IMAGE("https://cf.shopee.tw/file/tw-11134207-7r991-lvojne15yk0n20_tn")</f>
        <v/>
      </c>
    </row>
    <row r="919">
      <c r="A919" t="inlineStr">
        <is>
          <t>26950858066</t>
        </is>
      </c>
      <c r="B919" t="inlineStr">
        <is>
          <t>隔日到貨🔥 iPhone 手機殼 素色 亮面 矽膠手機殼 17 16 15 14 13 12 11 保護殼 軟殼 蘋果</t>
        </is>
      </c>
      <c r="C919">
        <f>IMAGE("https://cf.shopee.tw/file/tw-11134207-7r98x-lvojne0lxyoncb_tn")</f>
        <v/>
      </c>
      <c r="D919" t="inlineStr">
        <is>
          <t>椰白,16 Plus</t>
        </is>
      </c>
      <c r="E919" t="inlineStr">
        <is>
          <t>256816745743</t>
        </is>
      </c>
      <c r="F919">
        <f>IMAGE("https://cf.shopee.tw/file/tw-11134207-7r991-lvojne15yk0n20_tn")</f>
        <v/>
      </c>
    </row>
    <row r="920">
      <c r="A920" t="inlineStr">
        <is>
          <t>26950858066</t>
        </is>
      </c>
      <c r="B920" t="inlineStr">
        <is>
          <t>隔日到貨🔥 iPhone 手機殼 素色 亮面 矽膠手機殼 17 16 15 14 13 12 11 保護殼 軟殼 蘋果</t>
        </is>
      </c>
      <c r="C920">
        <f>IMAGE("https://cf.shopee.tw/file/tw-11134207-7r98x-lvojne0lxyoncb_tn")</f>
        <v/>
      </c>
      <c r="D920" t="inlineStr">
        <is>
          <t>椰白,17</t>
        </is>
      </c>
      <c r="E920" t="inlineStr">
        <is>
          <t>286980616752</t>
        </is>
      </c>
      <c r="F920">
        <f>IMAGE("https://cf.shopee.tw/file/tw-11134207-7r991-lvojne15yk0n20_tn")</f>
        <v/>
      </c>
    </row>
    <row r="921">
      <c r="A921" t="inlineStr">
        <is>
          <t>26950858066</t>
        </is>
      </c>
      <c r="B921" t="inlineStr">
        <is>
          <t>隔日到貨🔥 iPhone 手機殼 素色 亮面 矽膠手機殼 17 16 15 14 13 12 11 保護殼 軟殼 蘋果</t>
        </is>
      </c>
      <c r="C921">
        <f>IMAGE("https://cf.shopee.tw/file/tw-11134207-7r98x-lvojne0lxyoncb_tn")</f>
        <v/>
      </c>
      <c r="D921" t="inlineStr">
        <is>
          <t>曜黑,11</t>
        </is>
      </c>
      <c r="E921" t="inlineStr">
        <is>
          <t>226368447056</t>
        </is>
      </c>
      <c r="F921">
        <f>IMAGE("https://cf.shopee.tw/file/tw-11134207-7r98o-lvojne1gdl8y66_tn")</f>
        <v/>
      </c>
    </row>
    <row r="922">
      <c r="A922" t="inlineStr">
        <is>
          <t>26950858066</t>
        </is>
      </c>
      <c r="B922" t="inlineStr">
        <is>
          <t>隔日到貨🔥 iPhone 手機殼 素色 亮面 矽膠手機殼 17 16 15 14 13 12 11 保護殼 軟殼 蘋果</t>
        </is>
      </c>
      <c r="C922">
        <f>IMAGE("https://cf.shopee.tw/file/tw-11134207-7r98x-lvojne0lxyoncb_tn")</f>
        <v/>
      </c>
      <c r="D922" t="inlineStr">
        <is>
          <t>曜黑,11 pro Max</t>
        </is>
      </c>
      <c r="E922" t="inlineStr">
        <is>
          <t>226368447057</t>
        </is>
      </c>
      <c r="F922">
        <f>IMAGE("https://cf.shopee.tw/file/tw-11134207-7r98o-lvojne1gdl8y66_tn")</f>
        <v/>
      </c>
    </row>
    <row r="923">
      <c r="A923" t="inlineStr">
        <is>
          <t>26950858066</t>
        </is>
      </c>
      <c r="B923" t="inlineStr">
        <is>
          <t>隔日到貨🔥 iPhone 手機殼 素色 亮面 矽膠手機殼 17 16 15 14 13 12 11 保護殼 軟殼 蘋果</t>
        </is>
      </c>
      <c r="C923">
        <f>IMAGE("https://cf.shopee.tw/file/tw-11134207-7r98x-lvojne0lxyoncb_tn")</f>
        <v/>
      </c>
      <c r="D923" t="inlineStr">
        <is>
          <t>曜黑,12</t>
        </is>
      </c>
      <c r="E923" t="inlineStr">
        <is>
          <t>226368447058</t>
        </is>
      </c>
      <c r="F923">
        <f>IMAGE("https://cf.shopee.tw/file/tw-11134207-7r98o-lvojne1gdl8y66_tn")</f>
        <v/>
      </c>
    </row>
    <row r="924">
      <c r="A924" t="inlineStr">
        <is>
          <t>26950858066</t>
        </is>
      </c>
      <c r="B924" t="inlineStr">
        <is>
          <t>隔日到貨🔥 iPhone 手機殼 素色 亮面 矽膠手機殼 17 16 15 14 13 12 11 保護殼 軟殼 蘋果</t>
        </is>
      </c>
      <c r="C924">
        <f>IMAGE("https://cf.shopee.tw/file/tw-11134207-7r98x-lvojne0lxyoncb_tn")</f>
        <v/>
      </c>
      <c r="D924" t="inlineStr">
        <is>
          <t>曜黑,12 pro</t>
        </is>
      </c>
      <c r="E924" t="inlineStr">
        <is>
          <t>226368447059</t>
        </is>
      </c>
      <c r="F924">
        <f>IMAGE("https://cf.shopee.tw/file/tw-11134207-7r98o-lvojne1gdl8y66_tn")</f>
        <v/>
      </c>
    </row>
    <row r="925">
      <c r="A925" t="inlineStr">
        <is>
          <t>26950858066</t>
        </is>
      </c>
      <c r="B925" t="inlineStr">
        <is>
          <t>隔日到貨🔥 iPhone 手機殼 素色 亮面 矽膠手機殼 17 16 15 14 13 12 11 保護殼 軟殼 蘋果</t>
        </is>
      </c>
      <c r="C925">
        <f>IMAGE("https://cf.shopee.tw/file/tw-11134207-7r98x-lvojne0lxyoncb_tn")</f>
        <v/>
      </c>
      <c r="D925" t="inlineStr">
        <is>
          <t>曜黑,13</t>
        </is>
      </c>
      <c r="E925" t="inlineStr"/>
      <c r="F925">
        <f>IMAGE("https://cf.shopee.tw/file/tw-11134207-7r98o-lvojne1gdl8y66_tn")</f>
        <v/>
      </c>
    </row>
    <row r="926">
      <c r="A926" t="inlineStr">
        <is>
          <t>26950858066</t>
        </is>
      </c>
      <c r="B926" t="inlineStr">
        <is>
          <t>隔日到貨🔥 iPhone 手機殼 素色 亮面 矽膠手機殼 17 16 15 14 13 12 11 保護殼 軟殼 蘋果</t>
        </is>
      </c>
      <c r="C926">
        <f>IMAGE("https://cf.shopee.tw/file/tw-11134207-7r98x-lvojne0lxyoncb_tn")</f>
        <v/>
      </c>
      <c r="D926" t="inlineStr">
        <is>
          <t>曜黑,13 pro</t>
        </is>
      </c>
      <c r="E926" t="inlineStr">
        <is>
          <t>226368447062</t>
        </is>
      </c>
      <c r="F926">
        <f>IMAGE("https://cf.shopee.tw/file/tw-11134207-7r98o-lvojne1gdl8y66_tn")</f>
        <v/>
      </c>
    </row>
    <row r="927">
      <c r="A927" t="inlineStr">
        <is>
          <t>26950858066</t>
        </is>
      </c>
      <c r="B927" t="inlineStr">
        <is>
          <t>隔日到貨🔥 iPhone 手機殼 素色 亮面 矽膠手機殼 17 16 15 14 13 12 11 保護殼 軟殼 蘋果</t>
        </is>
      </c>
      <c r="C927">
        <f>IMAGE("https://cf.shopee.tw/file/tw-11134207-7r98x-lvojne0lxyoncb_tn")</f>
        <v/>
      </c>
      <c r="D927" t="inlineStr">
        <is>
          <t>曜黑,13 pro Max</t>
        </is>
      </c>
      <c r="E927" t="inlineStr">
        <is>
          <t>226368447063</t>
        </is>
      </c>
      <c r="F927">
        <f>IMAGE("https://cf.shopee.tw/file/tw-11134207-7r98o-lvojne1gdl8y66_tn")</f>
        <v/>
      </c>
    </row>
    <row r="928">
      <c r="A928" t="inlineStr">
        <is>
          <t>26950858066</t>
        </is>
      </c>
      <c r="B928" t="inlineStr">
        <is>
          <t>隔日到貨🔥 iPhone 手機殼 素色 亮面 矽膠手機殼 17 16 15 14 13 12 11 保護殼 軟殼 蘋果</t>
        </is>
      </c>
      <c r="C928">
        <f>IMAGE("https://cf.shopee.tw/file/tw-11134207-7r98x-lvojne0lxyoncb_tn")</f>
        <v/>
      </c>
      <c r="D928" t="inlineStr">
        <is>
          <t>曜黑,14</t>
        </is>
      </c>
      <c r="E928" t="inlineStr">
        <is>
          <t>226368447064</t>
        </is>
      </c>
      <c r="F928">
        <f>IMAGE("https://cf.shopee.tw/file/tw-11134207-7r98o-lvojne1gdl8y66_tn")</f>
        <v/>
      </c>
    </row>
    <row r="929">
      <c r="A929" t="inlineStr">
        <is>
          <t>26950858066</t>
        </is>
      </c>
      <c r="B929" t="inlineStr">
        <is>
          <t>隔日到貨🔥 iPhone 手機殼 素色 亮面 矽膠手機殼 17 16 15 14 13 12 11 保護殼 軟殼 蘋果</t>
        </is>
      </c>
      <c r="C929">
        <f>IMAGE("https://cf.shopee.tw/file/tw-11134207-7r98x-lvojne0lxyoncb_tn")</f>
        <v/>
      </c>
      <c r="D929" t="inlineStr">
        <is>
          <t>曜黑,14 pro</t>
        </is>
      </c>
      <c r="E929" t="inlineStr"/>
      <c r="F929">
        <f>IMAGE("https://cf.shopee.tw/file/tw-11134207-7r98o-lvojne1gdl8y66_tn")</f>
        <v/>
      </c>
    </row>
    <row r="930">
      <c r="A930" t="inlineStr">
        <is>
          <t>26950858066</t>
        </is>
      </c>
      <c r="B930" t="inlineStr">
        <is>
          <t>隔日到貨🔥 iPhone 手機殼 素色 亮面 矽膠手機殼 17 16 15 14 13 12 11 保護殼 軟殼 蘋果</t>
        </is>
      </c>
      <c r="C930">
        <f>IMAGE("https://cf.shopee.tw/file/tw-11134207-7r98x-lvojne0lxyoncb_tn")</f>
        <v/>
      </c>
      <c r="D930" t="inlineStr">
        <is>
          <t>曜黑,14 pro Max</t>
        </is>
      </c>
      <c r="E930" t="inlineStr">
        <is>
          <t>226368447066</t>
        </is>
      </c>
      <c r="F930">
        <f>IMAGE("https://cf.shopee.tw/file/tw-11134207-7r98o-lvojne1gdl8y66_tn")</f>
        <v/>
      </c>
    </row>
    <row r="931">
      <c r="A931" t="inlineStr">
        <is>
          <t>26950858066</t>
        </is>
      </c>
      <c r="B931" t="inlineStr">
        <is>
          <t>隔日到貨🔥 iPhone 手機殼 素色 亮面 矽膠手機殼 17 16 15 14 13 12 11 保護殼 軟殼 蘋果</t>
        </is>
      </c>
      <c r="C931">
        <f>IMAGE("https://cf.shopee.tw/file/tw-11134207-7r98x-lvojne0lxyoncb_tn")</f>
        <v/>
      </c>
      <c r="D931" t="inlineStr">
        <is>
          <t>曜黑,14 Plus</t>
        </is>
      </c>
      <c r="E931" t="inlineStr">
        <is>
          <t>226368447067</t>
        </is>
      </c>
      <c r="F931">
        <f>IMAGE("https://cf.shopee.tw/file/tw-11134207-7r98o-lvojne1gdl8y66_tn")</f>
        <v/>
      </c>
    </row>
    <row r="932">
      <c r="A932" t="inlineStr">
        <is>
          <t>26950858066</t>
        </is>
      </c>
      <c r="B932" t="inlineStr">
        <is>
          <t>隔日到貨🔥 iPhone 手機殼 素色 亮面 矽膠手機殼 17 16 15 14 13 12 11 保護殼 軟殼 蘋果</t>
        </is>
      </c>
      <c r="C932">
        <f>IMAGE("https://cf.shopee.tw/file/tw-11134207-7r98x-lvojne0lxyoncb_tn")</f>
        <v/>
      </c>
      <c r="D932" t="inlineStr">
        <is>
          <t>曜黑,15</t>
        </is>
      </c>
      <c r="E932" t="inlineStr">
        <is>
          <t>226368447068</t>
        </is>
      </c>
      <c r="F932">
        <f>IMAGE("https://cf.shopee.tw/file/tw-11134207-7r98o-lvojne1gdl8y66_tn")</f>
        <v/>
      </c>
    </row>
    <row r="933">
      <c r="A933" t="inlineStr">
        <is>
          <t>26950858066</t>
        </is>
      </c>
      <c r="B933" t="inlineStr">
        <is>
          <t>隔日到貨🔥 iPhone 手機殼 素色 亮面 矽膠手機殼 17 16 15 14 13 12 11 保護殼 軟殼 蘋果</t>
        </is>
      </c>
      <c r="C933">
        <f>IMAGE("https://cf.shopee.tw/file/tw-11134207-7r98x-lvojne0lxyoncb_tn")</f>
        <v/>
      </c>
      <c r="D933" t="inlineStr">
        <is>
          <t>曜黑,15 pro</t>
        </is>
      </c>
      <c r="E933" t="inlineStr">
        <is>
          <t>226368447069</t>
        </is>
      </c>
      <c r="F933">
        <f>IMAGE("https://cf.shopee.tw/file/tw-11134207-7r98o-lvojne1gdl8y66_tn")</f>
        <v/>
      </c>
    </row>
    <row r="934">
      <c r="A934" t="inlineStr">
        <is>
          <t>26950858066</t>
        </is>
      </c>
      <c r="B934" t="inlineStr">
        <is>
          <t>隔日到貨🔥 iPhone 手機殼 素色 亮面 矽膠手機殼 17 16 15 14 13 12 11 保護殼 軟殼 蘋果</t>
        </is>
      </c>
      <c r="C934">
        <f>IMAGE("https://cf.shopee.tw/file/tw-11134207-7r98x-lvojne0lxyoncb_tn")</f>
        <v/>
      </c>
      <c r="D934" t="inlineStr">
        <is>
          <t>曜黑,15 pro Max</t>
        </is>
      </c>
      <c r="E934" t="inlineStr">
        <is>
          <t>226368447070</t>
        </is>
      </c>
      <c r="F934">
        <f>IMAGE("https://cf.shopee.tw/file/tw-11134207-7r98o-lvojne1gdl8y66_tn")</f>
        <v/>
      </c>
    </row>
    <row r="935">
      <c r="A935" t="inlineStr">
        <is>
          <t>26950858066</t>
        </is>
      </c>
      <c r="B935" t="inlineStr">
        <is>
          <t>隔日到貨🔥 iPhone 手機殼 素色 亮面 矽膠手機殼 17 16 15 14 13 12 11 保護殼 軟殼 蘋果</t>
        </is>
      </c>
      <c r="C935">
        <f>IMAGE("https://cf.shopee.tw/file/tw-11134207-7r98x-lvojne0lxyoncb_tn")</f>
        <v/>
      </c>
      <c r="D935" t="inlineStr">
        <is>
          <t>曜黑,15 Plus</t>
        </is>
      </c>
      <c r="E935" t="inlineStr">
        <is>
          <t>226368447071</t>
        </is>
      </c>
      <c r="F935">
        <f>IMAGE("https://cf.shopee.tw/file/tw-11134207-7r98o-lvojne1gdl8y66_tn")</f>
        <v/>
      </c>
    </row>
    <row r="936">
      <c r="A936" t="inlineStr">
        <is>
          <t>26950858066</t>
        </is>
      </c>
      <c r="B936" t="inlineStr">
        <is>
          <t>隔日到貨🔥 iPhone 手機殼 素色 亮面 矽膠手機殼 17 16 15 14 13 12 11 保護殼 軟殼 蘋果</t>
        </is>
      </c>
      <c r="C936">
        <f>IMAGE("https://cf.shopee.tw/file/tw-11134207-7r98x-lvojne0lxyoncb_tn")</f>
        <v/>
      </c>
      <c r="D936" t="inlineStr">
        <is>
          <t>曜黑,16</t>
        </is>
      </c>
      <c r="E936" t="inlineStr"/>
      <c r="F936">
        <f>IMAGE("https://cf.shopee.tw/file/tw-11134207-7r98o-lvojne1gdl8y66_tn")</f>
        <v/>
      </c>
    </row>
    <row r="937">
      <c r="A937" t="inlineStr">
        <is>
          <t>26950858066</t>
        </is>
      </c>
      <c r="B937" t="inlineStr">
        <is>
          <t>隔日到貨🔥 iPhone 手機殼 素色 亮面 矽膠手機殼 17 16 15 14 13 12 11 保護殼 軟殼 蘋果</t>
        </is>
      </c>
      <c r="C937">
        <f>IMAGE("https://cf.shopee.tw/file/tw-11134207-7r98x-lvojne0lxyoncb_tn")</f>
        <v/>
      </c>
      <c r="D937" t="inlineStr">
        <is>
          <t>曜黑,16 pro</t>
        </is>
      </c>
      <c r="E937" t="inlineStr">
        <is>
          <t>256816745745</t>
        </is>
      </c>
      <c r="F937">
        <f>IMAGE("https://cf.shopee.tw/file/tw-11134207-7r98o-lvojne1gdl8y66_tn")</f>
        <v/>
      </c>
    </row>
    <row r="938">
      <c r="A938" t="inlineStr">
        <is>
          <t>26950858066</t>
        </is>
      </c>
      <c r="B938" t="inlineStr">
        <is>
          <t>隔日到貨🔥 iPhone 手機殼 素色 亮面 矽膠手機殼 17 16 15 14 13 12 11 保護殼 軟殼 蘋果</t>
        </is>
      </c>
      <c r="C938">
        <f>IMAGE("https://cf.shopee.tw/file/tw-11134207-7r98x-lvojne0lxyoncb_tn")</f>
        <v/>
      </c>
      <c r="D938" t="inlineStr">
        <is>
          <t>曜黑,16 pro Max</t>
        </is>
      </c>
      <c r="E938" t="inlineStr">
        <is>
          <t>256816745746</t>
        </is>
      </c>
      <c r="F938">
        <f>IMAGE("https://cf.shopee.tw/file/tw-11134207-7r98o-lvojne1gdl8y66_tn")</f>
        <v/>
      </c>
    </row>
    <row r="939">
      <c r="A939" t="inlineStr">
        <is>
          <t>26950858066</t>
        </is>
      </c>
      <c r="B939" t="inlineStr">
        <is>
          <t>隔日到貨🔥 iPhone 手機殼 素色 亮面 矽膠手機殼 17 16 15 14 13 12 11 保護殼 軟殼 蘋果</t>
        </is>
      </c>
      <c r="C939">
        <f>IMAGE("https://cf.shopee.tw/file/tw-11134207-7r98x-lvojne0lxyoncb_tn")</f>
        <v/>
      </c>
      <c r="D939" t="inlineStr">
        <is>
          <t>曜黑,16 Plus</t>
        </is>
      </c>
      <c r="E939" t="inlineStr"/>
      <c r="F939">
        <f>IMAGE("https://cf.shopee.tw/file/tw-11134207-7r98o-lvojne1gdl8y66_tn")</f>
        <v/>
      </c>
    </row>
    <row r="940">
      <c r="A940" t="inlineStr">
        <is>
          <t>26950858066</t>
        </is>
      </c>
      <c r="B940" t="inlineStr">
        <is>
          <t>隔日到貨🔥 iPhone 手機殼 素色 亮面 矽膠手機殼 17 16 15 14 13 12 11 保護殼 軟殼 蘋果</t>
        </is>
      </c>
      <c r="C940">
        <f>IMAGE("https://cf.shopee.tw/file/tw-11134207-7r98x-lvojne0lxyoncb_tn")</f>
        <v/>
      </c>
      <c r="D940" t="inlineStr">
        <is>
          <t>曜黑,17</t>
        </is>
      </c>
      <c r="E940" t="inlineStr">
        <is>
          <t>286980616753</t>
        </is>
      </c>
      <c r="F940">
        <f>IMAGE("https://cf.shopee.tw/file/tw-11134207-7r98o-lvojne1gdl8y66_tn")</f>
        <v/>
      </c>
    </row>
    <row r="941">
      <c r="A941" t="inlineStr">
        <is>
          <t>26950858066</t>
        </is>
      </c>
      <c r="B941" t="inlineStr">
        <is>
          <t>隔日到貨🔥 iPhone 手機殼 素色 亮面 矽膠手機殼 17 16 15 14 13 12 11 保護殼 軟殼 蘋果</t>
        </is>
      </c>
      <c r="C941">
        <f>IMAGE("https://cf.shopee.tw/file/tw-11134207-7r98x-lvojne0lxyoncb_tn")</f>
        <v/>
      </c>
      <c r="D941" t="inlineStr">
        <is>
          <t>藤紫,11</t>
        </is>
      </c>
      <c r="E941" t="inlineStr">
        <is>
          <t>226368447072</t>
        </is>
      </c>
      <c r="F941">
        <f>IMAGE("https://cf.shopee.tw/file/tw-11134207-7r98z-lvojne1zxc5z91_tn")</f>
        <v/>
      </c>
    </row>
    <row r="942">
      <c r="A942" t="inlineStr">
        <is>
          <t>26950858066</t>
        </is>
      </c>
      <c r="B942" t="inlineStr">
        <is>
          <t>隔日到貨🔥 iPhone 手機殼 素色 亮面 矽膠手機殼 17 16 15 14 13 12 11 保護殼 軟殼 蘋果</t>
        </is>
      </c>
      <c r="C942">
        <f>IMAGE("https://cf.shopee.tw/file/tw-11134207-7r98x-lvojne0lxyoncb_tn")</f>
        <v/>
      </c>
      <c r="D942" t="inlineStr">
        <is>
          <t>藤紫,11 pro Max</t>
        </is>
      </c>
      <c r="E942" t="inlineStr">
        <is>
          <t>226368447073</t>
        </is>
      </c>
      <c r="F942">
        <f>IMAGE("https://cf.shopee.tw/file/tw-11134207-7r98z-lvojne1zxc5z91_tn")</f>
        <v/>
      </c>
    </row>
    <row r="943">
      <c r="A943" t="inlineStr">
        <is>
          <t>26950858066</t>
        </is>
      </c>
      <c r="B943" t="inlineStr">
        <is>
          <t>隔日到貨🔥 iPhone 手機殼 素色 亮面 矽膠手機殼 17 16 15 14 13 12 11 保護殼 軟殼 蘋果</t>
        </is>
      </c>
      <c r="C943">
        <f>IMAGE("https://cf.shopee.tw/file/tw-11134207-7r98x-lvojne0lxyoncb_tn")</f>
        <v/>
      </c>
      <c r="D943" t="inlineStr">
        <is>
          <t>藤紫,12</t>
        </is>
      </c>
      <c r="E943" t="inlineStr">
        <is>
          <t>226368447074</t>
        </is>
      </c>
      <c r="F943">
        <f>IMAGE("https://cf.shopee.tw/file/tw-11134207-7r98z-lvojne1zxc5z91_tn")</f>
        <v/>
      </c>
    </row>
    <row r="944">
      <c r="A944" t="inlineStr">
        <is>
          <t>26950858066</t>
        </is>
      </c>
      <c r="B944" t="inlineStr">
        <is>
          <t>隔日到貨🔥 iPhone 手機殼 素色 亮面 矽膠手機殼 17 16 15 14 13 12 11 保護殼 軟殼 蘋果</t>
        </is>
      </c>
      <c r="C944">
        <f>IMAGE("https://cf.shopee.tw/file/tw-11134207-7r98x-lvojne0lxyoncb_tn")</f>
        <v/>
      </c>
      <c r="D944" t="inlineStr">
        <is>
          <t>藤紫,12 pro</t>
        </is>
      </c>
      <c r="E944" t="inlineStr">
        <is>
          <t>226368447075</t>
        </is>
      </c>
      <c r="F944">
        <f>IMAGE("https://cf.shopee.tw/file/tw-11134207-7r98z-lvojne1zxc5z91_tn")</f>
        <v/>
      </c>
    </row>
    <row r="945">
      <c r="A945" t="inlineStr">
        <is>
          <t>26950858066</t>
        </is>
      </c>
      <c r="B945" t="inlineStr">
        <is>
          <t>隔日到貨🔥 iPhone 手機殼 素色 亮面 矽膠手機殼 17 16 15 14 13 12 11 保護殼 軟殼 蘋果</t>
        </is>
      </c>
      <c r="C945">
        <f>IMAGE("https://cf.shopee.tw/file/tw-11134207-7r98x-lvojne0lxyoncb_tn")</f>
        <v/>
      </c>
      <c r="D945" t="inlineStr">
        <is>
          <t>藤紫,13</t>
        </is>
      </c>
      <c r="E945" t="inlineStr">
        <is>
          <t>226368447078</t>
        </is>
      </c>
      <c r="F945">
        <f>IMAGE("https://cf.shopee.tw/file/tw-11134207-7r98z-lvojne1zxc5z91_tn")</f>
        <v/>
      </c>
    </row>
    <row r="946">
      <c r="A946" t="inlineStr">
        <is>
          <t>26950858066</t>
        </is>
      </c>
      <c r="B946" t="inlineStr">
        <is>
          <t>隔日到貨🔥 iPhone 手機殼 素色 亮面 矽膠手機殼 17 16 15 14 13 12 11 保護殼 軟殼 蘋果</t>
        </is>
      </c>
      <c r="C946">
        <f>IMAGE("https://cf.shopee.tw/file/tw-11134207-7r98x-lvojne0lxyoncb_tn")</f>
        <v/>
      </c>
      <c r="D946" t="inlineStr">
        <is>
          <t>藤紫,13 pro</t>
        </is>
      </c>
      <c r="E946" t="inlineStr">
        <is>
          <t>226368447079</t>
        </is>
      </c>
      <c r="F946">
        <f>IMAGE("https://cf.shopee.tw/file/tw-11134207-7r98z-lvojne1zxc5z91_tn")</f>
        <v/>
      </c>
    </row>
    <row r="947">
      <c r="A947" t="inlineStr">
        <is>
          <t>26950858066</t>
        </is>
      </c>
      <c r="B947" t="inlineStr">
        <is>
          <t>隔日到貨🔥 iPhone 手機殼 素色 亮面 矽膠手機殼 17 16 15 14 13 12 11 保護殼 軟殼 蘋果</t>
        </is>
      </c>
      <c r="C947">
        <f>IMAGE("https://cf.shopee.tw/file/tw-11134207-7r98x-lvojne0lxyoncb_tn")</f>
        <v/>
      </c>
      <c r="D947" t="inlineStr">
        <is>
          <t>藤紫,13 pro Max</t>
        </is>
      </c>
      <c r="E947" t="inlineStr">
        <is>
          <t>226368447080</t>
        </is>
      </c>
      <c r="F947">
        <f>IMAGE("https://cf.shopee.tw/file/tw-11134207-7r98z-lvojne1zxc5z91_tn")</f>
        <v/>
      </c>
    </row>
    <row r="948">
      <c r="A948" t="inlineStr">
        <is>
          <t>26950858066</t>
        </is>
      </c>
      <c r="B948" t="inlineStr">
        <is>
          <t>隔日到貨🔥 iPhone 手機殼 素色 亮面 矽膠手機殼 17 16 15 14 13 12 11 保護殼 軟殼 蘋果</t>
        </is>
      </c>
      <c r="C948">
        <f>IMAGE("https://cf.shopee.tw/file/tw-11134207-7r98x-lvojne0lxyoncb_tn")</f>
        <v/>
      </c>
      <c r="D948" t="inlineStr">
        <is>
          <t>藤紫,14</t>
        </is>
      </c>
      <c r="E948" t="inlineStr">
        <is>
          <t>226368447081</t>
        </is>
      </c>
      <c r="F948">
        <f>IMAGE("https://cf.shopee.tw/file/tw-11134207-7r98z-lvojne1zxc5z91_tn")</f>
        <v/>
      </c>
    </row>
    <row r="949">
      <c r="A949" t="inlineStr">
        <is>
          <t>26950858066</t>
        </is>
      </c>
      <c r="B949" t="inlineStr">
        <is>
          <t>隔日到貨🔥 iPhone 手機殼 素色 亮面 矽膠手機殼 17 16 15 14 13 12 11 保護殼 軟殼 蘋果</t>
        </is>
      </c>
      <c r="C949">
        <f>IMAGE("https://cf.shopee.tw/file/tw-11134207-7r98x-lvojne0lxyoncb_tn")</f>
        <v/>
      </c>
      <c r="D949" t="inlineStr">
        <is>
          <t>藤紫,14 pro</t>
        </is>
      </c>
      <c r="E949" t="inlineStr"/>
      <c r="F949">
        <f>IMAGE("https://cf.shopee.tw/file/tw-11134207-7r98z-lvojne1zxc5z91_tn")</f>
        <v/>
      </c>
    </row>
    <row r="950">
      <c r="A950" t="inlineStr">
        <is>
          <t>26950858066</t>
        </is>
      </c>
      <c r="B950" t="inlineStr">
        <is>
          <t>隔日到貨🔥 iPhone 手機殼 素色 亮面 矽膠手機殼 17 16 15 14 13 12 11 保護殼 軟殼 蘋果</t>
        </is>
      </c>
      <c r="C950">
        <f>IMAGE("https://cf.shopee.tw/file/tw-11134207-7r98x-lvojne0lxyoncb_tn")</f>
        <v/>
      </c>
      <c r="D950" t="inlineStr">
        <is>
          <t>藤紫,14 pro Max</t>
        </is>
      </c>
      <c r="E950" t="inlineStr">
        <is>
          <t>226368447083</t>
        </is>
      </c>
      <c r="F950">
        <f>IMAGE("https://cf.shopee.tw/file/tw-11134207-7r98z-lvojne1zxc5z91_tn")</f>
        <v/>
      </c>
    </row>
    <row r="951">
      <c r="A951" t="inlineStr">
        <is>
          <t>26950858066</t>
        </is>
      </c>
      <c r="B951" t="inlineStr">
        <is>
          <t>隔日到貨🔥 iPhone 手機殼 素色 亮面 矽膠手機殼 17 16 15 14 13 12 11 保護殼 軟殼 蘋果</t>
        </is>
      </c>
      <c r="C951">
        <f>IMAGE("https://cf.shopee.tw/file/tw-11134207-7r98x-lvojne0lxyoncb_tn")</f>
        <v/>
      </c>
      <c r="D951" t="inlineStr">
        <is>
          <t>藤紫,14 Plus</t>
        </is>
      </c>
      <c r="E951" t="inlineStr">
        <is>
          <t>226368447084</t>
        </is>
      </c>
      <c r="F951">
        <f>IMAGE("https://cf.shopee.tw/file/tw-11134207-7r98z-lvojne1zxc5z91_tn")</f>
        <v/>
      </c>
    </row>
    <row r="952">
      <c r="A952" t="inlineStr">
        <is>
          <t>26950858066</t>
        </is>
      </c>
      <c r="B952" t="inlineStr">
        <is>
          <t>隔日到貨🔥 iPhone 手機殼 素色 亮面 矽膠手機殼 17 16 15 14 13 12 11 保護殼 軟殼 蘋果</t>
        </is>
      </c>
      <c r="C952">
        <f>IMAGE("https://cf.shopee.tw/file/tw-11134207-7r98x-lvojne0lxyoncb_tn")</f>
        <v/>
      </c>
      <c r="D952" t="inlineStr">
        <is>
          <t>藤紫,15</t>
        </is>
      </c>
      <c r="E952" t="inlineStr"/>
      <c r="F952">
        <f>IMAGE("https://cf.shopee.tw/file/tw-11134207-7r98z-lvojne1zxc5z91_tn")</f>
        <v/>
      </c>
    </row>
    <row r="953">
      <c r="A953" t="inlineStr">
        <is>
          <t>26950858066</t>
        </is>
      </c>
      <c r="B953" t="inlineStr">
        <is>
          <t>隔日到貨🔥 iPhone 手機殼 素色 亮面 矽膠手機殼 17 16 15 14 13 12 11 保護殼 軟殼 蘋果</t>
        </is>
      </c>
      <c r="C953">
        <f>IMAGE("https://cf.shopee.tw/file/tw-11134207-7r98x-lvojne0lxyoncb_tn")</f>
        <v/>
      </c>
      <c r="D953" t="inlineStr">
        <is>
          <t>藤紫,15 pro</t>
        </is>
      </c>
      <c r="E953" t="inlineStr">
        <is>
          <t>226368447086</t>
        </is>
      </c>
      <c r="F953">
        <f>IMAGE("https://cf.shopee.tw/file/tw-11134207-7r98z-lvojne1zxc5z91_tn")</f>
        <v/>
      </c>
    </row>
    <row r="954">
      <c r="A954" t="inlineStr">
        <is>
          <t>26950858066</t>
        </is>
      </c>
      <c r="B954" t="inlineStr">
        <is>
          <t>隔日到貨🔥 iPhone 手機殼 素色 亮面 矽膠手機殼 17 16 15 14 13 12 11 保護殼 軟殼 蘋果</t>
        </is>
      </c>
      <c r="C954">
        <f>IMAGE("https://cf.shopee.tw/file/tw-11134207-7r98x-lvojne0lxyoncb_tn")</f>
        <v/>
      </c>
      <c r="D954" t="inlineStr">
        <is>
          <t>藤紫,15 pro Max</t>
        </is>
      </c>
      <c r="E954" t="inlineStr">
        <is>
          <t>226368447087</t>
        </is>
      </c>
      <c r="F954">
        <f>IMAGE("https://cf.shopee.tw/file/tw-11134207-7r98z-lvojne1zxc5z91_tn")</f>
        <v/>
      </c>
    </row>
    <row r="955">
      <c r="A955" t="inlineStr">
        <is>
          <t>26950858066</t>
        </is>
      </c>
      <c r="B955" t="inlineStr">
        <is>
          <t>隔日到貨🔥 iPhone 手機殼 素色 亮面 矽膠手機殼 17 16 15 14 13 12 11 保護殼 軟殼 蘋果</t>
        </is>
      </c>
      <c r="C955">
        <f>IMAGE("https://cf.shopee.tw/file/tw-11134207-7r98x-lvojne0lxyoncb_tn")</f>
        <v/>
      </c>
      <c r="D955" t="inlineStr">
        <is>
          <t>藤紫,15 Plus</t>
        </is>
      </c>
      <c r="E955" t="inlineStr">
        <is>
          <t>226368447088</t>
        </is>
      </c>
      <c r="F955">
        <f>IMAGE("https://cf.shopee.tw/file/tw-11134207-7r98z-lvojne1zxc5z91_tn")</f>
        <v/>
      </c>
    </row>
    <row r="956">
      <c r="A956" t="inlineStr">
        <is>
          <t>26950858066</t>
        </is>
      </c>
      <c r="B956" t="inlineStr">
        <is>
          <t>隔日到貨🔥 iPhone 手機殼 素色 亮面 矽膠手機殼 17 16 15 14 13 12 11 保護殼 軟殼 蘋果</t>
        </is>
      </c>
      <c r="C956">
        <f>IMAGE("https://cf.shopee.tw/file/tw-11134207-7r98x-lvojne0lxyoncb_tn")</f>
        <v/>
      </c>
      <c r="D956" t="inlineStr">
        <is>
          <t>藤紫,16</t>
        </is>
      </c>
      <c r="E956" t="inlineStr">
        <is>
          <t>256816745748</t>
        </is>
      </c>
      <c r="F956">
        <f>IMAGE("https://cf.shopee.tw/file/tw-11134207-7r98z-lvojne1zxc5z91_tn")</f>
        <v/>
      </c>
    </row>
    <row r="957">
      <c r="A957" t="inlineStr">
        <is>
          <t>26950858066</t>
        </is>
      </c>
      <c r="B957" t="inlineStr">
        <is>
          <t>隔日到貨🔥 iPhone 手機殼 素色 亮面 矽膠手機殼 17 16 15 14 13 12 11 保護殼 軟殼 蘋果</t>
        </is>
      </c>
      <c r="C957">
        <f>IMAGE("https://cf.shopee.tw/file/tw-11134207-7r98x-lvojne0lxyoncb_tn")</f>
        <v/>
      </c>
      <c r="D957" t="inlineStr">
        <is>
          <t>藤紫,16 pro</t>
        </is>
      </c>
      <c r="E957" t="inlineStr">
        <is>
          <t>256816745749</t>
        </is>
      </c>
      <c r="F957">
        <f>IMAGE("https://cf.shopee.tw/file/tw-11134207-7r98z-lvojne1zxc5z91_tn")</f>
        <v/>
      </c>
    </row>
    <row r="958">
      <c r="A958" t="inlineStr">
        <is>
          <t>26950858066</t>
        </is>
      </c>
      <c r="B958" t="inlineStr">
        <is>
          <t>隔日到貨🔥 iPhone 手機殼 素色 亮面 矽膠手機殼 17 16 15 14 13 12 11 保護殼 軟殼 蘋果</t>
        </is>
      </c>
      <c r="C958">
        <f>IMAGE("https://cf.shopee.tw/file/tw-11134207-7r98x-lvojne0lxyoncb_tn")</f>
        <v/>
      </c>
      <c r="D958" t="inlineStr">
        <is>
          <t>藤紫,16 pro Max</t>
        </is>
      </c>
      <c r="E958" t="inlineStr">
        <is>
          <t>256816745750</t>
        </is>
      </c>
      <c r="F958">
        <f>IMAGE("https://cf.shopee.tw/file/tw-11134207-7r98z-lvojne1zxc5z91_tn")</f>
        <v/>
      </c>
    </row>
    <row r="959">
      <c r="A959" t="inlineStr">
        <is>
          <t>26950858066</t>
        </is>
      </c>
      <c r="B959" t="inlineStr">
        <is>
          <t>隔日到貨🔥 iPhone 手機殼 素色 亮面 矽膠手機殼 17 16 15 14 13 12 11 保護殼 軟殼 蘋果</t>
        </is>
      </c>
      <c r="C959">
        <f>IMAGE("https://cf.shopee.tw/file/tw-11134207-7r98x-lvojne0lxyoncb_tn")</f>
        <v/>
      </c>
      <c r="D959" t="inlineStr">
        <is>
          <t>藤紫,16 Plus</t>
        </is>
      </c>
      <c r="E959" t="inlineStr">
        <is>
          <t>256816745751</t>
        </is>
      </c>
      <c r="F959">
        <f>IMAGE("https://cf.shopee.tw/file/tw-11134207-7r98z-lvojne1zxc5z91_tn")</f>
        <v/>
      </c>
    </row>
    <row r="960">
      <c r="A960" t="inlineStr">
        <is>
          <t>26950858066</t>
        </is>
      </c>
      <c r="B960" t="inlineStr">
        <is>
          <t>隔日到貨🔥 iPhone 手機殼 素色 亮面 矽膠手機殼 17 16 15 14 13 12 11 保護殼 軟殼 蘋果</t>
        </is>
      </c>
      <c r="C960">
        <f>IMAGE("https://cf.shopee.tw/file/tw-11134207-7r98x-lvojne0lxyoncb_tn")</f>
        <v/>
      </c>
      <c r="D960" t="inlineStr">
        <is>
          <t>藤紫,17</t>
        </is>
      </c>
      <c r="E960" t="inlineStr">
        <is>
          <t>286980616754</t>
        </is>
      </c>
      <c r="F960">
        <f>IMAGE("https://cf.shopee.tw/file/tw-11134207-7r98z-lvojne1zxc5z91_tn")</f>
        <v/>
      </c>
    </row>
    <row r="961">
      <c r="A961" t="inlineStr">
        <is>
          <t>26950858066</t>
        </is>
      </c>
      <c r="B961" t="inlineStr">
        <is>
          <t>隔日到貨🔥 iPhone 手機殼 素色 亮面 矽膠手機殼 17 16 15 14 13 12 11 保護殼 軟殼 蘋果</t>
        </is>
      </c>
      <c r="C961">
        <f>IMAGE("https://cf.shopee.tw/file/tw-11134207-7r98x-lvojne0lxyoncb_tn")</f>
        <v/>
      </c>
      <c r="D961" t="inlineStr">
        <is>
          <t>水藍,11</t>
        </is>
      </c>
      <c r="E961" t="inlineStr">
        <is>
          <t>226368447089</t>
        </is>
      </c>
      <c r="F961">
        <f>IMAGE("https://cf.shopee.tw/file/tw-11134207-7r98p-lvojne2jxx3m7c_tn")</f>
        <v/>
      </c>
    </row>
    <row r="962">
      <c r="A962" t="inlineStr">
        <is>
          <t>26950858066</t>
        </is>
      </c>
      <c r="B962" t="inlineStr">
        <is>
          <t>隔日到貨🔥 iPhone 手機殼 素色 亮面 矽膠手機殼 17 16 15 14 13 12 11 保護殼 軟殼 蘋果</t>
        </is>
      </c>
      <c r="C962">
        <f>IMAGE("https://cf.shopee.tw/file/tw-11134207-7r98x-lvojne0lxyoncb_tn")</f>
        <v/>
      </c>
      <c r="D962" t="inlineStr">
        <is>
          <t>水藍,12</t>
        </is>
      </c>
      <c r="E962" t="inlineStr">
        <is>
          <t>226368447091</t>
        </is>
      </c>
      <c r="F962">
        <f>IMAGE("https://cf.shopee.tw/file/tw-11134207-7r98p-lvojne2jxx3m7c_tn")</f>
        <v/>
      </c>
    </row>
    <row r="963">
      <c r="A963" t="inlineStr">
        <is>
          <t>26950858066</t>
        </is>
      </c>
      <c r="B963" t="inlineStr">
        <is>
          <t>隔日到貨🔥 iPhone 手機殼 素色 亮面 矽膠手機殼 17 16 15 14 13 12 11 保護殼 軟殼 蘋果</t>
        </is>
      </c>
      <c r="C963">
        <f>IMAGE("https://cf.shopee.tw/file/tw-11134207-7r98x-lvojne0lxyoncb_tn")</f>
        <v/>
      </c>
      <c r="D963" t="inlineStr">
        <is>
          <t>水藍,12 pro</t>
        </is>
      </c>
      <c r="E963" t="inlineStr">
        <is>
          <t>226368447092</t>
        </is>
      </c>
      <c r="F963">
        <f>IMAGE("https://cf.shopee.tw/file/tw-11134207-7r98p-lvojne2jxx3m7c_tn")</f>
        <v/>
      </c>
    </row>
    <row r="964">
      <c r="A964" t="inlineStr">
        <is>
          <t>26950858066</t>
        </is>
      </c>
      <c r="B964" t="inlineStr">
        <is>
          <t>隔日到貨🔥 iPhone 手機殼 素色 亮面 矽膠手機殼 17 16 15 14 13 12 11 保護殼 軟殼 蘋果</t>
        </is>
      </c>
      <c r="C964">
        <f>IMAGE("https://cf.shopee.tw/file/tw-11134207-7r98x-lvojne0lxyoncb_tn")</f>
        <v/>
      </c>
      <c r="D964" t="inlineStr">
        <is>
          <t>水藍,13</t>
        </is>
      </c>
      <c r="E964" t="inlineStr">
        <is>
          <t>226368447094</t>
        </is>
      </c>
      <c r="F964">
        <f>IMAGE("https://cf.shopee.tw/file/tw-11134207-7r98p-lvojne2jxx3m7c_tn")</f>
        <v/>
      </c>
    </row>
    <row r="965">
      <c r="A965" t="inlineStr">
        <is>
          <t>26950858066</t>
        </is>
      </c>
      <c r="B965" t="inlineStr">
        <is>
          <t>隔日到貨🔥 iPhone 手機殼 素色 亮面 矽膠手機殼 17 16 15 14 13 12 11 保護殼 軟殼 蘋果</t>
        </is>
      </c>
      <c r="C965">
        <f>IMAGE("https://cf.shopee.tw/file/tw-11134207-7r98x-lvojne0lxyoncb_tn")</f>
        <v/>
      </c>
      <c r="D965" t="inlineStr">
        <is>
          <t>水藍,13 pro</t>
        </is>
      </c>
      <c r="E965" t="inlineStr">
        <is>
          <t>226368447095</t>
        </is>
      </c>
      <c r="F965">
        <f>IMAGE("https://cf.shopee.tw/file/tw-11134207-7r98p-lvojne2jxx3m7c_tn")</f>
        <v/>
      </c>
    </row>
    <row r="966">
      <c r="A966" t="inlineStr">
        <is>
          <t>26950858066</t>
        </is>
      </c>
      <c r="B966" t="inlineStr">
        <is>
          <t>隔日到貨🔥 iPhone 手機殼 素色 亮面 矽膠手機殼 17 16 15 14 13 12 11 保護殼 軟殼 蘋果</t>
        </is>
      </c>
      <c r="C966">
        <f>IMAGE("https://cf.shopee.tw/file/tw-11134207-7r98x-lvojne0lxyoncb_tn")</f>
        <v/>
      </c>
      <c r="D966" t="inlineStr">
        <is>
          <t>水藍,14</t>
        </is>
      </c>
      <c r="E966" t="inlineStr">
        <is>
          <t>226368447097</t>
        </is>
      </c>
      <c r="F966">
        <f>IMAGE("https://cf.shopee.tw/file/tw-11134207-7r98p-lvojne2jxx3m7c_tn")</f>
        <v/>
      </c>
    </row>
    <row r="967">
      <c r="A967" t="inlineStr">
        <is>
          <t>26950858066</t>
        </is>
      </c>
      <c r="B967" t="inlineStr">
        <is>
          <t>隔日到貨🔥 iPhone 手機殼 素色 亮面 矽膠手機殼 17 16 15 14 13 12 11 保護殼 軟殼 蘋果</t>
        </is>
      </c>
      <c r="C967">
        <f>IMAGE("https://cf.shopee.tw/file/tw-11134207-7r98x-lvojne0lxyoncb_tn")</f>
        <v/>
      </c>
      <c r="D967" t="inlineStr">
        <is>
          <t>水藍,14 pro</t>
        </is>
      </c>
      <c r="E967" t="inlineStr">
        <is>
          <t>226368447098</t>
        </is>
      </c>
      <c r="F967">
        <f>IMAGE("https://cf.shopee.tw/file/tw-11134207-7r98p-lvojne2jxx3m7c_tn")</f>
        <v/>
      </c>
    </row>
    <row r="968">
      <c r="A968" t="inlineStr">
        <is>
          <t>26950858066</t>
        </is>
      </c>
      <c r="B968" t="inlineStr">
        <is>
          <t>隔日到貨🔥 iPhone 手機殼 素色 亮面 矽膠手機殼 17 16 15 14 13 12 11 保護殼 軟殼 蘋果</t>
        </is>
      </c>
      <c r="C968">
        <f>IMAGE("https://cf.shopee.tw/file/tw-11134207-7r98x-lvojne0lxyoncb_tn")</f>
        <v/>
      </c>
      <c r="D968" t="inlineStr">
        <is>
          <t>水藍,14 pro Max</t>
        </is>
      </c>
      <c r="E968" t="inlineStr"/>
      <c r="F968">
        <f>IMAGE("https://cf.shopee.tw/file/tw-11134207-7r98p-lvojne2jxx3m7c_tn")</f>
        <v/>
      </c>
    </row>
    <row r="969">
      <c r="A969" t="inlineStr">
        <is>
          <t>26950858066</t>
        </is>
      </c>
      <c r="B969" t="inlineStr">
        <is>
          <t>隔日到貨🔥 iPhone 手機殼 素色 亮面 矽膠手機殼 17 16 15 14 13 12 11 保護殼 軟殼 蘋果</t>
        </is>
      </c>
      <c r="C969">
        <f>IMAGE("https://cf.shopee.tw/file/tw-11134207-7r98x-lvojne0lxyoncb_tn")</f>
        <v/>
      </c>
      <c r="D969" t="inlineStr">
        <is>
          <t>水藍,14 Plus</t>
        </is>
      </c>
      <c r="E969" t="inlineStr">
        <is>
          <t>226368447100</t>
        </is>
      </c>
      <c r="F969">
        <f>IMAGE("https://cf.shopee.tw/file/tw-11134207-7r98p-lvojne2jxx3m7c_tn")</f>
        <v/>
      </c>
    </row>
    <row r="970">
      <c r="A970" t="inlineStr">
        <is>
          <t>26950858066</t>
        </is>
      </c>
      <c r="B970" t="inlineStr">
        <is>
          <t>隔日到貨🔥 iPhone 手機殼 素色 亮面 矽膠手機殼 17 16 15 14 13 12 11 保護殼 軟殼 蘋果</t>
        </is>
      </c>
      <c r="C970">
        <f>IMAGE("https://cf.shopee.tw/file/tw-11134207-7r98x-lvojne0lxyoncb_tn")</f>
        <v/>
      </c>
      <c r="D970" t="inlineStr">
        <is>
          <t>水藍,15</t>
        </is>
      </c>
      <c r="E970" t="inlineStr">
        <is>
          <t>226368447101</t>
        </is>
      </c>
      <c r="F970">
        <f>IMAGE("https://cf.shopee.tw/file/tw-11134207-7r98p-lvojne2jxx3m7c_tn")</f>
        <v/>
      </c>
    </row>
    <row r="971">
      <c r="A971" t="inlineStr">
        <is>
          <t>26950858066</t>
        </is>
      </c>
      <c r="B971" t="inlineStr">
        <is>
          <t>隔日到貨🔥 iPhone 手機殼 素色 亮面 矽膠手機殼 17 16 15 14 13 12 11 保護殼 軟殼 蘋果</t>
        </is>
      </c>
      <c r="C971">
        <f>IMAGE("https://cf.shopee.tw/file/tw-11134207-7r98x-lvojne0lxyoncb_tn")</f>
        <v/>
      </c>
      <c r="D971" t="inlineStr">
        <is>
          <t>水藍,15 pro</t>
        </is>
      </c>
      <c r="E971" t="inlineStr">
        <is>
          <t>226368447102</t>
        </is>
      </c>
      <c r="F971">
        <f>IMAGE("https://cf.shopee.tw/file/tw-11134207-7r98p-lvojne2jxx3m7c_tn")</f>
        <v/>
      </c>
    </row>
    <row r="972">
      <c r="A972" t="inlineStr">
        <is>
          <t>26950858066</t>
        </is>
      </c>
      <c r="B972" t="inlineStr">
        <is>
          <t>隔日到貨🔥 iPhone 手機殼 素色 亮面 矽膠手機殼 17 16 15 14 13 12 11 保護殼 軟殼 蘋果</t>
        </is>
      </c>
      <c r="C972">
        <f>IMAGE("https://cf.shopee.tw/file/tw-11134207-7r98x-lvojne0lxyoncb_tn")</f>
        <v/>
      </c>
      <c r="D972" t="inlineStr">
        <is>
          <t>水藍,15 pro Max</t>
        </is>
      </c>
      <c r="E972" t="inlineStr">
        <is>
          <t>226368447103</t>
        </is>
      </c>
      <c r="F972">
        <f>IMAGE("https://cf.shopee.tw/file/tw-11134207-7r98p-lvojne2jxx3m7c_tn")</f>
        <v/>
      </c>
    </row>
    <row r="973">
      <c r="A973" t="inlineStr">
        <is>
          <t>26950858066</t>
        </is>
      </c>
      <c r="B973" t="inlineStr">
        <is>
          <t>隔日到貨🔥 iPhone 手機殼 素色 亮面 矽膠手機殼 17 16 15 14 13 12 11 保護殼 軟殼 蘋果</t>
        </is>
      </c>
      <c r="C973">
        <f>IMAGE("https://cf.shopee.tw/file/tw-11134207-7r98x-lvojne0lxyoncb_tn")</f>
        <v/>
      </c>
      <c r="D973" t="inlineStr">
        <is>
          <t>水藍,15 Plus</t>
        </is>
      </c>
      <c r="E973" t="inlineStr">
        <is>
          <t>226368447104</t>
        </is>
      </c>
      <c r="F973">
        <f>IMAGE("https://cf.shopee.tw/file/tw-11134207-7r98p-lvojne2jxx3m7c_tn")</f>
        <v/>
      </c>
    </row>
    <row r="974">
      <c r="A974" t="inlineStr">
        <is>
          <t>26950858066</t>
        </is>
      </c>
      <c r="B974" t="inlineStr">
        <is>
          <t>隔日到貨🔥 iPhone 手機殼 素色 亮面 矽膠手機殼 17 16 15 14 13 12 11 保護殼 軟殼 蘋果</t>
        </is>
      </c>
      <c r="C974">
        <f>IMAGE("https://cf.shopee.tw/file/tw-11134207-7r98x-lvojne0lxyoncb_tn")</f>
        <v/>
      </c>
      <c r="D974" t="inlineStr">
        <is>
          <t>水藍,16</t>
        </is>
      </c>
      <c r="E974" t="inlineStr">
        <is>
          <t>256816745752</t>
        </is>
      </c>
      <c r="F974">
        <f>IMAGE("https://cf.shopee.tw/file/tw-11134207-7r98p-lvojne2jxx3m7c_tn")</f>
        <v/>
      </c>
    </row>
    <row r="975">
      <c r="A975" t="inlineStr">
        <is>
          <t>26950858066</t>
        </is>
      </c>
      <c r="B975" t="inlineStr">
        <is>
          <t>隔日到貨🔥 iPhone 手機殼 素色 亮面 矽膠手機殼 17 16 15 14 13 12 11 保護殼 軟殼 蘋果</t>
        </is>
      </c>
      <c r="C975">
        <f>IMAGE("https://cf.shopee.tw/file/tw-11134207-7r98x-lvojne0lxyoncb_tn")</f>
        <v/>
      </c>
      <c r="D975" t="inlineStr">
        <is>
          <t>水藍,16 pro</t>
        </is>
      </c>
      <c r="E975" t="inlineStr">
        <is>
          <t>256816745753</t>
        </is>
      </c>
      <c r="F975">
        <f>IMAGE("https://cf.shopee.tw/file/tw-11134207-7r98p-lvojne2jxx3m7c_tn")</f>
        <v/>
      </c>
    </row>
    <row r="976">
      <c r="A976" t="inlineStr">
        <is>
          <t>26950858066</t>
        </is>
      </c>
      <c r="B976" t="inlineStr">
        <is>
          <t>隔日到貨🔥 iPhone 手機殼 素色 亮面 矽膠手機殼 17 16 15 14 13 12 11 保護殼 軟殼 蘋果</t>
        </is>
      </c>
      <c r="C976">
        <f>IMAGE("https://cf.shopee.tw/file/tw-11134207-7r98x-lvojne0lxyoncb_tn")</f>
        <v/>
      </c>
      <c r="D976" t="inlineStr">
        <is>
          <t>水藍,16 pro Max</t>
        </is>
      </c>
      <c r="E976" t="inlineStr">
        <is>
          <t>256816745754</t>
        </is>
      </c>
      <c r="F976">
        <f>IMAGE("https://cf.shopee.tw/file/tw-11134207-7r98p-lvojne2jxx3m7c_tn")</f>
        <v/>
      </c>
    </row>
    <row r="977">
      <c r="A977" t="inlineStr">
        <is>
          <t>26950858066</t>
        </is>
      </c>
      <c r="B977" t="inlineStr">
        <is>
          <t>隔日到貨🔥 iPhone 手機殼 素色 亮面 矽膠手機殼 17 16 15 14 13 12 11 保護殼 軟殼 蘋果</t>
        </is>
      </c>
      <c r="C977">
        <f>IMAGE("https://cf.shopee.tw/file/tw-11134207-7r98x-lvojne0lxyoncb_tn")</f>
        <v/>
      </c>
      <c r="D977" t="inlineStr">
        <is>
          <t>水藍,16 Plus</t>
        </is>
      </c>
      <c r="E977" t="inlineStr">
        <is>
          <t>256816745755</t>
        </is>
      </c>
      <c r="F977">
        <f>IMAGE("https://cf.shopee.tw/file/tw-11134207-7r98p-lvojne2jxx3m7c_tn")</f>
        <v/>
      </c>
    </row>
    <row r="978">
      <c r="A978" t="inlineStr">
        <is>
          <t>26950858066</t>
        </is>
      </c>
      <c r="B978" t="inlineStr">
        <is>
          <t>隔日到貨🔥 iPhone 手機殼 素色 亮面 矽膠手機殼 17 16 15 14 13 12 11 保護殼 軟殼 蘋果</t>
        </is>
      </c>
      <c r="C978">
        <f>IMAGE("https://cf.shopee.tw/file/tw-11134207-7r98x-lvojne0lxyoncb_tn")</f>
        <v/>
      </c>
      <c r="D978" t="inlineStr">
        <is>
          <t>水藍,17</t>
        </is>
      </c>
      <c r="E978" t="inlineStr">
        <is>
          <t>286980616755</t>
        </is>
      </c>
      <c r="F978">
        <f>IMAGE("https://cf.shopee.tw/file/tw-11134207-7r98p-lvojne2jxx3m7c_tn")</f>
        <v/>
      </c>
    </row>
    <row r="979">
      <c r="A979" t="inlineStr">
        <is>
          <t>26950858066</t>
        </is>
      </c>
      <c r="B979" t="inlineStr">
        <is>
          <t>隔日到貨🔥 iPhone 手機殼 素色 亮面 矽膠手機殼 17 16 15 14 13 12 11 保護殼 軟殼 蘋果</t>
        </is>
      </c>
      <c r="C979">
        <f>IMAGE("https://cf.shopee.tw/file/tw-11134207-7r98x-lvojne0lxyoncb_tn")</f>
        <v/>
      </c>
      <c r="D979" t="inlineStr">
        <is>
          <t>蜜粉,11</t>
        </is>
      </c>
      <c r="E979" t="inlineStr">
        <is>
          <t>226368447105</t>
        </is>
      </c>
      <c r="F979">
        <f>IMAGE("https://cf.shopee.tw/file/tw-11134207-7r98o-lvojne3dwp8y57_tn")</f>
        <v/>
      </c>
    </row>
    <row r="980">
      <c r="A980" t="inlineStr">
        <is>
          <t>26950858066</t>
        </is>
      </c>
      <c r="B980" t="inlineStr">
        <is>
          <t>隔日到貨🔥 iPhone 手機殼 素色 亮面 矽膠手機殼 17 16 15 14 13 12 11 保護殼 軟殼 蘋果</t>
        </is>
      </c>
      <c r="C980">
        <f>IMAGE("https://cf.shopee.tw/file/tw-11134207-7r98x-lvojne0lxyoncb_tn")</f>
        <v/>
      </c>
      <c r="D980" t="inlineStr">
        <is>
          <t>蜜粉,11 pro Max</t>
        </is>
      </c>
      <c r="E980" t="inlineStr">
        <is>
          <t>226368447106</t>
        </is>
      </c>
      <c r="F980">
        <f>IMAGE("https://cf.shopee.tw/file/tw-11134207-7r98o-lvojne3dwp8y57_tn")</f>
        <v/>
      </c>
    </row>
    <row r="981">
      <c r="A981" t="inlineStr">
        <is>
          <t>26950858066</t>
        </is>
      </c>
      <c r="B981" t="inlineStr">
        <is>
          <t>隔日到貨🔥 iPhone 手機殼 素色 亮面 矽膠手機殼 17 16 15 14 13 12 11 保護殼 軟殼 蘋果</t>
        </is>
      </c>
      <c r="C981">
        <f>IMAGE("https://cf.shopee.tw/file/tw-11134207-7r98x-lvojne0lxyoncb_tn")</f>
        <v/>
      </c>
      <c r="D981" t="inlineStr">
        <is>
          <t>蜜粉,12</t>
        </is>
      </c>
      <c r="E981" t="inlineStr">
        <is>
          <t>226368447107</t>
        </is>
      </c>
      <c r="F981">
        <f>IMAGE("https://cf.shopee.tw/file/tw-11134207-7r98o-lvojne3dwp8y57_tn")</f>
        <v/>
      </c>
    </row>
    <row r="982">
      <c r="A982" t="inlineStr">
        <is>
          <t>26950858066</t>
        </is>
      </c>
      <c r="B982" t="inlineStr">
        <is>
          <t>隔日到貨🔥 iPhone 手機殼 素色 亮面 矽膠手機殼 17 16 15 14 13 12 11 保護殼 軟殼 蘋果</t>
        </is>
      </c>
      <c r="C982">
        <f>IMAGE("https://cf.shopee.tw/file/tw-11134207-7r98x-lvojne0lxyoncb_tn")</f>
        <v/>
      </c>
      <c r="D982" t="inlineStr">
        <is>
          <t>蜜粉,12 pro</t>
        </is>
      </c>
      <c r="E982" t="inlineStr">
        <is>
          <t>226368447108</t>
        </is>
      </c>
      <c r="F982">
        <f>IMAGE("https://cf.shopee.tw/file/tw-11134207-7r98o-lvojne3dwp8y57_tn")</f>
        <v/>
      </c>
    </row>
    <row r="983">
      <c r="A983" t="inlineStr">
        <is>
          <t>26950858066</t>
        </is>
      </c>
      <c r="B983" t="inlineStr">
        <is>
          <t>隔日到貨🔥 iPhone 手機殼 素色 亮面 矽膠手機殼 17 16 15 14 13 12 11 保護殼 軟殼 蘋果</t>
        </is>
      </c>
      <c r="C983">
        <f>IMAGE("https://cf.shopee.tw/file/tw-11134207-7r98x-lvojne0lxyoncb_tn")</f>
        <v/>
      </c>
      <c r="D983" t="inlineStr">
        <is>
          <t>蜜粉,13</t>
        </is>
      </c>
      <c r="E983" t="inlineStr">
        <is>
          <t>226368447110</t>
        </is>
      </c>
      <c r="F983">
        <f>IMAGE("https://cf.shopee.tw/file/tw-11134207-7r98o-lvojne3dwp8y57_tn")</f>
        <v/>
      </c>
    </row>
    <row r="984">
      <c r="A984" t="inlineStr">
        <is>
          <t>26950858066</t>
        </is>
      </c>
      <c r="B984" t="inlineStr">
        <is>
          <t>隔日到貨🔥 iPhone 手機殼 素色 亮面 矽膠手機殼 17 16 15 14 13 12 11 保護殼 軟殼 蘋果</t>
        </is>
      </c>
      <c r="C984">
        <f>IMAGE("https://cf.shopee.tw/file/tw-11134207-7r98x-lvojne0lxyoncb_tn")</f>
        <v/>
      </c>
      <c r="D984" t="inlineStr">
        <is>
          <t>蜜粉,13 pro</t>
        </is>
      </c>
      <c r="E984" t="inlineStr">
        <is>
          <t>226368447111</t>
        </is>
      </c>
      <c r="F984">
        <f>IMAGE("https://cf.shopee.tw/file/tw-11134207-7r98o-lvojne3dwp8y57_tn")</f>
        <v/>
      </c>
    </row>
    <row r="985">
      <c r="A985" t="inlineStr">
        <is>
          <t>26950858066</t>
        </is>
      </c>
      <c r="B985" t="inlineStr">
        <is>
          <t>隔日到貨🔥 iPhone 手機殼 素色 亮面 矽膠手機殼 17 16 15 14 13 12 11 保護殼 軟殼 蘋果</t>
        </is>
      </c>
      <c r="C985">
        <f>IMAGE("https://cf.shopee.tw/file/tw-11134207-7r98x-lvojne0lxyoncb_tn")</f>
        <v/>
      </c>
      <c r="D985" t="inlineStr">
        <is>
          <t>蜜粉,13 pro Max</t>
        </is>
      </c>
      <c r="E985" t="inlineStr">
        <is>
          <t>226368447112</t>
        </is>
      </c>
      <c r="F985">
        <f>IMAGE("https://cf.shopee.tw/file/tw-11134207-7r98o-lvojne3dwp8y57_tn")</f>
        <v/>
      </c>
    </row>
    <row r="986">
      <c r="A986" t="inlineStr">
        <is>
          <t>26950858066</t>
        </is>
      </c>
      <c r="B986" t="inlineStr">
        <is>
          <t>隔日到貨🔥 iPhone 手機殼 素色 亮面 矽膠手機殼 17 16 15 14 13 12 11 保護殼 軟殼 蘋果</t>
        </is>
      </c>
      <c r="C986">
        <f>IMAGE("https://cf.shopee.tw/file/tw-11134207-7r98x-lvojne0lxyoncb_tn")</f>
        <v/>
      </c>
      <c r="D986" t="inlineStr">
        <is>
          <t>蜜粉,14</t>
        </is>
      </c>
      <c r="E986" t="inlineStr">
        <is>
          <t>226368447113</t>
        </is>
      </c>
      <c r="F986">
        <f>IMAGE("https://cf.shopee.tw/file/tw-11134207-7r98o-lvojne3dwp8y57_tn")</f>
        <v/>
      </c>
    </row>
    <row r="987">
      <c r="A987" t="inlineStr">
        <is>
          <t>26950858066</t>
        </is>
      </c>
      <c r="B987" t="inlineStr">
        <is>
          <t>隔日到貨🔥 iPhone 手機殼 素色 亮面 矽膠手機殼 17 16 15 14 13 12 11 保護殼 軟殼 蘋果</t>
        </is>
      </c>
      <c r="C987">
        <f>IMAGE("https://cf.shopee.tw/file/tw-11134207-7r98x-lvojne0lxyoncb_tn")</f>
        <v/>
      </c>
      <c r="D987" t="inlineStr">
        <is>
          <t>蜜粉,14 pro</t>
        </is>
      </c>
      <c r="E987" t="inlineStr">
        <is>
          <t>226368447114</t>
        </is>
      </c>
      <c r="F987">
        <f>IMAGE("https://cf.shopee.tw/file/tw-11134207-7r98o-lvojne3dwp8y57_tn")</f>
        <v/>
      </c>
    </row>
    <row r="988">
      <c r="A988" t="inlineStr">
        <is>
          <t>26950858066</t>
        </is>
      </c>
      <c r="B988" t="inlineStr">
        <is>
          <t>隔日到貨🔥 iPhone 手機殼 素色 亮面 矽膠手機殼 17 16 15 14 13 12 11 保護殼 軟殼 蘋果</t>
        </is>
      </c>
      <c r="C988">
        <f>IMAGE("https://cf.shopee.tw/file/tw-11134207-7r98x-lvojne0lxyoncb_tn")</f>
        <v/>
      </c>
      <c r="D988" t="inlineStr">
        <is>
          <t>蜜粉,14 pro Max</t>
        </is>
      </c>
      <c r="E988" t="inlineStr"/>
      <c r="F988">
        <f>IMAGE("https://cf.shopee.tw/file/tw-11134207-7r98o-lvojne3dwp8y57_tn")</f>
        <v/>
      </c>
    </row>
    <row r="989">
      <c r="A989" t="inlineStr">
        <is>
          <t>26950858066</t>
        </is>
      </c>
      <c r="B989" t="inlineStr">
        <is>
          <t>隔日到貨🔥 iPhone 手機殼 素色 亮面 矽膠手機殼 17 16 15 14 13 12 11 保護殼 軟殼 蘋果</t>
        </is>
      </c>
      <c r="C989">
        <f>IMAGE("https://cf.shopee.tw/file/tw-11134207-7r98x-lvojne0lxyoncb_tn")</f>
        <v/>
      </c>
      <c r="D989" t="inlineStr">
        <is>
          <t>蜜粉,14 Plus</t>
        </is>
      </c>
      <c r="E989" t="inlineStr">
        <is>
          <t>226368447116</t>
        </is>
      </c>
      <c r="F989">
        <f>IMAGE("https://cf.shopee.tw/file/tw-11134207-7r98o-lvojne3dwp8y57_tn")</f>
        <v/>
      </c>
    </row>
    <row r="990">
      <c r="A990" t="inlineStr">
        <is>
          <t>26950858066</t>
        </is>
      </c>
      <c r="B990" t="inlineStr">
        <is>
          <t>隔日到貨🔥 iPhone 手機殼 素色 亮面 矽膠手機殼 17 16 15 14 13 12 11 保護殼 軟殼 蘋果</t>
        </is>
      </c>
      <c r="C990">
        <f>IMAGE("https://cf.shopee.tw/file/tw-11134207-7r98x-lvojne0lxyoncb_tn")</f>
        <v/>
      </c>
      <c r="D990" t="inlineStr">
        <is>
          <t>蜜粉,15</t>
        </is>
      </c>
      <c r="E990" t="inlineStr">
        <is>
          <t>226368447117</t>
        </is>
      </c>
      <c r="F990">
        <f>IMAGE("https://cf.shopee.tw/file/tw-11134207-7r98o-lvojne3dwp8y57_tn")</f>
        <v/>
      </c>
    </row>
    <row r="991">
      <c r="A991" t="inlineStr">
        <is>
          <t>26950858066</t>
        </is>
      </c>
      <c r="B991" t="inlineStr">
        <is>
          <t>隔日到貨🔥 iPhone 手機殼 素色 亮面 矽膠手機殼 17 16 15 14 13 12 11 保護殼 軟殼 蘋果</t>
        </is>
      </c>
      <c r="C991">
        <f>IMAGE("https://cf.shopee.tw/file/tw-11134207-7r98x-lvojne0lxyoncb_tn")</f>
        <v/>
      </c>
      <c r="D991" t="inlineStr">
        <is>
          <t>蜜粉,15 pro</t>
        </is>
      </c>
      <c r="E991" t="inlineStr">
        <is>
          <t>226368447118</t>
        </is>
      </c>
      <c r="F991">
        <f>IMAGE("https://cf.shopee.tw/file/tw-11134207-7r98o-lvojne3dwp8y57_tn")</f>
        <v/>
      </c>
    </row>
    <row r="992">
      <c r="A992" t="inlineStr">
        <is>
          <t>26950858066</t>
        </is>
      </c>
      <c r="B992" t="inlineStr">
        <is>
          <t>隔日到貨🔥 iPhone 手機殼 素色 亮面 矽膠手機殼 17 16 15 14 13 12 11 保護殼 軟殼 蘋果</t>
        </is>
      </c>
      <c r="C992">
        <f>IMAGE("https://cf.shopee.tw/file/tw-11134207-7r98x-lvojne0lxyoncb_tn")</f>
        <v/>
      </c>
      <c r="D992" t="inlineStr">
        <is>
          <t>蜜粉,15 pro Max</t>
        </is>
      </c>
      <c r="E992" t="inlineStr">
        <is>
          <t>226368447119</t>
        </is>
      </c>
      <c r="F992">
        <f>IMAGE("https://cf.shopee.tw/file/tw-11134207-7r98o-lvojne3dwp8y57_tn")</f>
        <v/>
      </c>
    </row>
    <row r="993">
      <c r="A993" t="inlineStr">
        <is>
          <t>26950858066</t>
        </is>
      </c>
      <c r="B993" t="inlineStr">
        <is>
          <t>隔日到貨🔥 iPhone 手機殼 素色 亮面 矽膠手機殼 17 16 15 14 13 12 11 保護殼 軟殼 蘋果</t>
        </is>
      </c>
      <c r="C993">
        <f>IMAGE("https://cf.shopee.tw/file/tw-11134207-7r98x-lvojne0lxyoncb_tn")</f>
        <v/>
      </c>
      <c r="D993" t="inlineStr">
        <is>
          <t>蜜粉,15 Plus</t>
        </is>
      </c>
      <c r="E993" t="inlineStr"/>
      <c r="F993">
        <f>IMAGE("https://cf.shopee.tw/file/tw-11134207-7r98o-lvojne3dwp8y57_tn")</f>
        <v/>
      </c>
    </row>
    <row r="994">
      <c r="A994" t="inlineStr">
        <is>
          <t>26950858066</t>
        </is>
      </c>
      <c r="B994" t="inlineStr">
        <is>
          <t>隔日到貨🔥 iPhone 手機殼 素色 亮面 矽膠手機殼 17 16 15 14 13 12 11 保護殼 軟殼 蘋果</t>
        </is>
      </c>
      <c r="C994">
        <f>IMAGE("https://cf.shopee.tw/file/tw-11134207-7r98x-lvojne0lxyoncb_tn")</f>
        <v/>
      </c>
      <c r="D994" t="inlineStr">
        <is>
          <t>蜜粉,16</t>
        </is>
      </c>
      <c r="E994" t="inlineStr">
        <is>
          <t>256816745756</t>
        </is>
      </c>
      <c r="F994">
        <f>IMAGE("https://cf.shopee.tw/file/tw-11134207-7r98o-lvojne3dwp8y57_tn")</f>
        <v/>
      </c>
    </row>
    <row r="995">
      <c r="A995" t="inlineStr">
        <is>
          <t>26950858066</t>
        </is>
      </c>
      <c r="B995" t="inlineStr">
        <is>
          <t>隔日到貨🔥 iPhone 手機殼 素色 亮面 矽膠手機殼 17 16 15 14 13 12 11 保護殼 軟殼 蘋果</t>
        </is>
      </c>
      <c r="C995">
        <f>IMAGE("https://cf.shopee.tw/file/tw-11134207-7r98x-lvojne0lxyoncb_tn")</f>
        <v/>
      </c>
      <c r="D995" t="inlineStr">
        <is>
          <t>蜜粉,16 pro</t>
        </is>
      </c>
      <c r="E995" t="inlineStr">
        <is>
          <t>256816745757</t>
        </is>
      </c>
      <c r="F995">
        <f>IMAGE("https://cf.shopee.tw/file/tw-11134207-7r98o-lvojne3dwp8y57_tn")</f>
        <v/>
      </c>
    </row>
    <row r="996">
      <c r="A996" t="inlineStr">
        <is>
          <t>26950858066</t>
        </is>
      </c>
      <c r="B996" t="inlineStr">
        <is>
          <t>隔日到貨🔥 iPhone 手機殼 素色 亮面 矽膠手機殼 17 16 15 14 13 12 11 保護殼 軟殼 蘋果</t>
        </is>
      </c>
      <c r="C996">
        <f>IMAGE("https://cf.shopee.tw/file/tw-11134207-7r98x-lvojne0lxyoncb_tn")</f>
        <v/>
      </c>
      <c r="D996" t="inlineStr">
        <is>
          <t>蜜粉,16 pro Max</t>
        </is>
      </c>
      <c r="E996" t="inlineStr">
        <is>
          <t>256816745758</t>
        </is>
      </c>
      <c r="F996">
        <f>IMAGE("https://cf.shopee.tw/file/tw-11134207-7r98o-lvojne3dwp8y57_tn")</f>
        <v/>
      </c>
    </row>
    <row r="997">
      <c r="A997" t="inlineStr">
        <is>
          <t>26950858066</t>
        </is>
      </c>
      <c r="B997" t="inlineStr">
        <is>
          <t>隔日到貨🔥 iPhone 手機殼 素色 亮面 矽膠手機殼 17 16 15 14 13 12 11 保護殼 軟殼 蘋果</t>
        </is>
      </c>
      <c r="C997">
        <f>IMAGE("https://cf.shopee.tw/file/tw-11134207-7r98x-lvojne0lxyoncb_tn")</f>
        <v/>
      </c>
      <c r="D997" t="inlineStr">
        <is>
          <t>蜜粉,16 Plus</t>
        </is>
      </c>
      <c r="E997" t="inlineStr">
        <is>
          <t>256816745759</t>
        </is>
      </c>
      <c r="F997">
        <f>IMAGE("https://cf.shopee.tw/file/tw-11134207-7r98o-lvojne3dwp8y57_tn")</f>
        <v/>
      </c>
    </row>
    <row r="998">
      <c r="A998" t="inlineStr">
        <is>
          <t>26950858066</t>
        </is>
      </c>
      <c r="B998" t="inlineStr">
        <is>
          <t>隔日到貨🔥 iPhone 手機殼 素色 亮面 矽膠手機殼 17 16 15 14 13 12 11 保護殼 軟殼 蘋果</t>
        </is>
      </c>
      <c r="C998">
        <f>IMAGE("https://cf.shopee.tw/file/tw-11134207-7r98x-lvojne0lxyoncb_tn")</f>
        <v/>
      </c>
      <c r="D998" t="inlineStr">
        <is>
          <t>蜜粉,17</t>
        </is>
      </c>
      <c r="E998" t="inlineStr">
        <is>
          <t>286980616756</t>
        </is>
      </c>
      <c r="F998">
        <f>IMAGE("https://cf.shopee.tw/file/tw-11134207-7r98o-lvojne3dwp8y57_tn")</f>
        <v/>
      </c>
    </row>
    <row r="999">
      <c r="A999" t="inlineStr">
        <is>
          <t>24762192066</t>
        </is>
      </c>
      <c r="B999" t="inlineStr">
        <is>
          <t>隔日到貨🔥 創意手掌磁吸理線器 磁鐵掛繩 充電線 耳機 集線器 捲線器 整線器 收線器 固線器 理線器</t>
        </is>
      </c>
      <c r="C999">
        <f>IMAGE("https://cf.shopee.tw/file/tw-11134207-7r98w-lrajy2cfr28828_tn")</f>
        <v/>
      </c>
      <c r="D999" t="inlineStr">
        <is>
          <t>黑色</t>
        </is>
      </c>
      <c r="E999" t="inlineStr">
        <is>
          <t>168059284866</t>
        </is>
      </c>
      <c r="F999">
        <f>IMAGE("https://cf.shopee.tw/file/tw-11134207-7r98y-lraio1pe1knmaf_tn")</f>
        <v/>
      </c>
    </row>
    <row r="1000">
      <c r="A1000" t="inlineStr">
        <is>
          <t>24762192066</t>
        </is>
      </c>
      <c r="B1000" t="inlineStr">
        <is>
          <t>隔日到貨🔥 創意手掌磁吸理線器 磁鐵掛繩 充電線 耳機 集線器 捲線器 整線器 收線器 固線器 理線器</t>
        </is>
      </c>
      <c r="C1000">
        <f>IMAGE("https://cf.shopee.tw/file/tw-11134207-7r98w-lrajy2cfr28828_tn")</f>
        <v/>
      </c>
      <c r="D1000" t="inlineStr">
        <is>
          <t>白色</t>
        </is>
      </c>
      <c r="E1000" t="inlineStr">
        <is>
          <t>168059284867</t>
        </is>
      </c>
      <c r="F1000">
        <f>IMAGE("https://cf.shopee.tw/file/tw-11134207-7r98q-lraio1peh0wia8_tn")</f>
        <v/>
      </c>
    </row>
    <row r="1001">
      <c r="A1001" t="inlineStr">
        <is>
          <t>24762192066</t>
        </is>
      </c>
      <c r="B1001" t="inlineStr">
        <is>
          <t>隔日到貨🔥 創意手掌磁吸理線器 磁鐵掛繩 充電線 耳機 集線器 捲線器 整線器 收線器 固線器 理線器</t>
        </is>
      </c>
      <c r="C1001">
        <f>IMAGE("https://cf.shopee.tw/file/tw-11134207-7r98w-lrajy2cfr28828_tn")</f>
        <v/>
      </c>
      <c r="D1001" t="inlineStr">
        <is>
          <t>黃色</t>
        </is>
      </c>
      <c r="E1001" t="inlineStr">
        <is>
          <t>168059284868</t>
        </is>
      </c>
      <c r="F1001">
        <f>IMAGE("https://cf.shopee.tw/file/tw-11134207-7r98w-lraio1pe1l3c66_tn")</f>
        <v/>
      </c>
    </row>
    <row r="1002">
      <c r="A1002" t="inlineStr">
        <is>
          <t>24762192066</t>
        </is>
      </c>
      <c r="B1002" t="inlineStr">
        <is>
          <t>隔日到貨🔥 創意手掌磁吸理線器 磁鐵掛繩 充電線 耳機 集線器 捲線器 整線器 收線器 固線器 理線器</t>
        </is>
      </c>
      <c r="C1002">
        <f>IMAGE("https://cf.shopee.tw/file/tw-11134207-7r98w-lrajy2cfr28828_tn")</f>
        <v/>
      </c>
      <c r="D1002" t="inlineStr">
        <is>
          <t>藍色</t>
        </is>
      </c>
      <c r="E1002" t="inlineStr">
        <is>
          <t>168059284869</t>
        </is>
      </c>
      <c r="F1002">
        <f>IMAGE("https://cf.shopee.tw/file/tw-11134207-7r991-lraio1peh1c8d8_tn")</f>
        <v/>
      </c>
    </row>
    <row r="1003">
      <c r="A1003" t="inlineStr">
        <is>
          <t>24762192066</t>
        </is>
      </c>
      <c r="B1003" t="inlineStr">
        <is>
          <t>隔日到貨🔥 創意手掌磁吸理線器 磁鐵掛繩 充電線 耳機 集線器 捲線器 整線器 收線器 固線器 理線器</t>
        </is>
      </c>
      <c r="C1003">
        <f>IMAGE("https://cf.shopee.tw/file/tw-11134207-7r98w-lrajy2cfr28828_tn")</f>
        <v/>
      </c>
      <c r="D1003" t="inlineStr">
        <is>
          <t>灰色</t>
        </is>
      </c>
      <c r="E1003" t="inlineStr">
        <is>
          <t>168059284870</t>
        </is>
      </c>
      <c r="F1003">
        <f>IMAGE("https://cf.shopee.tw/file/tw-11134207-7r98z-lraiqvi519024e_tn")</f>
        <v/>
      </c>
    </row>
    <row r="1004">
      <c r="A1004" t="inlineStr">
        <is>
          <t>24762192066</t>
        </is>
      </c>
      <c r="B1004" t="inlineStr">
        <is>
          <t>隔日到貨🔥 創意手掌磁吸理線器 磁鐵掛繩 充電線 耳機 集線器 捲線器 整線器 收線器 固線器 理線器</t>
        </is>
      </c>
      <c r="C1004">
        <f>IMAGE("https://cf.shopee.tw/file/tw-11134207-7r98w-lrajy2cfr28828_tn")</f>
        <v/>
      </c>
      <c r="D1004" t="inlineStr">
        <is>
          <t>綠色</t>
        </is>
      </c>
      <c r="E1004" t="inlineStr">
        <is>
          <t>168059284890</t>
        </is>
      </c>
      <c r="F1004">
        <f>IMAGE("https://cf.shopee.tw/file/tw-11134207-7r98r-lraio1pewh5e9c_tn")</f>
        <v/>
      </c>
    </row>
    <row r="1005">
      <c r="A1005" t="inlineStr">
        <is>
          <t>24762192066</t>
        </is>
      </c>
      <c r="B1005" t="inlineStr">
        <is>
          <t>隔日到貨🔥 創意手掌磁吸理線器 磁鐵掛繩 充電線 耳機 集線器 捲線器 整線器 收線器 固線器 理線器</t>
        </is>
      </c>
      <c r="C1005">
        <f>IMAGE("https://cf.shopee.tw/file/tw-11134207-7r98w-lrajy2cfr28828_tn")</f>
        <v/>
      </c>
      <c r="D1005" t="inlineStr">
        <is>
          <t>紅色</t>
        </is>
      </c>
      <c r="E1005" t="inlineStr">
        <is>
          <t>168059284891</t>
        </is>
      </c>
      <c r="F1005">
        <f>IMAGE("https://cf.shopee.tw/file/tw-11134207-7r98x-lraiqvi52nki33_tn")</f>
        <v/>
      </c>
    </row>
    <row r="1006">
      <c r="A1006" t="inlineStr">
        <is>
          <t>24762192066</t>
        </is>
      </c>
      <c r="B1006" t="inlineStr">
        <is>
          <t>隔日到貨🔥 創意手掌磁吸理線器 磁鐵掛繩 充電線 耳機 集線器 捲線器 整線器 收線器 固線器 理線器</t>
        </is>
      </c>
      <c r="C1006">
        <f>IMAGE("https://cf.shopee.tw/file/tw-11134207-7r98w-lrajy2cfr28828_tn")</f>
        <v/>
      </c>
      <c r="D1006" t="inlineStr">
        <is>
          <t>橙色</t>
        </is>
      </c>
      <c r="E1006" t="inlineStr">
        <is>
          <t>168059284892</t>
        </is>
      </c>
      <c r="F1006">
        <f>IMAGE("https://cf.shopee.tw/file/tw-11134207-7r98w-lrair1n0222wdf_tn")</f>
        <v/>
      </c>
    </row>
    <row r="1007">
      <c r="A1007" t="inlineStr">
        <is>
          <t>24762192066</t>
        </is>
      </c>
      <c r="B1007" t="inlineStr">
        <is>
          <t>隔日到貨🔥 創意手掌磁吸理線器 磁鐵掛繩 充電線 耳機 集線器 捲線器 整線器 收線器 固線器 理線器</t>
        </is>
      </c>
      <c r="C1007">
        <f>IMAGE("https://cf.shopee.tw/file/tw-11134207-7r98w-lrajy2cfr28828_tn")</f>
        <v/>
      </c>
      <c r="D1007" t="inlineStr">
        <is>
          <t>粉色</t>
        </is>
      </c>
      <c r="E1007" t="inlineStr">
        <is>
          <t>168059284893</t>
        </is>
      </c>
      <c r="F1007">
        <f>IMAGE("https://cf.shopee.tw/file/tw-11134207-7r990-lrair1n03gnc6a_tn")</f>
        <v/>
      </c>
    </row>
    <row r="1008">
      <c r="A1008" t="inlineStr">
        <is>
          <t>24762192066</t>
        </is>
      </c>
      <c r="B1008" t="inlineStr">
        <is>
          <t>隔日到貨🔥 創意手掌磁吸理線器 磁鐵掛繩 充電線 耳機 集線器 捲線器 整線器 收線器 固線器 理線器</t>
        </is>
      </c>
      <c r="C1008">
        <f>IMAGE("https://cf.shopee.tw/file/tw-11134207-7r98w-lrajy2cfr28828_tn")</f>
        <v/>
      </c>
      <c r="D1008" t="inlineStr">
        <is>
          <t>紫色</t>
        </is>
      </c>
      <c r="E1008" t="inlineStr">
        <is>
          <t>168059284894</t>
        </is>
      </c>
      <c r="F1008">
        <f>IMAGE("https://cf.shopee.tw/file/tw-11134207-7r98v-lrair7ans0k2d3_tn")</f>
        <v/>
      </c>
    </row>
    <row r="1009">
      <c r="A1009" t="inlineStr">
        <is>
          <t>20596592810</t>
        </is>
      </c>
      <c r="B1009" t="inlineStr">
        <is>
          <t>隔日到貨🔥 iPhone 手機殼 17 16 15 14 pro 13 12 11 XS XR X 保護殼 軟殼 蘋果</t>
        </is>
      </c>
      <c r="C1009">
        <f>IMAGE("https://cf.shopee.tw/file/tw-11134207-7r98y-lz3fv7bpgx7i95_tn")</f>
        <v/>
      </c>
      <c r="D1009" t="inlineStr">
        <is>
          <t>鏡面貓咪(單殼),X / XS</t>
        </is>
      </c>
      <c r="E1009" t="inlineStr">
        <is>
          <t>256402298943</t>
        </is>
      </c>
      <c r="F1009">
        <f>IMAGE("https://cf.shopee.tw/file/tw-11134207-7r991-lz3fv7bpibry74_tn")</f>
        <v/>
      </c>
    </row>
    <row r="1010">
      <c r="A1010" t="inlineStr">
        <is>
          <t>20596592810</t>
        </is>
      </c>
      <c r="B1010" t="inlineStr">
        <is>
          <t>隔日到貨🔥 iPhone 手機殼 17 16 15 14 pro 13 12 11 XS XR X 保護殼 軟殼 蘋果</t>
        </is>
      </c>
      <c r="C1010">
        <f>IMAGE("https://cf.shopee.tw/file/tw-11134207-7r98y-lz3fv7bpgx7i95_tn")</f>
        <v/>
      </c>
      <c r="D1010" t="inlineStr">
        <is>
          <t>鏡面貓咪(單殼),XR</t>
        </is>
      </c>
      <c r="E1010" t="inlineStr">
        <is>
          <t>256402298944</t>
        </is>
      </c>
      <c r="F1010">
        <f>IMAGE("https://cf.shopee.tw/file/tw-11134207-7r991-lz3fv7bpibry74_tn")</f>
        <v/>
      </c>
    </row>
    <row r="1011">
      <c r="A1011" t="inlineStr">
        <is>
          <t>20596592810</t>
        </is>
      </c>
      <c r="B1011" t="inlineStr">
        <is>
          <t>隔日到貨🔥 iPhone 手機殼 17 16 15 14 pro 13 12 11 XS XR X 保護殼 軟殼 蘋果</t>
        </is>
      </c>
      <c r="C1011">
        <f>IMAGE("https://cf.shopee.tw/file/tw-11134207-7r98y-lz3fv7bpgx7i95_tn")</f>
        <v/>
      </c>
      <c r="D1011" t="inlineStr">
        <is>
          <t>鏡面貓咪(單殼),XS Max</t>
        </is>
      </c>
      <c r="E1011" t="inlineStr">
        <is>
          <t>256402298945</t>
        </is>
      </c>
      <c r="F1011">
        <f>IMAGE("https://cf.shopee.tw/file/tw-11134207-7r991-lz3fv7bpibry74_tn")</f>
        <v/>
      </c>
    </row>
    <row r="1012">
      <c r="A1012" t="inlineStr">
        <is>
          <t>20596592810</t>
        </is>
      </c>
      <c r="B1012" t="inlineStr">
        <is>
          <t>隔日到貨🔥 iPhone 手機殼 17 16 15 14 pro 13 12 11 XS XR X 保護殼 軟殼 蘋果</t>
        </is>
      </c>
      <c r="C1012">
        <f>IMAGE("https://cf.shopee.tw/file/tw-11134207-7r98y-lz3fv7bpgx7i95_tn")</f>
        <v/>
      </c>
      <c r="D1012" t="inlineStr">
        <is>
          <t>鏡面貓咪(單殼),11</t>
        </is>
      </c>
      <c r="E1012" t="inlineStr">
        <is>
          <t>256402298946</t>
        </is>
      </c>
      <c r="F1012">
        <f>IMAGE("https://cf.shopee.tw/file/tw-11134207-7r991-lz3fv7bpibry74_tn")</f>
        <v/>
      </c>
    </row>
    <row r="1013">
      <c r="A1013" t="inlineStr">
        <is>
          <t>20596592810</t>
        </is>
      </c>
      <c r="B1013" t="inlineStr">
        <is>
          <t>隔日到貨🔥 iPhone 手機殼 17 16 15 14 pro 13 12 11 XS XR X 保護殼 軟殼 蘋果</t>
        </is>
      </c>
      <c r="C1013">
        <f>IMAGE("https://cf.shopee.tw/file/tw-11134207-7r98y-lz3fv7bpgx7i95_tn")</f>
        <v/>
      </c>
      <c r="D1013" t="inlineStr">
        <is>
          <t>鏡面貓咪(單殼),11 pro max</t>
        </is>
      </c>
      <c r="E1013" t="inlineStr">
        <is>
          <t>256402298947</t>
        </is>
      </c>
      <c r="F1013">
        <f>IMAGE("https://cf.shopee.tw/file/tw-11134207-7r991-lz3fv7bpibry74_tn")</f>
        <v/>
      </c>
    </row>
    <row r="1014">
      <c r="A1014" t="inlineStr">
        <is>
          <t>20596592810</t>
        </is>
      </c>
      <c r="B1014" t="inlineStr">
        <is>
          <t>隔日到貨🔥 iPhone 手機殼 17 16 15 14 pro 13 12 11 XS XR X 保護殼 軟殼 蘋果</t>
        </is>
      </c>
      <c r="C1014">
        <f>IMAGE("https://cf.shopee.tw/file/tw-11134207-7r98y-lz3fv7bpgx7i95_tn")</f>
        <v/>
      </c>
      <c r="D1014" t="inlineStr">
        <is>
          <t>鏡面貓咪(單殼),12 /12 pro</t>
        </is>
      </c>
      <c r="E1014" t="inlineStr"/>
      <c r="F1014">
        <f>IMAGE("https://cf.shopee.tw/file/tw-11134207-7r991-lz3fv7bpibry74_tn")</f>
        <v/>
      </c>
    </row>
    <row r="1015">
      <c r="A1015" t="inlineStr">
        <is>
          <t>20596592810</t>
        </is>
      </c>
      <c r="B1015" t="inlineStr">
        <is>
          <t>隔日到貨🔥 iPhone 手機殼 17 16 15 14 pro 13 12 11 XS XR X 保護殼 軟殼 蘋果</t>
        </is>
      </c>
      <c r="C1015">
        <f>IMAGE("https://cf.shopee.tw/file/tw-11134207-7r98y-lz3fv7bpgx7i95_tn")</f>
        <v/>
      </c>
      <c r="D1015" t="inlineStr">
        <is>
          <t>鏡面貓咪(單殼),12 pro Max</t>
        </is>
      </c>
      <c r="E1015" t="inlineStr">
        <is>
          <t>256402298949</t>
        </is>
      </c>
      <c r="F1015">
        <f>IMAGE("https://cf.shopee.tw/file/tw-11134207-7r991-lz3fv7bpibry74_tn")</f>
        <v/>
      </c>
    </row>
    <row r="1016">
      <c r="A1016" t="inlineStr">
        <is>
          <t>20596592810</t>
        </is>
      </c>
      <c r="B1016" t="inlineStr">
        <is>
          <t>隔日到貨🔥 iPhone 手機殼 17 16 15 14 pro 13 12 11 XS XR X 保護殼 軟殼 蘋果</t>
        </is>
      </c>
      <c r="C1016">
        <f>IMAGE("https://cf.shopee.tw/file/tw-11134207-7r98y-lz3fv7bpgx7i95_tn")</f>
        <v/>
      </c>
      <c r="D1016" t="inlineStr">
        <is>
          <t>鏡面貓咪(單殼),13/14</t>
        </is>
      </c>
      <c r="E1016" t="inlineStr">
        <is>
          <t>256402298950</t>
        </is>
      </c>
      <c r="F1016">
        <f>IMAGE("https://cf.shopee.tw/file/tw-11134207-7r991-lz3fv7bpibry74_tn")</f>
        <v/>
      </c>
    </row>
    <row r="1017">
      <c r="A1017" t="inlineStr">
        <is>
          <t>20596592810</t>
        </is>
      </c>
      <c r="B1017" t="inlineStr">
        <is>
          <t>隔日到貨🔥 iPhone 手機殼 17 16 15 14 pro 13 12 11 XS XR X 保護殼 軟殼 蘋果</t>
        </is>
      </c>
      <c r="C1017">
        <f>IMAGE("https://cf.shopee.tw/file/tw-11134207-7r98y-lz3fv7bpgx7i95_tn")</f>
        <v/>
      </c>
      <c r="D1017" t="inlineStr">
        <is>
          <t>鏡面貓咪(單殼),13 pro</t>
        </is>
      </c>
      <c r="E1017" t="inlineStr">
        <is>
          <t>256402298951</t>
        </is>
      </c>
      <c r="F1017">
        <f>IMAGE("https://cf.shopee.tw/file/tw-11134207-7r991-lz3fv7bpibry74_tn")</f>
        <v/>
      </c>
    </row>
    <row r="1018">
      <c r="A1018" t="inlineStr">
        <is>
          <t>20596592810</t>
        </is>
      </c>
      <c r="B1018" t="inlineStr">
        <is>
          <t>隔日到貨🔥 iPhone 手機殼 17 16 15 14 pro 13 12 11 XS XR X 保護殼 軟殼 蘋果</t>
        </is>
      </c>
      <c r="C1018">
        <f>IMAGE("https://cf.shopee.tw/file/tw-11134207-7r98y-lz3fv7bpgx7i95_tn")</f>
        <v/>
      </c>
      <c r="D1018" t="inlineStr">
        <is>
          <t>鏡面貓咪(單殼),13 pro Max</t>
        </is>
      </c>
      <c r="E1018" t="inlineStr">
        <is>
          <t>256402298952</t>
        </is>
      </c>
      <c r="F1018">
        <f>IMAGE("https://cf.shopee.tw/file/tw-11134207-7r991-lz3fv7bpibry74_tn")</f>
        <v/>
      </c>
    </row>
    <row r="1019">
      <c r="A1019" t="inlineStr">
        <is>
          <t>20596592810</t>
        </is>
      </c>
      <c r="B1019" t="inlineStr">
        <is>
          <t>隔日到貨🔥 iPhone 手機殼 17 16 15 14 pro 13 12 11 XS XR X 保護殼 軟殼 蘋果</t>
        </is>
      </c>
      <c r="C1019">
        <f>IMAGE("https://cf.shopee.tw/file/tw-11134207-7r98y-lz3fv7bpgx7i95_tn")</f>
        <v/>
      </c>
      <c r="D1019" t="inlineStr">
        <is>
          <t>鏡面貓咪(單殼),14 pro</t>
        </is>
      </c>
      <c r="E1019" t="inlineStr">
        <is>
          <t>256402298954</t>
        </is>
      </c>
      <c r="F1019">
        <f>IMAGE("https://cf.shopee.tw/file/tw-11134207-7r991-lz3fv7bpibry74_tn")</f>
        <v/>
      </c>
    </row>
    <row r="1020">
      <c r="A1020" t="inlineStr">
        <is>
          <t>20596592810</t>
        </is>
      </c>
      <c r="B1020" t="inlineStr">
        <is>
          <t>隔日到貨🔥 iPhone 手機殼 17 16 15 14 pro 13 12 11 XS XR X 保護殼 軟殼 蘋果</t>
        </is>
      </c>
      <c r="C1020">
        <f>IMAGE("https://cf.shopee.tw/file/tw-11134207-7r98y-lz3fv7bpgx7i95_tn")</f>
        <v/>
      </c>
      <c r="D1020" t="inlineStr">
        <is>
          <t>鏡面貓咪(單殼),14 Plus / 15 Plus</t>
        </is>
      </c>
      <c r="E1020" t="inlineStr">
        <is>
          <t>256402298955</t>
        </is>
      </c>
      <c r="F1020">
        <f>IMAGE("https://cf.shopee.tw/file/tw-11134207-7r991-lz3fv7bpibry74_tn")</f>
        <v/>
      </c>
    </row>
    <row r="1021">
      <c r="A1021" t="inlineStr">
        <is>
          <t>20596592810</t>
        </is>
      </c>
      <c r="B1021" t="inlineStr">
        <is>
          <t>隔日到貨🔥 iPhone 手機殼 17 16 15 14 pro 13 12 11 XS XR X 保護殼 軟殼 蘋果</t>
        </is>
      </c>
      <c r="C1021">
        <f>IMAGE("https://cf.shopee.tw/file/tw-11134207-7r98y-lz3fv7bpgx7i95_tn")</f>
        <v/>
      </c>
      <c r="D1021" t="inlineStr">
        <is>
          <t>鏡面貓咪(單殼),14 pro max</t>
        </is>
      </c>
      <c r="E1021" t="inlineStr">
        <is>
          <t>256402298956</t>
        </is>
      </c>
      <c r="F1021">
        <f>IMAGE("https://cf.shopee.tw/file/tw-11134207-7r991-lz3fv7bpibry74_tn")</f>
        <v/>
      </c>
    </row>
    <row r="1022">
      <c r="A1022" t="inlineStr">
        <is>
          <t>20596592810</t>
        </is>
      </c>
      <c r="B1022" t="inlineStr">
        <is>
          <t>隔日到貨🔥 iPhone 手機殼 17 16 15 14 pro 13 12 11 XS XR X 保護殼 軟殼 蘋果</t>
        </is>
      </c>
      <c r="C1022">
        <f>IMAGE("https://cf.shopee.tw/file/tw-11134207-7r98y-lz3fv7bpgx7i95_tn")</f>
        <v/>
      </c>
      <c r="D1022" t="inlineStr">
        <is>
          <t>鏡面貓咪(單殼),15</t>
        </is>
      </c>
      <c r="E1022" t="inlineStr">
        <is>
          <t>256402298957</t>
        </is>
      </c>
      <c r="F1022">
        <f>IMAGE("https://cf.shopee.tw/file/tw-11134207-7r991-lz3fv7bpibry74_tn")</f>
        <v/>
      </c>
    </row>
    <row r="1023">
      <c r="A1023" t="inlineStr">
        <is>
          <t>20596592810</t>
        </is>
      </c>
      <c r="B1023" t="inlineStr">
        <is>
          <t>隔日到貨🔥 iPhone 手機殼 17 16 15 14 pro 13 12 11 XS XR X 保護殼 軟殼 蘋果</t>
        </is>
      </c>
      <c r="C1023">
        <f>IMAGE("https://cf.shopee.tw/file/tw-11134207-7r98y-lz3fv7bpgx7i95_tn")</f>
        <v/>
      </c>
      <c r="D1023" t="inlineStr">
        <is>
          <t>鏡面貓咪(單殼),15 pro</t>
        </is>
      </c>
      <c r="E1023" t="inlineStr">
        <is>
          <t>256402298958</t>
        </is>
      </c>
      <c r="F1023">
        <f>IMAGE("https://cf.shopee.tw/file/tw-11134207-7r991-lz3fv7bpibry74_tn")</f>
        <v/>
      </c>
    </row>
    <row r="1024">
      <c r="A1024" t="inlineStr">
        <is>
          <t>20596592810</t>
        </is>
      </c>
      <c r="B1024" t="inlineStr">
        <is>
          <t>隔日到貨🔥 iPhone 手機殼 17 16 15 14 pro 13 12 11 XS XR X 保護殼 軟殼 蘋果</t>
        </is>
      </c>
      <c r="C1024">
        <f>IMAGE("https://cf.shopee.tw/file/tw-11134207-7r98y-lz3fv7bpgx7i95_tn")</f>
        <v/>
      </c>
      <c r="D1024" t="inlineStr">
        <is>
          <t>鏡面貓咪(單殼),15 pro Max</t>
        </is>
      </c>
      <c r="E1024" t="inlineStr">
        <is>
          <t>256402298960</t>
        </is>
      </c>
      <c r="F1024">
        <f>IMAGE("https://cf.shopee.tw/file/tw-11134207-7r991-lz3fv7bpibry74_tn")</f>
        <v/>
      </c>
    </row>
    <row r="1025">
      <c r="A1025" t="inlineStr">
        <is>
          <t>20596592810</t>
        </is>
      </c>
      <c r="B1025" t="inlineStr">
        <is>
          <t>隔日到貨🔥 iPhone 手機殼 17 16 15 14 pro 13 12 11 XS XR X 保護殼 軟殼 蘋果</t>
        </is>
      </c>
      <c r="C1025">
        <f>IMAGE("https://cf.shopee.tw/file/tw-11134207-7r98y-lz3fv7bpgx7i95_tn")</f>
        <v/>
      </c>
      <c r="D1025" t="inlineStr">
        <is>
          <t>鏡面貓咪(單殼),16</t>
        </is>
      </c>
      <c r="E1025" t="inlineStr">
        <is>
          <t>205544160602</t>
        </is>
      </c>
      <c r="F1025">
        <f>IMAGE("https://cf.shopee.tw/file/tw-11134207-7r991-lz3fv7bpibry74_tn")</f>
        <v/>
      </c>
    </row>
    <row r="1026">
      <c r="A1026" t="inlineStr">
        <is>
          <t>20596592810</t>
        </is>
      </c>
      <c r="B1026" t="inlineStr">
        <is>
          <t>隔日到貨🔥 iPhone 手機殼 17 16 15 14 pro 13 12 11 XS XR X 保護殼 軟殼 蘋果</t>
        </is>
      </c>
      <c r="C1026">
        <f>IMAGE("https://cf.shopee.tw/file/tw-11134207-7r98y-lz3fv7bpgx7i95_tn")</f>
        <v/>
      </c>
      <c r="D1026" t="inlineStr">
        <is>
          <t>鏡面貓咪(單殼),16 Pro</t>
        </is>
      </c>
      <c r="E1026" t="inlineStr">
        <is>
          <t>205544160603</t>
        </is>
      </c>
      <c r="F1026">
        <f>IMAGE("https://cf.shopee.tw/file/tw-11134207-7r991-lz3fv7bpibry74_tn")</f>
        <v/>
      </c>
    </row>
    <row r="1027">
      <c r="A1027" t="inlineStr">
        <is>
          <t>20596592810</t>
        </is>
      </c>
      <c r="B1027" t="inlineStr">
        <is>
          <t>隔日到貨🔥 iPhone 手機殼 17 16 15 14 pro 13 12 11 XS XR X 保護殼 軟殼 蘋果</t>
        </is>
      </c>
      <c r="C1027">
        <f>IMAGE("https://cf.shopee.tw/file/tw-11134207-7r98y-lz3fv7bpgx7i95_tn")</f>
        <v/>
      </c>
      <c r="D1027" t="inlineStr">
        <is>
          <t>鏡面貓咪(單殼),16 Plus</t>
        </is>
      </c>
      <c r="E1027" t="inlineStr">
        <is>
          <t>205544160604</t>
        </is>
      </c>
      <c r="F1027">
        <f>IMAGE("https://cf.shopee.tw/file/tw-11134207-7r991-lz3fv7bpibry74_tn")</f>
        <v/>
      </c>
    </row>
    <row r="1028">
      <c r="A1028" t="inlineStr">
        <is>
          <t>20596592810</t>
        </is>
      </c>
      <c r="B1028" t="inlineStr">
        <is>
          <t>隔日到貨🔥 iPhone 手機殼 17 16 15 14 pro 13 12 11 XS XR X 保護殼 軟殼 蘋果</t>
        </is>
      </c>
      <c r="C1028">
        <f>IMAGE("https://cf.shopee.tw/file/tw-11134207-7r98y-lz3fv7bpgx7i95_tn")</f>
        <v/>
      </c>
      <c r="D1028" t="inlineStr">
        <is>
          <t>鏡面貓咪(單殼),16 Pro Max</t>
        </is>
      </c>
      <c r="E1028" t="inlineStr">
        <is>
          <t>205544160605</t>
        </is>
      </c>
      <c r="F1028">
        <f>IMAGE("https://cf.shopee.tw/file/tw-11134207-7r991-lz3fv7bpibry74_tn")</f>
        <v/>
      </c>
    </row>
    <row r="1029">
      <c r="A1029" t="inlineStr">
        <is>
          <t>20596592810</t>
        </is>
      </c>
      <c r="B1029" t="inlineStr">
        <is>
          <t>隔日到貨🔥 iPhone 手機殼 17 16 15 14 pro 13 12 11 XS XR X 保護殼 軟殼 蘋果</t>
        </is>
      </c>
      <c r="C1029">
        <f>IMAGE("https://cf.shopee.tw/file/tw-11134207-7r98y-lz3fv7bpgx7i95_tn")</f>
        <v/>
      </c>
      <c r="D1029" t="inlineStr">
        <is>
          <t>鏡面貓咪(單殼),加購十字架粉繩</t>
        </is>
      </c>
      <c r="E1029" t="inlineStr">
        <is>
          <t>246458163244</t>
        </is>
      </c>
      <c r="F1029">
        <f>IMAGE("https://cf.shopee.tw/file/tw-11134207-7r991-lz3fv7bpibry74_tn")</f>
        <v/>
      </c>
    </row>
    <row r="1030">
      <c r="A1030" t="inlineStr">
        <is>
          <t>20596592810</t>
        </is>
      </c>
      <c r="B1030" t="inlineStr">
        <is>
          <t>隔日到貨🔥 iPhone 手機殼 17 16 15 14 pro 13 12 11 XS XR X 保護殼 軟殼 蘋果</t>
        </is>
      </c>
      <c r="C1030">
        <f>IMAGE("https://cf.shopee.tw/file/tw-11134207-7r98y-lz3fv7bpgx7i95_tn")</f>
        <v/>
      </c>
      <c r="D1030" t="inlineStr">
        <is>
          <t>鏡面貓咪(單殼),17</t>
        </is>
      </c>
      <c r="E1030" t="inlineStr">
        <is>
          <t>400089247815</t>
        </is>
      </c>
      <c r="F1030">
        <f>IMAGE("https://cf.shopee.tw/file/tw-11134207-7r991-lz3fv7bpibry74_tn")</f>
        <v/>
      </c>
    </row>
    <row r="1031">
      <c r="A1031" t="inlineStr">
        <is>
          <t>20596592810</t>
        </is>
      </c>
      <c r="B1031" t="inlineStr">
        <is>
          <t>隔日到貨🔥 iPhone 手機殼 17 16 15 14 pro 13 12 11 XS XR X 保護殼 軟殼 蘋果</t>
        </is>
      </c>
      <c r="C1031">
        <f>IMAGE("https://cf.shopee.tw/file/tw-11134207-7r98y-lz3fv7bpgx7i95_tn")</f>
        <v/>
      </c>
      <c r="D1031" t="inlineStr">
        <is>
          <t>鏡面貓咪(單殼),17 Pro</t>
        </is>
      </c>
      <c r="E1031" t="inlineStr">
        <is>
          <t>400089247816</t>
        </is>
      </c>
      <c r="F1031">
        <f>IMAGE("https://cf.shopee.tw/file/tw-11134207-7r991-lz3fv7bpibry74_tn")</f>
        <v/>
      </c>
    </row>
    <row r="1032">
      <c r="A1032" t="inlineStr">
        <is>
          <t>20596592810</t>
        </is>
      </c>
      <c r="B1032" t="inlineStr">
        <is>
          <t>隔日到貨🔥 iPhone 手機殼 17 16 15 14 pro 13 12 11 XS XR X 保護殼 軟殼 蘋果</t>
        </is>
      </c>
      <c r="C1032">
        <f>IMAGE("https://cf.shopee.tw/file/tw-11134207-7r98y-lz3fv7bpgx7i95_tn")</f>
        <v/>
      </c>
      <c r="D1032" t="inlineStr">
        <is>
          <t>鏡面貓咪(單殼),17 Pro Max</t>
        </is>
      </c>
      <c r="E1032" t="inlineStr"/>
      <c r="F1032">
        <f>IMAGE("https://cf.shopee.tw/file/tw-11134207-7r991-lz3fv7bpibry74_tn")</f>
        <v/>
      </c>
    </row>
    <row r="1033">
      <c r="A1033" t="inlineStr">
        <is>
          <t>17280187688</t>
        </is>
      </c>
      <c r="B1033" t="inlineStr">
        <is>
          <t>隔日到貨🔥 ins風 手機氣囊 多功能指環扣 伸縮折疊 立體氣囊 手機架 適合各手機 氣囊 黏貼式 懶人氣囊</t>
        </is>
      </c>
      <c r="C1033">
        <f>IMAGE("https://cf.shopee.tw/file/sg-11134201-22110-detnypdomqjv2d_tn")</f>
        <v/>
      </c>
      <c r="D1033" t="inlineStr">
        <is>
          <t>紫色泫雅花</t>
        </is>
      </c>
      <c r="E1033" t="inlineStr">
        <is>
          <t>183153588363</t>
        </is>
      </c>
      <c r="F1033">
        <f>IMAGE("https://cf.shopee.tw/file/sg-11134201-22110-jxql432qmqjvcc_tn")</f>
        <v/>
      </c>
    </row>
    <row r="1034">
      <c r="A1034" t="inlineStr">
        <is>
          <t>17280187688</t>
        </is>
      </c>
      <c r="B1034" t="inlineStr">
        <is>
          <t>隔日到貨🔥 ins風 手機氣囊 多功能指環扣 伸縮折疊 立體氣囊 手機架 適合各手機 氣囊 黏貼式 懶人氣囊</t>
        </is>
      </c>
      <c r="C1034">
        <f>IMAGE("https://cf.shopee.tw/file/sg-11134201-22110-detnypdomqjv2d_tn")</f>
        <v/>
      </c>
      <c r="D1034" t="inlineStr">
        <is>
          <t>淺藍泫雅花</t>
        </is>
      </c>
      <c r="E1034" t="inlineStr">
        <is>
          <t>183153588361</t>
        </is>
      </c>
      <c r="F1034">
        <f>IMAGE("https://cf.shopee.tw/file/sg-11134201-22110-n4cdfizqmqjva4_tn")</f>
        <v/>
      </c>
    </row>
    <row r="1035">
      <c r="A1035" t="inlineStr">
        <is>
          <t>17280187688</t>
        </is>
      </c>
      <c r="B1035" t="inlineStr">
        <is>
          <t>隔日到貨🔥 ins風 手機氣囊 多功能指環扣 伸縮折疊 立體氣囊 手機架 適合各手機 氣囊 黏貼式 懶人氣囊</t>
        </is>
      </c>
      <c r="C1035">
        <f>IMAGE("https://cf.shopee.tw/file/sg-11134201-22110-detnypdomqjv2d_tn")</f>
        <v/>
      </c>
      <c r="D1035" t="inlineStr">
        <is>
          <t>粉色泫雅花</t>
        </is>
      </c>
      <c r="E1035" t="inlineStr">
        <is>
          <t>183153588365</t>
        </is>
      </c>
      <c r="F1035">
        <f>IMAGE("https://cf.shopee.tw/file/sg-11134201-22110-gxucj15qmqjva5_tn")</f>
        <v/>
      </c>
    </row>
    <row r="1036">
      <c r="A1036" t="inlineStr">
        <is>
          <t>17280187688</t>
        </is>
      </c>
      <c r="B1036" t="inlineStr">
        <is>
          <t>隔日到貨🔥 ins風 手機氣囊 多功能指環扣 伸縮折疊 立體氣囊 手機架 適合各手機 氣囊 黏貼式 懶人氣囊</t>
        </is>
      </c>
      <c r="C1036">
        <f>IMAGE("https://cf.shopee.tw/file/sg-11134201-22110-detnypdomqjv2d_tn")</f>
        <v/>
      </c>
      <c r="D1036" t="inlineStr">
        <is>
          <t>橙色泫雅花</t>
        </is>
      </c>
      <c r="E1036" t="inlineStr">
        <is>
          <t>183153588362</t>
        </is>
      </c>
      <c r="F1036">
        <f>IMAGE("https://cf.shopee.tw/file/sg-11134201-22110-0yao6h8qmqjv56_tn")</f>
        <v/>
      </c>
    </row>
    <row r="1037">
      <c r="A1037" t="inlineStr">
        <is>
          <t>17280187688</t>
        </is>
      </c>
      <c r="B1037" t="inlineStr">
        <is>
          <t>隔日到貨🔥 ins風 手機氣囊 多功能指環扣 伸縮折疊 立體氣囊 手機架 適合各手機 氣囊 黏貼式 懶人氣囊</t>
        </is>
      </c>
      <c r="C1037">
        <f>IMAGE("https://cf.shopee.tw/file/sg-11134201-22110-detnypdomqjv2d_tn")</f>
        <v/>
      </c>
      <c r="D1037" t="inlineStr">
        <is>
          <t>黃色泫雅花</t>
        </is>
      </c>
      <c r="E1037" t="inlineStr">
        <is>
          <t>183153588366</t>
        </is>
      </c>
      <c r="F1037">
        <f>IMAGE("https://cf.shopee.tw/file/sg-11134201-22110-6jwzj30qmqjvf6_tn")</f>
        <v/>
      </c>
    </row>
    <row r="1038">
      <c r="A1038" t="inlineStr">
        <is>
          <t>17280187688</t>
        </is>
      </c>
      <c r="B1038" t="inlineStr">
        <is>
          <t>隔日到貨🔥 ins風 手機氣囊 多功能指環扣 伸縮折疊 立體氣囊 手機架 適合各手機 氣囊 黏貼式 懶人氣囊</t>
        </is>
      </c>
      <c r="C1038">
        <f>IMAGE("https://cf.shopee.tw/file/sg-11134201-22110-detnypdomqjv2d_tn")</f>
        <v/>
      </c>
      <c r="D1038" t="inlineStr">
        <is>
          <t>綠色泫雅花</t>
        </is>
      </c>
      <c r="E1038" t="inlineStr">
        <is>
          <t>183153588367</t>
        </is>
      </c>
      <c r="F1038">
        <f>IMAGE("https://cf.shopee.tw/file/sg-11134201-22110-w6f4locrmqjve6_tn")</f>
        <v/>
      </c>
    </row>
    <row r="1039">
      <c r="A1039" t="inlineStr">
        <is>
          <t>17280187688</t>
        </is>
      </c>
      <c r="B1039" t="inlineStr">
        <is>
          <t>隔日到貨🔥 ins風 手機氣囊 多功能指環扣 伸縮折疊 立體氣囊 手機架 適合各手機 氣囊 黏貼式 懶人氣囊</t>
        </is>
      </c>
      <c r="C1039">
        <f>IMAGE("https://cf.shopee.tw/file/sg-11134201-22110-detnypdomqjv2d_tn")</f>
        <v/>
      </c>
      <c r="D1039" t="inlineStr">
        <is>
          <t>玫紅泫雅花</t>
        </is>
      </c>
      <c r="E1039" t="inlineStr">
        <is>
          <t>183153588364</t>
        </is>
      </c>
      <c r="F1039">
        <f>IMAGE("https://cf.shopee.tw/file/sg-11134201-22110-jl6s2lfrmqjv0c_tn")</f>
        <v/>
      </c>
    </row>
    <row r="1040">
      <c r="A1040" t="inlineStr">
        <is>
          <t>17280187688</t>
        </is>
      </c>
      <c r="B1040" t="inlineStr">
        <is>
          <t>隔日到貨🔥 ins風 手機氣囊 多功能指環扣 伸縮折疊 立體氣囊 手機架 適合各手機 氣囊 黏貼式 懶人氣囊</t>
        </is>
      </c>
      <c r="C1040">
        <f>IMAGE("https://cf.shopee.tw/file/sg-11134201-22110-detnypdomqjv2d_tn")</f>
        <v/>
      </c>
      <c r="D1040" t="inlineStr">
        <is>
          <t>白色花朵</t>
        </is>
      </c>
      <c r="E1040" t="inlineStr">
        <is>
          <t>203150892826</t>
        </is>
      </c>
      <c r="F1040">
        <f>IMAGE("https://cf.shopee.tw/file/sg-11134201-22110-8e84rsa9dqjvdc_tn")</f>
        <v/>
      </c>
    </row>
    <row r="1041">
      <c r="A1041" t="inlineStr">
        <is>
          <t>17280187688</t>
        </is>
      </c>
      <c r="B1041" t="inlineStr">
        <is>
          <t>隔日到貨🔥 ins風 手機氣囊 多功能指環扣 伸縮折疊 立體氣囊 手機架 適合各手機 氣囊 黏貼式 懶人氣囊</t>
        </is>
      </c>
      <c r="C1041">
        <f>IMAGE("https://cf.shopee.tw/file/sg-11134201-22110-detnypdomqjv2d_tn")</f>
        <v/>
      </c>
      <c r="D1041" t="inlineStr">
        <is>
          <t>M102</t>
        </is>
      </c>
      <c r="E1041" t="inlineStr"/>
      <c r="F1041">
        <f>IMAGE("https://cf.shopee.tw/file/c80c479497bd15d42bd61c00c856a135_tn")</f>
        <v/>
      </c>
    </row>
    <row r="1042">
      <c r="A1042" t="inlineStr">
        <is>
          <t>17280187688</t>
        </is>
      </c>
      <c r="B1042" t="inlineStr">
        <is>
          <t>隔日到貨🔥 ins風 手機氣囊 多功能指環扣 伸縮折疊 立體氣囊 手機架 適合各手機 氣囊 黏貼式 懶人氣囊</t>
        </is>
      </c>
      <c r="C1042">
        <f>IMAGE("https://cf.shopee.tw/file/sg-11134201-22110-detnypdomqjv2d_tn")</f>
        <v/>
      </c>
      <c r="D1042" t="inlineStr">
        <is>
          <t>M113</t>
        </is>
      </c>
      <c r="E1042" t="inlineStr">
        <is>
          <t>145270066227</t>
        </is>
      </c>
      <c r="F1042">
        <f>IMAGE("https://cf.shopee.tw/file/acbb923ef6dcbece657b2e9463733176_tn")</f>
        <v/>
      </c>
    </row>
    <row r="1043">
      <c r="A1043" t="inlineStr">
        <is>
          <t>17280187688</t>
        </is>
      </c>
      <c r="B1043" t="inlineStr">
        <is>
          <t>隔日到貨🔥 ins風 手機氣囊 多功能指環扣 伸縮折疊 立體氣囊 手機架 適合各手機 氣囊 黏貼式 懶人氣囊</t>
        </is>
      </c>
      <c r="C1043">
        <f>IMAGE("https://cf.shopee.tw/file/sg-11134201-22110-detnypdomqjv2d_tn")</f>
        <v/>
      </c>
      <c r="D1043" t="inlineStr">
        <is>
          <t>M114</t>
        </is>
      </c>
      <c r="E1043" t="inlineStr">
        <is>
          <t>155270066115</t>
        </is>
      </c>
      <c r="F1043">
        <f>IMAGE("https://cf.shopee.tw/file/cd9a65de09faf2f71d7a8738a44dd8df_tn")</f>
        <v/>
      </c>
    </row>
    <row r="1044">
      <c r="A1044" t="inlineStr">
        <is>
          <t>17280187688</t>
        </is>
      </c>
      <c r="B1044" t="inlineStr">
        <is>
          <t>隔日到貨🔥 ins風 手機氣囊 多功能指環扣 伸縮折疊 立體氣囊 手機架 適合各手機 氣囊 黏貼式 懶人氣囊</t>
        </is>
      </c>
      <c r="C1044">
        <f>IMAGE("https://cf.shopee.tw/file/sg-11134201-22110-detnypdomqjv2d_tn")</f>
        <v/>
      </c>
      <c r="D1044" t="inlineStr">
        <is>
          <t>M115</t>
        </is>
      </c>
      <c r="E1044" t="inlineStr">
        <is>
          <t>155270066116</t>
        </is>
      </c>
      <c r="F1044">
        <f>IMAGE("https://cf.shopee.tw/file/8800c70406f849748cc3f7e5037323cb_tn")</f>
        <v/>
      </c>
    </row>
    <row r="1045">
      <c r="A1045" t="inlineStr">
        <is>
          <t>17280187688</t>
        </is>
      </c>
      <c r="B1045" t="inlineStr">
        <is>
          <t>隔日到貨🔥 ins風 手機氣囊 多功能指環扣 伸縮折疊 立體氣囊 手機架 適合各手機 氣囊 黏貼式 懶人氣囊</t>
        </is>
      </c>
      <c r="C1045">
        <f>IMAGE("https://cf.shopee.tw/file/sg-11134201-22110-detnypdomqjv2d_tn")</f>
        <v/>
      </c>
      <c r="D1045" t="inlineStr">
        <is>
          <t>M116</t>
        </is>
      </c>
      <c r="E1045" t="inlineStr">
        <is>
          <t>155270066117</t>
        </is>
      </c>
      <c r="F1045">
        <f>IMAGE("https://cf.shopee.tw/file/4b557b65f85769b52a51225e80cc6d31_tn")</f>
        <v/>
      </c>
    </row>
    <row r="1046">
      <c r="A1046" t="inlineStr">
        <is>
          <t>17280187688</t>
        </is>
      </c>
      <c r="B1046" t="inlineStr">
        <is>
          <t>隔日到貨🔥 ins風 手機氣囊 多功能指環扣 伸縮折疊 立體氣囊 手機架 適合各手機 氣囊 黏貼式 懶人氣囊</t>
        </is>
      </c>
      <c r="C1046">
        <f>IMAGE("https://cf.shopee.tw/file/sg-11134201-22110-detnypdomqjv2d_tn")</f>
        <v/>
      </c>
      <c r="D1046" t="inlineStr">
        <is>
          <t>M117</t>
        </is>
      </c>
      <c r="E1046" t="inlineStr">
        <is>
          <t>145270066228</t>
        </is>
      </c>
      <c r="F1046">
        <f>IMAGE("https://cf.shopee.tw/file/d028cda6d1c785556c72ea0376f24563_tn")</f>
        <v/>
      </c>
    </row>
    <row r="1047">
      <c r="A1047" t="inlineStr">
        <is>
          <t>17280187688</t>
        </is>
      </c>
      <c r="B1047" t="inlineStr">
        <is>
          <t>隔日到貨🔥 ins風 手機氣囊 多功能指環扣 伸縮折疊 立體氣囊 手機架 適合各手機 氣囊 黏貼式 懶人氣囊</t>
        </is>
      </c>
      <c r="C1047">
        <f>IMAGE("https://cf.shopee.tw/file/sg-11134201-22110-detnypdomqjv2d_tn")</f>
        <v/>
      </c>
      <c r="D1047" t="inlineStr">
        <is>
          <t>M118</t>
        </is>
      </c>
      <c r="E1047" t="inlineStr"/>
      <c r="F1047">
        <f>IMAGE("https://cf.shopee.tw/file/b5aae556206e41afb4d008827d62a610_tn")</f>
        <v/>
      </c>
    </row>
    <row r="1048">
      <c r="A1048" t="inlineStr">
        <is>
          <t>17280187688</t>
        </is>
      </c>
      <c r="B1048" t="inlineStr">
        <is>
          <t>隔日到貨🔥 ins風 手機氣囊 多功能指環扣 伸縮折疊 立體氣囊 手機架 適合各手機 氣囊 黏貼式 懶人氣囊</t>
        </is>
      </c>
      <c r="C1048">
        <f>IMAGE("https://cf.shopee.tw/file/sg-11134201-22110-detnypdomqjv2d_tn")</f>
        <v/>
      </c>
      <c r="D1048" t="inlineStr">
        <is>
          <t>M119</t>
        </is>
      </c>
      <c r="E1048" t="inlineStr">
        <is>
          <t>155270066120</t>
        </is>
      </c>
      <c r="F1048">
        <f>IMAGE("https://cf.shopee.tw/file/1dada377b503ed30d9d32fafbb2387ad_tn")</f>
        <v/>
      </c>
    </row>
    <row r="1049">
      <c r="A1049" t="inlineStr">
        <is>
          <t>17280187688</t>
        </is>
      </c>
      <c r="B1049" t="inlineStr">
        <is>
          <t>隔日到貨🔥 ins風 手機氣囊 多功能指環扣 伸縮折疊 立體氣囊 手機架 適合各手機 氣囊 黏貼式 懶人氣囊</t>
        </is>
      </c>
      <c r="C1049">
        <f>IMAGE("https://cf.shopee.tw/file/sg-11134201-22110-detnypdomqjv2d_tn")</f>
        <v/>
      </c>
      <c r="D1049" t="inlineStr">
        <is>
          <t>M120</t>
        </is>
      </c>
      <c r="E1049" t="inlineStr">
        <is>
          <t>155270066121</t>
        </is>
      </c>
      <c r="F1049">
        <f>IMAGE("https://cf.shopee.tw/file/d25d144f77fa1d2f81dea15965f0a8ef_tn")</f>
        <v/>
      </c>
    </row>
    <row r="1050">
      <c r="A1050" t="inlineStr">
        <is>
          <t>17280187688</t>
        </is>
      </c>
      <c r="B1050" t="inlineStr">
        <is>
          <t>隔日到貨🔥 ins風 手機氣囊 多功能指環扣 伸縮折疊 立體氣囊 手機架 適合各手機 氣囊 黏貼式 懶人氣囊</t>
        </is>
      </c>
      <c r="C1050">
        <f>IMAGE("https://cf.shopee.tw/file/sg-11134201-22110-detnypdomqjv2d_tn")</f>
        <v/>
      </c>
      <c r="D1050" t="inlineStr">
        <is>
          <t>M121</t>
        </is>
      </c>
      <c r="E1050" t="inlineStr">
        <is>
          <t>145270066229</t>
        </is>
      </c>
      <c r="F1050">
        <f>IMAGE("https://cf.shopee.tw/file/318e4e37bf55ca636ebe39b7c43bf24d_tn")</f>
        <v/>
      </c>
    </row>
    <row r="1051">
      <c r="A1051" t="inlineStr">
        <is>
          <t>17280187688</t>
        </is>
      </c>
      <c r="B1051" t="inlineStr">
        <is>
          <t>隔日到貨🔥 ins風 手機氣囊 多功能指環扣 伸縮折疊 立體氣囊 手機架 適合各手機 氣囊 黏貼式 懶人氣囊</t>
        </is>
      </c>
      <c r="C1051">
        <f>IMAGE("https://cf.shopee.tw/file/sg-11134201-22110-detnypdomqjv2d_tn")</f>
        <v/>
      </c>
      <c r="D1051" t="inlineStr">
        <is>
          <t>M122</t>
        </is>
      </c>
      <c r="E1051" t="inlineStr"/>
      <c r="F1051">
        <f>IMAGE("https://cf.shopee.tw/file/5f9a08b189c86bc5234b36a95bed9b7c_tn")</f>
        <v/>
      </c>
    </row>
    <row r="1052">
      <c r="A1052" t="inlineStr">
        <is>
          <t>17280187688</t>
        </is>
      </c>
      <c r="B1052" t="inlineStr">
        <is>
          <t>隔日到貨🔥 ins風 手機氣囊 多功能指環扣 伸縮折疊 立體氣囊 手機架 適合各手機 氣囊 黏貼式 懶人氣囊</t>
        </is>
      </c>
      <c r="C1052">
        <f>IMAGE("https://cf.shopee.tw/file/sg-11134201-22110-detnypdomqjv2d_tn")</f>
        <v/>
      </c>
      <c r="D1052" t="inlineStr">
        <is>
          <t>M123</t>
        </is>
      </c>
      <c r="E1052" t="inlineStr">
        <is>
          <t>155270066114</t>
        </is>
      </c>
      <c r="F1052">
        <f>IMAGE("https://cf.shopee.tw/file/8274ba273e0aa55cb4e61e81dd531861_tn")</f>
        <v/>
      </c>
    </row>
    <row r="1053">
      <c r="A1053" t="inlineStr">
        <is>
          <t>17280187688</t>
        </is>
      </c>
      <c r="B1053" t="inlineStr">
        <is>
          <t>隔日到貨🔥 ins風 手機氣囊 多功能指環扣 伸縮折疊 立體氣囊 手機架 適合各手機 氣囊 黏貼式 懶人氣囊</t>
        </is>
      </c>
      <c r="C1053">
        <f>IMAGE("https://cf.shopee.tw/file/sg-11134201-22110-detnypdomqjv2d_tn")</f>
        <v/>
      </c>
      <c r="D1053" t="inlineStr">
        <is>
          <t>M124</t>
        </is>
      </c>
      <c r="E1053" t="inlineStr"/>
      <c r="F1053">
        <f>IMAGE("https://cf.shopee.tw/file/62a2b82d2ea66175448fa8aee4fa8849_tn")</f>
        <v/>
      </c>
    </row>
    <row r="1054">
      <c r="A1054" t="inlineStr">
        <is>
          <t>17280187688</t>
        </is>
      </c>
      <c r="B1054" t="inlineStr">
        <is>
          <t>隔日到貨🔥 ins風 手機氣囊 多功能指環扣 伸縮折疊 立體氣囊 手機架 適合各手機 氣囊 黏貼式 懶人氣囊</t>
        </is>
      </c>
      <c r="C1054">
        <f>IMAGE("https://cf.shopee.tw/file/sg-11134201-22110-detnypdomqjv2d_tn")</f>
        <v/>
      </c>
      <c r="D1054" t="inlineStr">
        <is>
          <t>M125</t>
        </is>
      </c>
      <c r="E1054" t="inlineStr">
        <is>
          <t>155270066118</t>
        </is>
      </c>
      <c r="F1054">
        <f>IMAGE("https://cf.shopee.tw/file/63e8884b7d941fdf06efc647a107283d_tn")</f>
        <v/>
      </c>
    </row>
    <row r="1055">
      <c r="A1055" t="inlineStr">
        <is>
          <t>21369110720</t>
        </is>
      </c>
      <c r="B1055" t="inlineStr">
        <is>
          <t>隔日到貨🔥 R標 長襪 S12 韓風熱銷 襪子女 白長襪 女襪 女生襪子 白色襪子 白襪 長襪 女白襪 女長襪 襪子</t>
        </is>
      </c>
      <c r="C1055">
        <f>IMAGE("https://cf.shopee.tw/file/sg-11134201-22120-am8er8x8vjlvef_tn")</f>
        <v/>
      </c>
      <c r="D1055" t="inlineStr">
        <is>
          <t>橘色</t>
        </is>
      </c>
      <c r="E1055" t="inlineStr"/>
      <c r="F1055">
        <f>IMAGE("https://cf.shopee.tw/file/sg-11134201-22120-97zou9lwiblv34_tn")</f>
        <v/>
      </c>
    </row>
    <row r="1056">
      <c r="A1056" t="inlineStr">
        <is>
          <t>21369110720</t>
        </is>
      </c>
      <c r="B1056" t="inlineStr">
        <is>
          <t>隔日到貨🔥 R標 長襪 S12 韓風熱銷 襪子女 白長襪 女襪 女生襪子 白色襪子 白襪 長襪 女白襪 女長襪 襪子</t>
        </is>
      </c>
      <c r="C1056">
        <f>IMAGE("https://cf.shopee.tw/file/sg-11134201-22120-am8er8x8vjlvef_tn")</f>
        <v/>
      </c>
      <c r="D1056" t="inlineStr">
        <is>
          <t>白色</t>
        </is>
      </c>
      <c r="E1056" t="inlineStr">
        <is>
          <t>193585361342</t>
        </is>
      </c>
      <c r="F1056">
        <f>IMAGE("https://cf.shopee.tw/file/sg-11134201-22120-2asfyvrwiblv2b_tn")</f>
        <v/>
      </c>
    </row>
    <row r="1057">
      <c r="A1057" t="inlineStr">
        <is>
          <t>21369110720</t>
        </is>
      </c>
      <c r="B1057" t="inlineStr">
        <is>
          <t>隔日到貨🔥 R標 長襪 S12 韓風熱銷 襪子女 白長襪 女襪 女生襪子 白色襪子 白襪 長襪 女白襪 女長襪 襪子</t>
        </is>
      </c>
      <c r="C1057">
        <f>IMAGE("https://cf.shopee.tw/file/sg-11134201-22120-am8er8x8vjlvef_tn")</f>
        <v/>
      </c>
      <c r="D1057" t="inlineStr">
        <is>
          <t>深咖</t>
        </is>
      </c>
      <c r="E1057" t="inlineStr">
        <is>
          <t>193585361347</t>
        </is>
      </c>
      <c r="F1057">
        <f>IMAGE("https://cf.shopee.tw/file/sg-11134201-22120-k70q43uwiblv55_tn")</f>
        <v/>
      </c>
    </row>
    <row r="1058">
      <c r="A1058" t="inlineStr">
        <is>
          <t>21369110720</t>
        </is>
      </c>
      <c r="B1058" t="inlineStr">
        <is>
          <t>隔日到貨🔥 R標 長襪 S12 韓風熱銷 襪子女 白長襪 女襪 女生襪子 白色襪子 白襪 長襪 女白襪 女長襪 襪子</t>
        </is>
      </c>
      <c r="C1058">
        <f>IMAGE("https://cf.shopee.tw/file/sg-11134201-22120-am8er8x8vjlvef_tn")</f>
        <v/>
      </c>
      <c r="D1058" t="inlineStr">
        <is>
          <t>灰色</t>
        </is>
      </c>
      <c r="E1058" t="inlineStr"/>
      <c r="F1058">
        <f>IMAGE("https://cf.shopee.tw/file/sg-11134201-22120-h6j23aywiblve6_tn")</f>
        <v/>
      </c>
    </row>
    <row r="1059">
      <c r="A1059" t="inlineStr">
        <is>
          <t>21369110720</t>
        </is>
      </c>
      <c r="B1059" t="inlineStr">
        <is>
          <t>隔日到貨🔥 R標 長襪 S12 韓風熱銷 襪子女 白長襪 女襪 女生襪子 白色襪子 白襪 長襪 女白襪 女長襪 襪子</t>
        </is>
      </c>
      <c r="C1059">
        <f>IMAGE("https://cf.shopee.tw/file/sg-11134201-22120-am8er8x8vjlvef_tn")</f>
        <v/>
      </c>
      <c r="D1059" t="inlineStr">
        <is>
          <t>薑黃</t>
        </is>
      </c>
      <c r="E1059" t="inlineStr">
        <is>
          <t>193585361343</t>
        </is>
      </c>
      <c r="F1059">
        <f>IMAGE("https://cf.shopee.tw/file/sg-11134201-22120-dfvqxexdp9kv71_tn")</f>
        <v/>
      </c>
    </row>
    <row r="1060">
      <c r="A1060" t="inlineStr">
        <is>
          <t>21369110720</t>
        </is>
      </c>
      <c r="B1060" t="inlineStr">
        <is>
          <t>隔日到貨🔥 R標 長襪 S12 韓風熱銷 襪子女 白長襪 女襪 女生襪子 白色襪子 白襪 長襪 女白襪 女長襪 襪子</t>
        </is>
      </c>
      <c r="C1060">
        <f>IMAGE("https://cf.shopee.tw/file/sg-11134201-22120-am8er8x8vjlvef_tn")</f>
        <v/>
      </c>
      <c r="D1060" t="inlineStr">
        <is>
          <t>橄欖綠</t>
        </is>
      </c>
      <c r="E1060" t="inlineStr"/>
      <c r="F1060">
        <f>IMAGE("https://cf.shopee.tw/file/sg-11134201-22120-siun00dxiblv4b_tn")</f>
        <v/>
      </c>
    </row>
    <row r="1061">
      <c r="A1061" t="inlineStr">
        <is>
          <t>21369110720</t>
        </is>
      </c>
      <c r="B1061" t="inlineStr">
        <is>
          <t>隔日到貨🔥 R標 長襪 S12 韓風熱銷 襪子女 白長襪 女襪 女生襪子 白色襪子 白襪 長襪 女白襪 女長襪 襪子</t>
        </is>
      </c>
      <c r="C1061">
        <f>IMAGE("https://cf.shopee.tw/file/sg-11134201-22120-am8er8x8vjlvef_tn")</f>
        <v/>
      </c>
      <c r="D1061" t="inlineStr">
        <is>
          <t>紫色</t>
        </is>
      </c>
      <c r="E1061" t="inlineStr">
        <is>
          <t>193585361350</t>
        </is>
      </c>
      <c r="F1061">
        <f>IMAGE("https://cf.shopee.tw/file/sg-11134201-23010-ijjpwb2ys1lv56_tn")</f>
        <v/>
      </c>
    </row>
    <row r="1062">
      <c r="A1062" t="inlineStr">
        <is>
          <t>21369110720</t>
        </is>
      </c>
      <c r="B1062" t="inlineStr">
        <is>
          <t>隔日到貨🔥 R標 長襪 S12 韓風熱銷 襪子女 白長襪 女襪 女生襪子 白色襪子 白襪 長襪 女白襪 女長襪 襪子</t>
        </is>
      </c>
      <c r="C1062">
        <f>IMAGE("https://cf.shopee.tw/file/sg-11134201-22120-am8er8x8vjlvef_tn")</f>
        <v/>
      </c>
      <c r="D1062" t="inlineStr">
        <is>
          <t>黑色</t>
        </is>
      </c>
      <c r="E1062" t="inlineStr">
        <is>
          <t>193585361344</t>
        </is>
      </c>
      <c r="F1062">
        <f>IMAGE("https://cf.shopee.tw/file/sg-11134201-22120-s0yk9koxiblvdb_tn")</f>
        <v/>
      </c>
    </row>
    <row r="1063">
      <c r="A1063" t="inlineStr">
        <is>
          <t>21369110720</t>
        </is>
      </c>
      <c r="B1063" t="inlineStr">
        <is>
          <t>隔日到貨🔥 R標 長襪 S12 韓風熱銷 襪子女 白長襪 女襪 女生襪子 白色襪子 白襪 長襪 女白襪 女長襪 襪子</t>
        </is>
      </c>
      <c r="C1063">
        <f>IMAGE("https://cf.shopee.tw/file/sg-11134201-22120-am8er8x8vjlvef_tn")</f>
        <v/>
      </c>
      <c r="D1063" t="inlineStr">
        <is>
          <t>西瓜紅</t>
        </is>
      </c>
      <c r="E1063" t="inlineStr">
        <is>
          <t>193585361351</t>
        </is>
      </c>
      <c r="F1063">
        <f>IMAGE("https://cf.shopee.tw/file/sg-11134201-22120-cvapo9qxiblv06_tn")</f>
        <v/>
      </c>
    </row>
    <row r="1064">
      <c r="A1064" t="inlineStr">
        <is>
          <t>21369110720</t>
        </is>
      </c>
      <c r="B1064" t="inlineStr">
        <is>
          <t>隔日到貨🔥 R標 長襪 S12 韓風熱銷 襪子女 白長襪 女襪 女生襪子 白色襪子 白襪 長襪 女白襪 女長襪 襪子</t>
        </is>
      </c>
      <c r="C1064">
        <f>IMAGE("https://cf.shopee.tw/file/sg-11134201-22120-am8er8x8vjlvef_tn")</f>
        <v/>
      </c>
      <c r="D1064" t="inlineStr">
        <is>
          <t>蔥綠色</t>
        </is>
      </c>
      <c r="E1064" t="inlineStr">
        <is>
          <t>193585361345</t>
        </is>
      </c>
      <c r="F1064">
        <f>IMAGE("https://cf.shopee.tw/file/sg-11134201-22120-4nw4a3uxiblvf0_tn")</f>
        <v/>
      </c>
    </row>
    <row r="1065">
      <c r="A1065" t="inlineStr">
        <is>
          <t>29588374657</t>
        </is>
      </c>
      <c r="B1065" t="inlineStr">
        <is>
          <t>隔日到貨🔥 iPhone 手機殼 16 15 14 13 12 11 pro Max XS XR SE 保護殼 軟殼</t>
        </is>
      </c>
      <c r="C1065">
        <f>IMAGE("https://cf.shopee.tw/file/tw-11134207-7ra0k-mbtn9iljlfeh05_tn")</f>
        <v/>
      </c>
      <c r="D1065" t="inlineStr">
        <is>
          <t>蝴蝶白花束(單殼),XR</t>
        </is>
      </c>
      <c r="E1065" t="inlineStr">
        <is>
          <t>243599993958</t>
        </is>
      </c>
      <c r="F1065">
        <f>IMAGE("https://cf.shopee.tw/file/tw-11134207-7ra0m-mbtn9iljpnj6d7_tn")</f>
        <v/>
      </c>
    </row>
    <row r="1066">
      <c r="A1066" t="inlineStr">
        <is>
          <t>29588374657</t>
        </is>
      </c>
      <c r="B1066" t="inlineStr">
        <is>
          <t>隔日到貨🔥 iPhone 手機殼 16 15 14 13 12 11 pro Max XS XR SE 保護殼 軟殼</t>
        </is>
      </c>
      <c r="C1066">
        <f>IMAGE("https://cf.shopee.tw/file/tw-11134207-7ra0k-mbtn9iljlfeh05_tn")</f>
        <v/>
      </c>
      <c r="D1066" t="inlineStr">
        <is>
          <t>蝴蝶白花束(單殼),15 Plus</t>
        </is>
      </c>
      <c r="E1066" t="inlineStr">
        <is>
          <t>243599993976</t>
        </is>
      </c>
      <c r="F1066">
        <f>IMAGE("https://cf.shopee.tw/file/tw-11134207-7ra0m-mbtn9iljpnj6d7_tn")</f>
        <v/>
      </c>
    </row>
    <row r="1067">
      <c r="A1067" t="inlineStr">
        <is>
          <t>29588374657</t>
        </is>
      </c>
      <c r="B1067" t="inlineStr">
        <is>
          <t>隔日到貨🔥 iPhone 手機殼 16 15 14 13 12 11 pro Max XS XR SE 保護殼 軟殼</t>
        </is>
      </c>
      <c r="C1067">
        <f>IMAGE("https://cf.shopee.tw/file/tw-11134207-7ra0k-mbtn9iljlfeh05_tn")</f>
        <v/>
      </c>
      <c r="D1067" t="inlineStr">
        <is>
          <t>蝴蝶白花束(單殼),加購珠光愛心掛繩</t>
        </is>
      </c>
      <c r="E1067" t="inlineStr">
        <is>
          <t>300731735151</t>
        </is>
      </c>
      <c r="F1067">
        <f>IMAGE("https://cf.shopee.tw/file/tw-11134207-7ra0m-mbtn9iljpnj6d7_tn")</f>
        <v/>
      </c>
    </row>
    <row r="1068">
      <c r="A1068" t="inlineStr">
        <is>
          <t>29588374657</t>
        </is>
      </c>
      <c r="B1068" t="inlineStr">
        <is>
          <t>隔日到貨🔥 iPhone 手機殼 16 15 14 13 12 11 pro Max XS XR SE 保護殼 軟殼</t>
        </is>
      </c>
      <c r="C1068">
        <f>IMAGE("https://cf.shopee.tw/file/tw-11134207-7ra0k-mbtn9iljlfeh05_tn")</f>
        <v/>
      </c>
      <c r="D1068" t="inlineStr">
        <is>
          <t>蝴蝶白花束(單殼),7/8/SE2/SE3</t>
        </is>
      </c>
      <c r="E1068" t="inlineStr">
        <is>
          <t>243599993955</t>
        </is>
      </c>
      <c r="F1068">
        <f>IMAGE("https://cf.shopee.tw/file/tw-11134207-7ra0m-mbtn9iljpnj6d7_tn")</f>
        <v/>
      </c>
    </row>
    <row r="1069">
      <c r="A1069" t="inlineStr">
        <is>
          <t>29588374657</t>
        </is>
      </c>
      <c r="B1069" t="inlineStr">
        <is>
          <t>隔日到貨🔥 iPhone 手機殼 16 15 14 13 12 11 pro Max XS XR SE 保護殼 軟殼</t>
        </is>
      </c>
      <c r="C1069">
        <f>IMAGE("https://cf.shopee.tw/file/tw-11134207-7ra0k-mbtn9iljlfeh05_tn")</f>
        <v/>
      </c>
      <c r="D1069" t="inlineStr">
        <is>
          <t>蝴蝶白花束(單殼),7 Plus / 8 Plus</t>
        </is>
      </c>
      <c r="E1069" t="inlineStr">
        <is>
          <t>243599993956</t>
        </is>
      </c>
      <c r="F1069">
        <f>IMAGE("https://cf.shopee.tw/file/tw-11134207-7ra0m-mbtn9iljpnj6d7_tn")</f>
        <v/>
      </c>
    </row>
    <row r="1070">
      <c r="A1070" t="inlineStr">
        <is>
          <t>29588374657</t>
        </is>
      </c>
      <c r="B1070" t="inlineStr">
        <is>
          <t>隔日到貨🔥 iPhone 手機殼 16 15 14 13 12 11 pro Max XS XR SE 保護殼 軟殼</t>
        </is>
      </c>
      <c r="C1070">
        <f>IMAGE("https://cf.shopee.tw/file/tw-11134207-7ra0k-mbtn9iljlfeh05_tn")</f>
        <v/>
      </c>
      <c r="D1070" t="inlineStr">
        <is>
          <t>蝴蝶白花束(單殼),X / XS</t>
        </is>
      </c>
      <c r="E1070" t="inlineStr">
        <is>
          <t>243599993957</t>
        </is>
      </c>
      <c r="F1070">
        <f>IMAGE("https://cf.shopee.tw/file/tw-11134207-7ra0m-mbtn9iljpnj6d7_tn")</f>
        <v/>
      </c>
    </row>
    <row r="1071">
      <c r="A1071" t="inlineStr">
        <is>
          <t>29588374657</t>
        </is>
      </c>
      <c r="B1071" t="inlineStr">
        <is>
          <t>隔日到貨🔥 iPhone 手機殼 16 15 14 13 12 11 pro Max XS XR SE 保護殼 軟殼</t>
        </is>
      </c>
      <c r="C1071">
        <f>IMAGE("https://cf.shopee.tw/file/tw-11134207-7ra0k-mbtn9iljlfeh05_tn")</f>
        <v/>
      </c>
      <c r="D1071" t="inlineStr">
        <is>
          <t>蝴蝶白花束(單殼),XS Max</t>
        </is>
      </c>
      <c r="E1071" t="inlineStr">
        <is>
          <t>243599993959</t>
        </is>
      </c>
      <c r="F1071">
        <f>IMAGE("https://cf.shopee.tw/file/tw-11134207-7ra0m-mbtn9iljpnj6d7_tn")</f>
        <v/>
      </c>
    </row>
    <row r="1072">
      <c r="A1072" t="inlineStr">
        <is>
          <t>29588374657</t>
        </is>
      </c>
      <c r="B1072" t="inlineStr">
        <is>
          <t>隔日到貨🔥 iPhone 手機殼 16 15 14 13 12 11 pro Max XS XR SE 保護殼 軟殼</t>
        </is>
      </c>
      <c r="C1072">
        <f>IMAGE("https://cf.shopee.tw/file/tw-11134207-7ra0k-mbtn9iljlfeh05_tn")</f>
        <v/>
      </c>
      <c r="D1072" t="inlineStr">
        <is>
          <t>蝴蝶白花束(單殼),11</t>
        </is>
      </c>
      <c r="E1072" t="inlineStr">
        <is>
          <t>243599993960</t>
        </is>
      </c>
      <c r="F1072">
        <f>IMAGE("https://cf.shopee.tw/file/tw-11134207-7ra0m-mbtn9iljpnj6d7_tn")</f>
        <v/>
      </c>
    </row>
    <row r="1073">
      <c r="A1073" t="inlineStr">
        <is>
          <t>29588374657</t>
        </is>
      </c>
      <c r="B1073" t="inlineStr">
        <is>
          <t>隔日到貨🔥 iPhone 手機殼 16 15 14 13 12 11 pro Max XS XR SE 保護殼 軟殼</t>
        </is>
      </c>
      <c r="C1073">
        <f>IMAGE("https://cf.shopee.tw/file/tw-11134207-7ra0k-mbtn9iljlfeh05_tn")</f>
        <v/>
      </c>
      <c r="D1073" t="inlineStr">
        <is>
          <t>蝴蝶白花束(單殼),11 pro</t>
        </is>
      </c>
      <c r="E1073" t="inlineStr">
        <is>
          <t>243599993961</t>
        </is>
      </c>
      <c r="F1073">
        <f>IMAGE("https://cf.shopee.tw/file/tw-11134207-7ra0m-mbtn9iljpnj6d7_tn")</f>
        <v/>
      </c>
    </row>
    <row r="1074">
      <c r="A1074" t="inlineStr">
        <is>
          <t>29588374657</t>
        </is>
      </c>
      <c r="B1074" t="inlineStr">
        <is>
          <t>隔日到貨🔥 iPhone 手機殼 16 15 14 13 12 11 pro Max XS XR SE 保護殼 軟殼</t>
        </is>
      </c>
      <c r="C1074">
        <f>IMAGE("https://cf.shopee.tw/file/tw-11134207-7ra0k-mbtn9iljlfeh05_tn")</f>
        <v/>
      </c>
      <c r="D1074" t="inlineStr">
        <is>
          <t>蝴蝶白花束(單殼),11 pro Max</t>
        </is>
      </c>
      <c r="E1074" t="inlineStr">
        <is>
          <t>243599993962</t>
        </is>
      </c>
      <c r="F1074">
        <f>IMAGE("https://cf.shopee.tw/file/tw-11134207-7ra0m-mbtn9iljpnj6d7_tn")</f>
        <v/>
      </c>
    </row>
    <row r="1075">
      <c r="A1075" t="inlineStr">
        <is>
          <t>29588374657</t>
        </is>
      </c>
      <c r="B1075" t="inlineStr">
        <is>
          <t>隔日到貨🔥 iPhone 手機殼 16 15 14 13 12 11 pro Max XS XR SE 保護殼 軟殼</t>
        </is>
      </c>
      <c r="C1075">
        <f>IMAGE("https://cf.shopee.tw/file/tw-11134207-7ra0k-mbtn9iljlfeh05_tn")</f>
        <v/>
      </c>
      <c r="D1075" t="inlineStr">
        <is>
          <t>蝴蝶白花束(單殼),12</t>
        </is>
      </c>
      <c r="E1075" t="inlineStr">
        <is>
          <t>243599993963</t>
        </is>
      </c>
      <c r="F1075">
        <f>IMAGE("https://cf.shopee.tw/file/tw-11134207-7ra0m-mbtn9iljpnj6d7_tn")</f>
        <v/>
      </c>
    </row>
    <row r="1076">
      <c r="A1076" t="inlineStr">
        <is>
          <t>29588374657</t>
        </is>
      </c>
      <c r="B1076" t="inlineStr">
        <is>
          <t>隔日到貨🔥 iPhone 手機殼 16 15 14 13 12 11 pro Max XS XR SE 保護殼 軟殼</t>
        </is>
      </c>
      <c r="C1076">
        <f>IMAGE("https://cf.shopee.tw/file/tw-11134207-7ra0k-mbtn9iljlfeh05_tn")</f>
        <v/>
      </c>
      <c r="D1076" t="inlineStr">
        <is>
          <t>蝴蝶白花束(單殼),12 pro</t>
        </is>
      </c>
      <c r="E1076" t="inlineStr">
        <is>
          <t>243599993964</t>
        </is>
      </c>
      <c r="F1076">
        <f>IMAGE("https://cf.shopee.tw/file/tw-11134207-7ra0m-mbtn9iljpnj6d7_tn")</f>
        <v/>
      </c>
    </row>
    <row r="1077">
      <c r="A1077" t="inlineStr">
        <is>
          <t>29588374657</t>
        </is>
      </c>
      <c r="B1077" t="inlineStr">
        <is>
          <t>隔日到貨🔥 iPhone 手機殼 16 15 14 13 12 11 pro Max XS XR SE 保護殼 軟殼</t>
        </is>
      </c>
      <c r="C1077">
        <f>IMAGE("https://cf.shopee.tw/file/tw-11134207-7ra0k-mbtn9iljlfeh05_tn")</f>
        <v/>
      </c>
      <c r="D1077" t="inlineStr">
        <is>
          <t>蝴蝶白花束(單殼),12 pro Max</t>
        </is>
      </c>
      <c r="E1077" t="inlineStr">
        <is>
          <t>243599993965</t>
        </is>
      </c>
      <c r="F1077">
        <f>IMAGE("https://cf.shopee.tw/file/tw-11134207-7ra0m-mbtn9iljpnj6d7_tn")</f>
        <v/>
      </c>
    </row>
    <row r="1078">
      <c r="A1078" t="inlineStr">
        <is>
          <t>29588374657</t>
        </is>
      </c>
      <c r="B1078" t="inlineStr">
        <is>
          <t>隔日到貨🔥 iPhone 手機殼 16 15 14 13 12 11 pro Max XS XR SE 保護殼 軟殼</t>
        </is>
      </c>
      <c r="C1078">
        <f>IMAGE("https://cf.shopee.tw/file/tw-11134207-7ra0k-mbtn9iljlfeh05_tn")</f>
        <v/>
      </c>
      <c r="D1078" t="inlineStr">
        <is>
          <t>蝴蝶白花束(單殼),12 mini</t>
        </is>
      </c>
      <c r="E1078" t="inlineStr">
        <is>
          <t>243599993981</t>
        </is>
      </c>
      <c r="F1078">
        <f>IMAGE("https://cf.shopee.tw/file/tw-11134207-7ra0m-mbtn9iljpnj6d7_tn")</f>
        <v/>
      </c>
    </row>
    <row r="1079">
      <c r="A1079" t="inlineStr">
        <is>
          <t>29588374657</t>
        </is>
      </c>
      <c r="B1079" t="inlineStr">
        <is>
          <t>隔日到貨🔥 iPhone 手機殼 16 15 14 13 12 11 pro Max XS XR SE 保護殼 軟殼</t>
        </is>
      </c>
      <c r="C1079">
        <f>IMAGE("https://cf.shopee.tw/file/tw-11134207-7ra0k-mbtn9iljlfeh05_tn")</f>
        <v/>
      </c>
      <c r="D1079" t="inlineStr">
        <is>
          <t>蝴蝶白花束(單殼),13</t>
        </is>
      </c>
      <c r="E1079" t="inlineStr">
        <is>
          <t>243599993966</t>
        </is>
      </c>
      <c r="F1079">
        <f>IMAGE("https://cf.shopee.tw/file/tw-11134207-7ra0m-mbtn9iljpnj6d7_tn")</f>
        <v/>
      </c>
    </row>
    <row r="1080">
      <c r="A1080" t="inlineStr">
        <is>
          <t>29588374657</t>
        </is>
      </c>
      <c r="B1080" t="inlineStr">
        <is>
          <t>隔日到貨🔥 iPhone 手機殼 16 15 14 13 12 11 pro Max XS XR SE 保護殼 軟殼</t>
        </is>
      </c>
      <c r="C1080">
        <f>IMAGE("https://cf.shopee.tw/file/tw-11134207-7ra0k-mbtn9iljlfeh05_tn")</f>
        <v/>
      </c>
      <c r="D1080" t="inlineStr">
        <is>
          <t>蝴蝶白花束(單殼),13 pro</t>
        </is>
      </c>
      <c r="E1080" t="inlineStr">
        <is>
          <t>243599993967</t>
        </is>
      </c>
      <c r="F1080">
        <f>IMAGE("https://cf.shopee.tw/file/tw-11134207-7ra0m-mbtn9iljpnj6d7_tn")</f>
        <v/>
      </c>
    </row>
    <row r="1081">
      <c r="A1081" t="inlineStr">
        <is>
          <t>29588374657</t>
        </is>
      </c>
      <c r="B1081" t="inlineStr">
        <is>
          <t>隔日到貨🔥 iPhone 手機殼 16 15 14 13 12 11 pro Max XS XR SE 保護殼 軟殼</t>
        </is>
      </c>
      <c r="C1081">
        <f>IMAGE("https://cf.shopee.tw/file/tw-11134207-7ra0k-mbtn9iljlfeh05_tn")</f>
        <v/>
      </c>
      <c r="D1081" t="inlineStr">
        <is>
          <t>蝴蝶白花束(單殼),13 pro Max</t>
        </is>
      </c>
      <c r="E1081" t="inlineStr">
        <is>
          <t>243599993968</t>
        </is>
      </c>
      <c r="F1081">
        <f>IMAGE("https://cf.shopee.tw/file/tw-11134207-7ra0m-mbtn9iljpnj6d7_tn")</f>
        <v/>
      </c>
    </row>
    <row r="1082">
      <c r="A1082" t="inlineStr">
        <is>
          <t>29588374657</t>
        </is>
      </c>
      <c r="B1082" t="inlineStr">
        <is>
          <t>隔日到貨🔥 iPhone 手機殼 16 15 14 13 12 11 pro Max XS XR SE 保護殼 軟殼</t>
        </is>
      </c>
      <c r="C1082">
        <f>IMAGE("https://cf.shopee.tw/file/tw-11134207-7ra0k-mbtn9iljlfeh05_tn")</f>
        <v/>
      </c>
      <c r="D1082" t="inlineStr">
        <is>
          <t>蝴蝶白花束(單殼),13 mini</t>
        </is>
      </c>
      <c r="E1082" t="inlineStr">
        <is>
          <t>243599993982</t>
        </is>
      </c>
      <c r="F1082">
        <f>IMAGE("https://cf.shopee.tw/file/tw-11134207-7ra0m-mbtn9iljpnj6d7_tn")</f>
        <v/>
      </c>
    </row>
    <row r="1083">
      <c r="A1083" t="inlineStr">
        <is>
          <t>29588374657</t>
        </is>
      </c>
      <c r="B1083" t="inlineStr">
        <is>
          <t>隔日到貨🔥 iPhone 手機殼 16 15 14 13 12 11 pro Max XS XR SE 保護殼 軟殼</t>
        </is>
      </c>
      <c r="C1083">
        <f>IMAGE("https://cf.shopee.tw/file/tw-11134207-7ra0k-mbtn9iljlfeh05_tn")</f>
        <v/>
      </c>
      <c r="D1083" t="inlineStr">
        <is>
          <t>蝴蝶白花束(單殼),14</t>
        </is>
      </c>
      <c r="E1083" t="inlineStr">
        <is>
          <t>243599993969</t>
        </is>
      </c>
      <c r="F1083">
        <f>IMAGE("https://cf.shopee.tw/file/tw-11134207-7ra0m-mbtn9iljpnj6d7_tn")</f>
        <v/>
      </c>
    </row>
    <row r="1084">
      <c r="A1084" t="inlineStr">
        <is>
          <t>29588374657</t>
        </is>
      </c>
      <c r="B1084" t="inlineStr">
        <is>
          <t>隔日到貨🔥 iPhone 手機殼 16 15 14 13 12 11 pro Max XS XR SE 保護殼 軟殼</t>
        </is>
      </c>
      <c r="C1084">
        <f>IMAGE("https://cf.shopee.tw/file/tw-11134207-7ra0k-mbtn9iljlfeh05_tn")</f>
        <v/>
      </c>
      <c r="D1084" t="inlineStr">
        <is>
          <t>蝴蝶白花束(單殼),14 pro</t>
        </is>
      </c>
      <c r="E1084" t="inlineStr">
        <is>
          <t>243599993970</t>
        </is>
      </c>
      <c r="F1084">
        <f>IMAGE("https://cf.shopee.tw/file/tw-11134207-7ra0m-mbtn9iljpnj6d7_tn")</f>
        <v/>
      </c>
    </row>
    <row r="1085">
      <c r="A1085" t="inlineStr">
        <is>
          <t>29588374657</t>
        </is>
      </c>
      <c r="B1085" t="inlineStr">
        <is>
          <t>隔日到貨🔥 iPhone 手機殼 16 15 14 13 12 11 pro Max XS XR SE 保護殼 軟殼</t>
        </is>
      </c>
      <c r="C1085">
        <f>IMAGE("https://cf.shopee.tw/file/tw-11134207-7ra0k-mbtn9iljlfeh05_tn")</f>
        <v/>
      </c>
      <c r="D1085" t="inlineStr">
        <is>
          <t>蝴蝶白花束(單殼),14 pro Max</t>
        </is>
      </c>
      <c r="E1085" t="inlineStr">
        <is>
          <t>243599993971</t>
        </is>
      </c>
      <c r="F1085">
        <f>IMAGE("https://cf.shopee.tw/file/tw-11134207-7ra0m-mbtn9iljpnj6d7_tn")</f>
        <v/>
      </c>
    </row>
    <row r="1086">
      <c r="A1086" t="inlineStr">
        <is>
          <t>29588374657</t>
        </is>
      </c>
      <c r="B1086" t="inlineStr">
        <is>
          <t>隔日到貨🔥 iPhone 手機殼 16 15 14 13 12 11 pro Max XS XR SE 保護殼 軟殼</t>
        </is>
      </c>
      <c r="C1086">
        <f>IMAGE("https://cf.shopee.tw/file/tw-11134207-7ra0k-mbtn9iljlfeh05_tn")</f>
        <v/>
      </c>
      <c r="D1086" t="inlineStr">
        <is>
          <t>蝴蝶白花束(單殼),14 Plus</t>
        </is>
      </c>
      <c r="E1086" t="inlineStr">
        <is>
          <t>243599993972</t>
        </is>
      </c>
      <c r="F1086">
        <f>IMAGE("https://cf.shopee.tw/file/tw-11134207-7ra0m-mbtn9iljpnj6d7_tn")</f>
        <v/>
      </c>
    </row>
    <row r="1087">
      <c r="A1087" t="inlineStr">
        <is>
          <t>29588374657</t>
        </is>
      </c>
      <c r="B1087" t="inlineStr">
        <is>
          <t>隔日到貨🔥 iPhone 手機殼 16 15 14 13 12 11 pro Max XS XR SE 保護殼 軟殼</t>
        </is>
      </c>
      <c r="C1087">
        <f>IMAGE("https://cf.shopee.tw/file/tw-11134207-7ra0k-mbtn9iljlfeh05_tn")</f>
        <v/>
      </c>
      <c r="D1087" t="inlineStr">
        <is>
          <t>蝴蝶白花束(單殼),15</t>
        </is>
      </c>
      <c r="E1087" t="inlineStr">
        <is>
          <t>243599993973</t>
        </is>
      </c>
      <c r="F1087">
        <f>IMAGE("https://cf.shopee.tw/file/tw-11134207-7ra0m-mbtn9iljpnj6d7_tn")</f>
        <v/>
      </c>
    </row>
    <row r="1088">
      <c r="A1088" t="inlineStr">
        <is>
          <t>29588374657</t>
        </is>
      </c>
      <c r="B1088" t="inlineStr">
        <is>
          <t>隔日到貨🔥 iPhone 手機殼 16 15 14 13 12 11 pro Max XS XR SE 保護殼 軟殼</t>
        </is>
      </c>
      <c r="C1088">
        <f>IMAGE("https://cf.shopee.tw/file/tw-11134207-7ra0k-mbtn9iljlfeh05_tn")</f>
        <v/>
      </c>
      <c r="D1088" t="inlineStr">
        <is>
          <t>蝴蝶白花束(單殼),15 pro</t>
        </is>
      </c>
      <c r="E1088" t="inlineStr">
        <is>
          <t>243599993974</t>
        </is>
      </c>
      <c r="F1088">
        <f>IMAGE("https://cf.shopee.tw/file/tw-11134207-7ra0m-mbtn9iljpnj6d7_tn")</f>
        <v/>
      </c>
    </row>
    <row r="1089">
      <c r="A1089" t="inlineStr">
        <is>
          <t>29588374657</t>
        </is>
      </c>
      <c r="B1089" t="inlineStr">
        <is>
          <t>隔日到貨🔥 iPhone 手機殼 16 15 14 13 12 11 pro Max XS XR SE 保護殼 軟殼</t>
        </is>
      </c>
      <c r="C1089">
        <f>IMAGE("https://cf.shopee.tw/file/tw-11134207-7ra0k-mbtn9iljlfeh05_tn")</f>
        <v/>
      </c>
      <c r="D1089" t="inlineStr">
        <is>
          <t>蝴蝶白花束(單殼),15 pro Max</t>
        </is>
      </c>
      <c r="E1089" t="inlineStr">
        <is>
          <t>243599993975</t>
        </is>
      </c>
      <c r="F1089">
        <f>IMAGE("https://cf.shopee.tw/file/tw-11134207-7ra0m-mbtn9iljpnj6d7_tn")</f>
        <v/>
      </c>
    </row>
    <row r="1090">
      <c r="A1090" t="inlineStr">
        <is>
          <t>29588374657</t>
        </is>
      </c>
      <c r="B1090" t="inlineStr">
        <is>
          <t>隔日到貨🔥 iPhone 手機殼 16 15 14 13 12 11 pro Max XS XR SE 保護殼 軟殼</t>
        </is>
      </c>
      <c r="C1090">
        <f>IMAGE("https://cf.shopee.tw/file/tw-11134207-7ra0k-mbtn9iljlfeh05_tn")</f>
        <v/>
      </c>
      <c r="D1090" t="inlineStr">
        <is>
          <t>蝴蝶白花束(單殼),16</t>
        </is>
      </c>
      <c r="E1090" t="inlineStr">
        <is>
          <t>243599993977</t>
        </is>
      </c>
      <c r="F1090">
        <f>IMAGE("https://cf.shopee.tw/file/tw-11134207-7ra0m-mbtn9iljpnj6d7_tn")</f>
        <v/>
      </c>
    </row>
    <row r="1091">
      <c r="A1091" t="inlineStr">
        <is>
          <t>29588374657</t>
        </is>
      </c>
      <c r="B1091" t="inlineStr">
        <is>
          <t>隔日到貨🔥 iPhone 手機殼 16 15 14 13 12 11 pro Max XS XR SE 保護殼 軟殼</t>
        </is>
      </c>
      <c r="C1091">
        <f>IMAGE("https://cf.shopee.tw/file/tw-11134207-7ra0k-mbtn9iljlfeh05_tn")</f>
        <v/>
      </c>
      <c r="D1091" t="inlineStr">
        <is>
          <t>蝴蝶白花束(單殼),16 pro</t>
        </is>
      </c>
      <c r="E1091" t="inlineStr">
        <is>
          <t>243599993978</t>
        </is>
      </c>
      <c r="F1091">
        <f>IMAGE("https://cf.shopee.tw/file/tw-11134207-7ra0m-mbtn9iljpnj6d7_tn")</f>
        <v/>
      </c>
    </row>
    <row r="1092">
      <c r="A1092" t="inlineStr">
        <is>
          <t>29588374657</t>
        </is>
      </c>
      <c r="B1092" t="inlineStr">
        <is>
          <t>隔日到貨🔥 iPhone 手機殼 16 15 14 13 12 11 pro Max XS XR SE 保護殼 軟殼</t>
        </is>
      </c>
      <c r="C1092">
        <f>IMAGE("https://cf.shopee.tw/file/tw-11134207-7ra0k-mbtn9iljlfeh05_tn")</f>
        <v/>
      </c>
      <c r="D1092" t="inlineStr">
        <is>
          <t>蝴蝶白花束(單殼),16 pro Max</t>
        </is>
      </c>
      <c r="E1092" t="inlineStr">
        <is>
          <t>243599993979</t>
        </is>
      </c>
      <c r="F1092">
        <f>IMAGE("https://cf.shopee.tw/file/tw-11134207-7ra0m-mbtn9iljpnj6d7_tn")</f>
        <v/>
      </c>
    </row>
    <row r="1093">
      <c r="A1093" t="inlineStr">
        <is>
          <t>29588374657</t>
        </is>
      </c>
      <c r="B1093" t="inlineStr">
        <is>
          <t>隔日到貨🔥 iPhone 手機殼 16 15 14 13 12 11 pro Max XS XR SE 保護殼 軟殼</t>
        </is>
      </c>
      <c r="C1093">
        <f>IMAGE("https://cf.shopee.tw/file/tw-11134207-7ra0k-mbtn9iljlfeh05_tn")</f>
        <v/>
      </c>
      <c r="D1093" t="inlineStr">
        <is>
          <t>蝴蝶白花束(單殼),16 Plus</t>
        </is>
      </c>
      <c r="E1093" t="inlineStr">
        <is>
          <t>243599993980</t>
        </is>
      </c>
      <c r="F1093">
        <f>IMAGE("https://cf.shopee.tw/file/tw-11134207-7ra0m-mbtn9iljpnj6d7_tn")</f>
        <v/>
      </c>
    </row>
    <row r="1094">
      <c r="A1094" t="inlineStr">
        <is>
          <t>29588374657</t>
        </is>
      </c>
      <c r="B1094" t="inlineStr">
        <is>
          <t>隔日到貨🔥 iPhone 手機殼 16 15 14 13 12 11 pro Max XS XR SE 保護殼 軟殼</t>
        </is>
      </c>
      <c r="C1094">
        <f>IMAGE("https://cf.shopee.tw/file/tw-11134207-7ra0k-mbtn9iljlfeh05_tn")</f>
        <v/>
      </c>
      <c r="D1094" t="inlineStr">
        <is>
          <t>蝴蝶白花束(單殼),17</t>
        </is>
      </c>
      <c r="E1094" t="inlineStr">
        <is>
          <t>330295226984</t>
        </is>
      </c>
      <c r="F1094">
        <f>IMAGE("https://cf.shopee.tw/file/tw-11134207-7ra0m-mbtn9iljpnj6d7_tn")</f>
        <v/>
      </c>
    </row>
    <row r="1095">
      <c r="A1095" t="inlineStr">
        <is>
          <t>29588374657</t>
        </is>
      </c>
      <c r="B1095" t="inlineStr">
        <is>
          <t>隔日到貨🔥 iPhone 手機殼 16 15 14 13 12 11 pro Max XS XR SE 保護殼 軟殼</t>
        </is>
      </c>
      <c r="C1095">
        <f>IMAGE("https://cf.shopee.tw/file/tw-11134207-7ra0k-mbtn9iljlfeh05_tn")</f>
        <v/>
      </c>
      <c r="D1095" t="inlineStr">
        <is>
          <t>蝴蝶白花束(單殼),17 Pro</t>
        </is>
      </c>
      <c r="E1095" t="inlineStr">
        <is>
          <t>330295226985</t>
        </is>
      </c>
      <c r="F1095">
        <f>IMAGE("https://cf.shopee.tw/file/tw-11134207-7ra0m-mbtn9iljpnj6d7_tn")</f>
        <v/>
      </c>
    </row>
    <row r="1096">
      <c r="A1096" t="inlineStr">
        <is>
          <t>29588374657</t>
        </is>
      </c>
      <c r="B1096" t="inlineStr">
        <is>
          <t>隔日到貨🔥 iPhone 手機殼 16 15 14 13 12 11 pro Max XS XR SE 保護殼 軟殼</t>
        </is>
      </c>
      <c r="C1096">
        <f>IMAGE("https://cf.shopee.tw/file/tw-11134207-7ra0k-mbtn9iljlfeh05_tn")</f>
        <v/>
      </c>
      <c r="D1096" t="inlineStr">
        <is>
          <t>蝴蝶白花束(單殼),17 Pro Max</t>
        </is>
      </c>
      <c r="E1096" t="inlineStr">
        <is>
          <t>330295226986</t>
        </is>
      </c>
      <c r="F1096">
        <f>IMAGE("https://cf.shopee.tw/file/tw-11134207-7ra0m-mbtn9iljpnj6d7_tn")</f>
        <v/>
      </c>
    </row>
    <row r="1097">
      <c r="A1097" t="inlineStr">
        <is>
          <t>24338945121</t>
        </is>
      </c>
      <c r="B1097" t="inlineStr">
        <is>
          <t>隔日到貨🔥 羊毛襪 S10 秋冬加厚點點襪 日系保暖 冬襪 女襪 長襪 純色 棉襪 中筒襪 襪子 韓風 女生襪子 厚襪</t>
        </is>
      </c>
      <c r="C1097">
        <f>IMAGE("https://cf.shopee.tw/file/tw-11134207-7rasf-m37jc5ios6zx30_tn")</f>
        <v/>
      </c>
      <c r="D1097" t="inlineStr">
        <is>
          <t>黑色</t>
        </is>
      </c>
      <c r="E1097" t="inlineStr">
        <is>
          <t>89702800676</t>
        </is>
      </c>
      <c r="F1097">
        <f>IMAGE("https://cf.shopee.tw/file/tw-11134207-7rase-m37bdrkab87raf_tn")</f>
        <v/>
      </c>
    </row>
    <row r="1098">
      <c r="A1098" t="inlineStr">
        <is>
          <t>24338945121</t>
        </is>
      </c>
      <c r="B1098" t="inlineStr">
        <is>
          <t>隔日到貨🔥 羊毛襪 S10 秋冬加厚點點襪 日系保暖 冬襪 女襪 長襪 純色 棉襪 中筒襪 襪子 韓風 女生襪子 厚襪</t>
        </is>
      </c>
      <c r="C1098">
        <f>IMAGE("https://cf.shopee.tw/file/tw-11134207-7rasf-m37jc5ios6zx30_tn")</f>
        <v/>
      </c>
      <c r="D1098" t="inlineStr">
        <is>
          <t>米色</t>
        </is>
      </c>
      <c r="E1098" t="inlineStr">
        <is>
          <t>89702800677</t>
        </is>
      </c>
      <c r="F1098">
        <f>IMAGE("https://cf.shopee.tw/file/tw-11134207-7rask-m37bdrka8f2v86_tn")</f>
        <v/>
      </c>
    </row>
    <row r="1099">
      <c r="A1099" t="inlineStr">
        <is>
          <t>24338945121</t>
        </is>
      </c>
      <c r="B1099" t="inlineStr">
        <is>
          <t>隔日到貨🔥 羊毛襪 S10 秋冬加厚點點襪 日系保暖 冬襪 女襪 長襪 純色 棉襪 中筒襪 襪子 韓風 女生襪子 厚襪</t>
        </is>
      </c>
      <c r="C1099">
        <f>IMAGE("https://cf.shopee.tw/file/tw-11134207-7rasf-m37jc5ios6zx30_tn")</f>
        <v/>
      </c>
      <c r="D1099" t="inlineStr">
        <is>
          <t>丈青</t>
        </is>
      </c>
      <c r="E1099" t="inlineStr">
        <is>
          <t>89702800678</t>
        </is>
      </c>
      <c r="F1099">
        <f>IMAGE("https://cf.shopee.tw/file/tw-11134207-7rasc-m37bdrkbhd9369_tn")</f>
        <v/>
      </c>
    </row>
    <row r="1100">
      <c r="A1100" t="inlineStr">
        <is>
          <t>24338945121</t>
        </is>
      </c>
      <c r="B1100" t="inlineStr">
        <is>
          <t>隔日到貨🔥 羊毛襪 S10 秋冬加厚點點襪 日系保暖 冬襪 女襪 長襪 純色 棉襪 中筒襪 襪子 韓風 女生襪子 厚襪</t>
        </is>
      </c>
      <c r="C1100">
        <f>IMAGE("https://cf.shopee.tw/file/tw-11134207-7rasf-m37jc5ios6zx30_tn")</f>
        <v/>
      </c>
      <c r="D1100" t="inlineStr">
        <is>
          <t>咖啡</t>
        </is>
      </c>
      <c r="E1100" t="inlineStr">
        <is>
          <t>89702800679</t>
        </is>
      </c>
      <c r="F1100">
        <f>IMAGE("https://cf.shopee.tw/file/tw-11134207-7rasj-m37bdrkbwthze2_tn")</f>
        <v/>
      </c>
    </row>
    <row r="1101">
      <c r="A1101" t="inlineStr">
        <is>
          <t>24338945121</t>
        </is>
      </c>
      <c r="B1101" t="inlineStr">
        <is>
          <t>隔日到貨🔥 羊毛襪 S10 秋冬加厚點點襪 日系保暖 冬襪 女襪 長襪 純色 棉襪 中筒襪 襪子 韓風 女生襪子 厚襪</t>
        </is>
      </c>
      <c r="C1101">
        <f>IMAGE("https://cf.shopee.tw/file/tw-11134207-7rasf-m37jc5ios6zx30_tn")</f>
        <v/>
      </c>
      <c r="D1101" t="inlineStr">
        <is>
          <t>深咖</t>
        </is>
      </c>
      <c r="E1101" t="inlineStr">
        <is>
          <t>89702800680</t>
        </is>
      </c>
      <c r="F1101">
        <f>IMAGE("https://cf.shopee.tw/file/tw-11134207-7rasg-m37bdrkamgrb2b_tn")</f>
        <v/>
      </c>
    </row>
    <row r="1102">
      <c r="A1102" t="inlineStr">
        <is>
          <t>24338945121</t>
        </is>
      </c>
      <c r="B1102" t="inlineStr">
        <is>
          <t>隔日到貨🔥 羊毛襪 S10 秋冬加厚點點襪 日系保暖 冬襪 女襪 長襪 純色 棉襪 中筒襪 襪子 韓風 女生襪子 厚襪</t>
        </is>
      </c>
      <c r="C1102">
        <f>IMAGE("https://cf.shopee.tw/file/tw-11134207-7rasf-m37jc5ios6zx30_tn")</f>
        <v/>
      </c>
      <c r="D1102" t="inlineStr">
        <is>
          <t>卡其</t>
        </is>
      </c>
      <c r="E1102" t="inlineStr">
        <is>
          <t>89702800681</t>
        </is>
      </c>
      <c r="F1102">
        <f>IMAGE("https://cf.shopee.tw/file/tw-11134207-7rasi-m37bdrkcc9qvaf_tn")</f>
        <v/>
      </c>
    </row>
    <row r="1103">
      <c r="A1103" t="inlineStr">
        <is>
          <t>25209231609</t>
        </is>
      </c>
      <c r="B1103" t="inlineStr">
        <is>
          <t>隔日到貨🔥 iPhone 手機殼 17 16 15 14 pro 13 12 11 XR SE X 保護殼 軟殼 蘋果</t>
        </is>
      </c>
      <c r="C1103">
        <f>IMAGE("https://cf.shopee.tw/file/tw-11134207-7r991-lqnkxpaenv2af0_tn")</f>
        <v/>
      </c>
      <c r="D1103" t="inlineStr">
        <is>
          <t>怪獸大派對,16 pro Max</t>
        </is>
      </c>
      <c r="E1103" t="inlineStr">
        <is>
          <t>187868744260</t>
        </is>
      </c>
      <c r="F1103">
        <f>IMAGE("https://cf.shopee.tw/file/tw-11134207-7r992-lqnla45spwpk61_tn")</f>
        <v/>
      </c>
    </row>
    <row r="1104">
      <c r="A1104" t="inlineStr">
        <is>
          <t>25209231609</t>
        </is>
      </c>
      <c r="B1104" t="inlineStr">
        <is>
          <t>隔日到貨🔥 iPhone 手機殼 17 16 15 14 pro 13 12 11 XR SE X 保護殼 軟殼 蘋果</t>
        </is>
      </c>
      <c r="C1104">
        <f>IMAGE("https://cf.shopee.tw/file/tw-11134207-7r991-lqnkxpaenv2af0_tn")</f>
        <v/>
      </c>
      <c r="D1104" t="inlineStr">
        <is>
          <t>怪獸大派對,7/8/SE2/SE3</t>
        </is>
      </c>
      <c r="E1104" t="inlineStr">
        <is>
          <t>235996999805</t>
        </is>
      </c>
      <c r="F1104">
        <f>IMAGE("https://cf.shopee.tw/file/tw-11134207-7r992-lqnla45spwpk61_tn")</f>
        <v/>
      </c>
    </row>
    <row r="1105">
      <c r="A1105" t="inlineStr">
        <is>
          <t>25209231609</t>
        </is>
      </c>
      <c r="B1105" t="inlineStr">
        <is>
          <t>隔日到貨🔥 iPhone 手機殼 17 16 15 14 pro 13 12 11 XR SE X 保護殼 軟殼 蘋果</t>
        </is>
      </c>
      <c r="C1105">
        <f>IMAGE("https://cf.shopee.tw/file/tw-11134207-7r991-lqnkxpaenv2af0_tn")</f>
        <v/>
      </c>
      <c r="D1105" t="inlineStr">
        <is>
          <t>怪獸大派對,7Plus/8Plus</t>
        </is>
      </c>
      <c r="E1105" t="inlineStr">
        <is>
          <t>235996999806</t>
        </is>
      </c>
      <c r="F1105">
        <f>IMAGE("https://cf.shopee.tw/file/tw-11134207-7r992-lqnla45spwpk61_tn")</f>
        <v/>
      </c>
    </row>
    <row r="1106">
      <c r="A1106" t="inlineStr">
        <is>
          <t>25209231609</t>
        </is>
      </c>
      <c r="B1106" t="inlineStr">
        <is>
          <t>隔日到貨🔥 iPhone 手機殼 17 16 15 14 pro 13 12 11 XR SE X 保護殼 軟殼 蘋果</t>
        </is>
      </c>
      <c r="C1106">
        <f>IMAGE("https://cf.shopee.tw/file/tw-11134207-7r991-lqnkxpaenv2af0_tn")</f>
        <v/>
      </c>
      <c r="D1106" t="inlineStr">
        <is>
          <t>怪獸大派對,X/XS</t>
        </is>
      </c>
      <c r="E1106" t="inlineStr">
        <is>
          <t>235996999807</t>
        </is>
      </c>
      <c r="F1106">
        <f>IMAGE("https://cf.shopee.tw/file/tw-11134207-7r992-lqnla45spwpk61_tn")</f>
        <v/>
      </c>
    </row>
    <row r="1107">
      <c r="A1107" t="inlineStr">
        <is>
          <t>25209231609</t>
        </is>
      </c>
      <c r="B1107" t="inlineStr">
        <is>
          <t>隔日到貨🔥 iPhone 手機殼 17 16 15 14 pro 13 12 11 XR SE X 保護殼 軟殼 蘋果</t>
        </is>
      </c>
      <c r="C1107">
        <f>IMAGE("https://cf.shopee.tw/file/tw-11134207-7r991-lqnkxpaenv2af0_tn")</f>
        <v/>
      </c>
      <c r="D1107" t="inlineStr">
        <is>
          <t>怪獸大派對,XR</t>
        </is>
      </c>
      <c r="E1107" t="inlineStr">
        <is>
          <t>235996999808</t>
        </is>
      </c>
      <c r="F1107">
        <f>IMAGE("https://cf.shopee.tw/file/tw-11134207-7r992-lqnla45spwpk61_tn")</f>
        <v/>
      </c>
    </row>
    <row r="1108">
      <c r="A1108" t="inlineStr">
        <is>
          <t>25209231609</t>
        </is>
      </c>
      <c r="B1108" t="inlineStr">
        <is>
          <t>隔日到貨🔥 iPhone 手機殼 17 16 15 14 pro 13 12 11 XR SE X 保護殼 軟殼 蘋果</t>
        </is>
      </c>
      <c r="C1108">
        <f>IMAGE("https://cf.shopee.tw/file/tw-11134207-7r991-lqnkxpaenv2af0_tn")</f>
        <v/>
      </c>
      <c r="D1108" t="inlineStr">
        <is>
          <t>怪獸大派對,XS Max</t>
        </is>
      </c>
      <c r="E1108" t="inlineStr">
        <is>
          <t>235996999809</t>
        </is>
      </c>
      <c r="F1108">
        <f>IMAGE("https://cf.shopee.tw/file/tw-11134207-7r992-lqnla45spwpk61_tn")</f>
        <v/>
      </c>
    </row>
    <row r="1109">
      <c r="A1109" t="inlineStr">
        <is>
          <t>25209231609</t>
        </is>
      </c>
      <c r="B1109" t="inlineStr">
        <is>
          <t>隔日到貨🔥 iPhone 手機殼 17 16 15 14 pro 13 12 11 XR SE X 保護殼 軟殼 蘋果</t>
        </is>
      </c>
      <c r="C1109">
        <f>IMAGE("https://cf.shopee.tw/file/tw-11134207-7r991-lqnkxpaenv2af0_tn")</f>
        <v/>
      </c>
      <c r="D1109" t="inlineStr">
        <is>
          <t>怪獸大派對,11</t>
        </is>
      </c>
      <c r="E1109" t="inlineStr">
        <is>
          <t>240238170449</t>
        </is>
      </c>
      <c r="F1109">
        <f>IMAGE("https://cf.shopee.tw/file/tw-11134207-7r992-lqnla45spwpk61_tn")</f>
        <v/>
      </c>
    </row>
    <row r="1110">
      <c r="A1110" t="inlineStr">
        <is>
          <t>25209231609</t>
        </is>
      </c>
      <c r="B1110" t="inlineStr">
        <is>
          <t>隔日到貨🔥 iPhone 手機殼 17 16 15 14 pro 13 12 11 XR SE X 保護殼 軟殼 蘋果</t>
        </is>
      </c>
      <c r="C1110">
        <f>IMAGE("https://cf.shopee.tw/file/tw-11134207-7r991-lqnkxpaenv2af0_tn")</f>
        <v/>
      </c>
      <c r="D1110" t="inlineStr">
        <is>
          <t>怪獸大派對,11 pro</t>
        </is>
      </c>
      <c r="E1110" t="inlineStr">
        <is>
          <t>240238170450</t>
        </is>
      </c>
      <c r="F1110">
        <f>IMAGE("https://cf.shopee.tw/file/tw-11134207-7r992-lqnla45spwpk61_tn")</f>
        <v/>
      </c>
    </row>
    <row r="1111">
      <c r="A1111" t="inlineStr">
        <is>
          <t>25209231609</t>
        </is>
      </c>
      <c r="B1111" t="inlineStr">
        <is>
          <t>隔日到貨🔥 iPhone 手機殼 17 16 15 14 pro 13 12 11 XR SE X 保護殼 軟殼 蘋果</t>
        </is>
      </c>
      <c r="C1111">
        <f>IMAGE("https://cf.shopee.tw/file/tw-11134207-7r991-lqnkxpaenv2af0_tn")</f>
        <v/>
      </c>
      <c r="D1111" t="inlineStr">
        <is>
          <t>怪獸大派對,11 pro Max</t>
        </is>
      </c>
      <c r="E1111" t="inlineStr">
        <is>
          <t>240238170451</t>
        </is>
      </c>
      <c r="F1111">
        <f>IMAGE("https://cf.shopee.tw/file/tw-11134207-7r992-lqnla45spwpk61_tn")</f>
        <v/>
      </c>
    </row>
    <row r="1112">
      <c r="A1112" t="inlineStr">
        <is>
          <t>25209231609</t>
        </is>
      </c>
      <c r="B1112" t="inlineStr">
        <is>
          <t>隔日到貨🔥 iPhone 手機殼 17 16 15 14 pro 13 12 11 XR SE X 保護殼 軟殼 蘋果</t>
        </is>
      </c>
      <c r="C1112">
        <f>IMAGE("https://cf.shopee.tw/file/tw-11134207-7r991-lqnkxpaenv2af0_tn")</f>
        <v/>
      </c>
      <c r="D1112" t="inlineStr">
        <is>
          <t>怪獸大派對,12</t>
        </is>
      </c>
      <c r="E1112" t="inlineStr">
        <is>
          <t>240238170452</t>
        </is>
      </c>
      <c r="F1112">
        <f>IMAGE("https://cf.shopee.tw/file/tw-11134207-7r992-lqnla45spwpk61_tn")</f>
        <v/>
      </c>
    </row>
    <row r="1113">
      <c r="A1113" t="inlineStr">
        <is>
          <t>25209231609</t>
        </is>
      </c>
      <c r="B1113" t="inlineStr">
        <is>
          <t>隔日到貨🔥 iPhone 手機殼 17 16 15 14 pro 13 12 11 XR SE X 保護殼 軟殼 蘋果</t>
        </is>
      </c>
      <c r="C1113">
        <f>IMAGE("https://cf.shopee.tw/file/tw-11134207-7r991-lqnkxpaenv2af0_tn")</f>
        <v/>
      </c>
      <c r="D1113" t="inlineStr">
        <is>
          <t>怪獸大派對,12 pro</t>
        </is>
      </c>
      <c r="E1113" t="inlineStr">
        <is>
          <t>240238170453</t>
        </is>
      </c>
      <c r="F1113">
        <f>IMAGE("https://cf.shopee.tw/file/tw-11134207-7r992-lqnla45spwpk61_tn")</f>
        <v/>
      </c>
    </row>
    <row r="1114">
      <c r="A1114" t="inlineStr">
        <is>
          <t>25209231609</t>
        </is>
      </c>
      <c r="B1114" t="inlineStr">
        <is>
          <t>隔日到貨🔥 iPhone 手機殼 17 16 15 14 pro 13 12 11 XR SE X 保護殼 軟殼 蘋果</t>
        </is>
      </c>
      <c r="C1114">
        <f>IMAGE("https://cf.shopee.tw/file/tw-11134207-7r991-lqnkxpaenv2af0_tn")</f>
        <v/>
      </c>
      <c r="D1114" t="inlineStr">
        <is>
          <t>怪獸大派對,12 pro Max</t>
        </is>
      </c>
      <c r="E1114" t="inlineStr">
        <is>
          <t>240238170454</t>
        </is>
      </c>
      <c r="F1114">
        <f>IMAGE("https://cf.shopee.tw/file/tw-11134207-7r992-lqnla45spwpk61_tn")</f>
        <v/>
      </c>
    </row>
    <row r="1115">
      <c r="A1115" t="inlineStr">
        <is>
          <t>25209231609</t>
        </is>
      </c>
      <c r="B1115" t="inlineStr">
        <is>
          <t>隔日到貨🔥 iPhone 手機殼 17 16 15 14 pro 13 12 11 XR SE X 保護殼 軟殼 蘋果</t>
        </is>
      </c>
      <c r="C1115">
        <f>IMAGE("https://cf.shopee.tw/file/tw-11134207-7r991-lqnkxpaenv2af0_tn")</f>
        <v/>
      </c>
      <c r="D1115" t="inlineStr">
        <is>
          <t>怪獸大派對,13</t>
        </is>
      </c>
      <c r="E1115" t="inlineStr">
        <is>
          <t>240238170455</t>
        </is>
      </c>
      <c r="F1115">
        <f>IMAGE("https://cf.shopee.tw/file/tw-11134207-7r992-lqnla45spwpk61_tn")</f>
        <v/>
      </c>
    </row>
    <row r="1116">
      <c r="A1116" t="inlineStr">
        <is>
          <t>25209231609</t>
        </is>
      </c>
      <c r="B1116" t="inlineStr">
        <is>
          <t>隔日到貨🔥 iPhone 手機殼 17 16 15 14 pro 13 12 11 XR SE X 保護殼 軟殼 蘋果</t>
        </is>
      </c>
      <c r="C1116">
        <f>IMAGE("https://cf.shopee.tw/file/tw-11134207-7r991-lqnkxpaenv2af0_tn")</f>
        <v/>
      </c>
      <c r="D1116" t="inlineStr">
        <is>
          <t>怪獸大派對,13 pro</t>
        </is>
      </c>
      <c r="E1116" t="inlineStr">
        <is>
          <t>240238170456</t>
        </is>
      </c>
      <c r="F1116">
        <f>IMAGE("https://cf.shopee.tw/file/tw-11134207-7r992-lqnla45spwpk61_tn")</f>
        <v/>
      </c>
    </row>
    <row r="1117">
      <c r="A1117" t="inlineStr">
        <is>
          <t>25209231609</t>
        </is>
      </c>
      <c r="B1117" t="inlineStr">
        <is>
          <t>隔日到貨🔥 iPhone 手機殼 17 16 15 14 pro 13 12 11 XR SE X 保護殼 軟殼 蘋果</t>
        </is>
      </c>
      <c r="C1117">
        <f>IMAGE("https://cf.shopee.tw/file/tw-11134207-7r991-lqnkxpaenv2af0_tn")</f>
        <v/>
      </c>
      <c r="D1117" t="inlineStr">
        <is>
          <t>怪獸大派對,13 pro Max</t>
        </is>
      </c>
      <c r="E1117" t="inlineStr">
        <is>
          <t>240238170457</t>
        </is>
      </c>
      <c r="F1117">
        <f>IMAGE("https://cf.shopee.tw/file/tw-11134207-7r992-lqnla45spwpk61_tn")</f>
        <v/>
      </c>
    </row>
    <row r="1118">
      <c r="A1118" t="inlineStr">
        <is>
          <t>25209231609</t>
        </is>
      </c>
      <c r="B1118" t="inlineStr">
        <is>
          <t>隔日到貨🔥 iPhone 手機殼 17 16 15 14 pro 13 12 11 XR SE X 保護殼 軟殼 蘋果</t>
        </is>
      </c>
      <c r="C1118">
        <f>IMAGE("https://cf.shopee.tw/file/tw-11134207-7r991-lqnkxpaenv2af0_tn")</f>
        <v/>
      </c>
      <c r="D1118" t="inlineStr">
        <is>
          <t>怪獸大派對,14</t>
        </is>
      </c>
      <c r="E1118" t="inlineStr">
        <is>
          <t>240238170458</t>
        </is>
      </c>
      <c r="F1118">
        <f>IMAGE("https://cf.shopee.tw/file/tw-11134207-7r992-lqnla45spwpk61_tn")</f>
        <v/>
      </c>
    </row>
    <row r="1119">
      <c r="A1119" t="inlineStr">
        <is>
          <t>25209231609</t>
        </is>
      </c>
      <c r="B1119" t="inlineStr">
        <is>
          <t>隔日到貨🔥 iPhone 手機殼 17 16 15 14 pro 13 12 11 XR SE X 保護殼 軟殼 蘋果</t>
        </is>
      </c>
      <c r="C1119">
        <f>IMAGE("https://cf.shopee.tw/file/tw-11134207-7r991-lqnkxpaenv2af0_tn")</f>
        <v/>
      </c>
      <c r="D1119" t="inlineStr">
        <is>
          <t>怪獸大派對,14 pro</t>
        </is>
      </c>
      <c r="E1119" t="inlineStr">
        <is>
          <t>240238170459</t>
        </is>
      </c>
      <c r="F1119">
        <f>IMAGE("https://cf.shopee.tw/file/tw-11134207-7r992-lqnla45spwpk61_tn")</f>
        <v/>
      </c>
    </row>
    <row r="1120">
      <c r="A1120" t="inlineStr">
        <is>
          <t>25209231609</t>
        </is>
      </c>
      <c r="B1120" t="inlineStr">
        <is>
          <t>隔日到貨🔥 iPhone 手機殼 17 16 15 14 pro 13 12 11 XR SE X 保護殼 軟殼 蘋果</t>
        </is>
      </c>
      <c r="C1120">
        <f>IMAGE("https://cf.shopee.tw/file/tw-11134207-7r991-lqnkxpaenv2af0_tn")</f>
        <v/>
      </c>
      <c r="D1120" t="inlineStr">
        <is>
          <t>怪獸大派對,14 pro Max</t>
        </is>
      </c>
      <c r="E1120" t="inlineStr">
        <is>
          <t>240238170460</t>
        </is>
      </c>
      <c r="F1120">
        <f>IMAGE("https://cf.shopee.tw/file/tw-11134207-7r992-lqnla45spwpk61_tn")</f>
        <v/>
      </c>
    </row>
    <row r="1121">
      <c r="A1121" t="inlineStr">
        <is>
          <t>25209231609</t>
        </is>
      </c>
      <c r="B1121" t="inlineStr">
        <is>
          <t>隔日到貨🔥 iPhone 手機殼 17 16 15 14 pro 13 12 11 XR SE X 保護殼 軟殼 蘋果</t>
        </is>
      </c>
      <c r="C1121">
        <f>IMAGE("https://cf.shopee.tw/file/tw-11134207-7r991-lqnkxpaenv2af0_tn")</f>
        <v/>
      </c>
      <c r="D1121" t="inlineStr">
        <is>
          <t>怪獸大派對,14 Plus</t>
        </is>
      </c>
      <c r="E1121" t="inlineStr">
        <is>
          <t>240238170461</t>
        </is>
      </c>
      <c r="F1121">
        <f>IMAGE("https://cf.shopee.tw/file/tw-11134207-7r992-lqnla45spwpk61_tn")</f>
        <v/>
      </c>
    </row>
    <row r="1122">
      <c r="A1122" t="inlineStr">
        <is>
          <t>25209231609</t>
        </is>
      </c>
      <c r="B1122" t="inlineStr">
        <is>
          <t>隔日到貨🔥 iPhone 手機殼 17 16 15 14 pro 13 12 11 XR SE X 保護殼 軟殼 蘋果</t>
        </is>
      </c>
      <c r="C1122">
        <f>IMAGE("https://cf.shopee.tw/file/tw-11134207-7r991-lqnkxpaenv2af0_tn")</f>
        <v/>
      </c>
      <c r="D1122" t="inlineStr">
        <is>
          <t>怪獸大派對,15</t>
        </is>
      </c>
      <c r="E1122" t="inlineStr">
        <is>
          <t>240238170462</t>
        </is>
      </c>
      <c r="F1122">
        <f>IMAGE("https://cf.shopee.tw/file/tw-11134207-7r992-lqnla45spwpk61_tn")</f>
        <v/>
      </c>
    </row>
    <row r="1123">
      <c r="A1123" t="inlineStr">
        <is>
          <t>25209231609</t>
        </is>
      </c>
      <c r="B1123" t="inlineStr">
        <is>
          <t>隔日到貨🔥 iPhone 手機殼 17 16 15 14 pro 13 12 11 XR SE X 保護殼 軟殼 蘋果</t>
        </is>
      </c>
      <c r="C1123">
        <f>IMAGE("https://cf.shopee.tw/file/tw-11134207-7r991-lqnkxpaenv2af0_tn")</f>
        <v/>
      </c>
      <c r="D1123" t="inlineStr">
        <is>
          <t>怪獸大派對,15 pro</t>
        </is>
      </c>
      <c r="E1123" t="inlineStr">
        <is>
          <t>240238170463</t>
        </is>
      </c>
      <c r="F1123">
        <f>IMAGE("https://cf.shopee.tw/file/tw-11134207-7r992-lqnla45spwpk61_tn")</f>
        <v/>
      </c>
    </row>
    <row r="1124">
      <c r="A1124" t="inlineStr">
        <is>
          <t>25209231609</t>
        </is>
      </c>
      <c r="B1124" t="inlineStr">
        <is>
          <t>隔日到貨🔥 iPhone 手機殼 17 16 15 14 pro 13 12 11 XR SE X 保護殼 軟殼 蘋果</t>
        </is>
      </c>
      <c r="C1124">
        <f>IMAGE("https://cf.shopee.tw/file/tw-11134207-7r991-lqnkxpaenv2af0_tn")</f>
        <v/>
      </c>
      <c r="D1124" t="inlineStr">
        <is>
          <t>怪獸大派對,15 pro Max</t>
        </is>
      </c>
      <c r="E1124" t="inlineStr">
        <is>
          <t>240238170464</t>
        </is>
      </c>
      <c r="F1124">
        <f>IMAGE("https://cf.shopee.tw/file/tw-11134207-7r992-lqnla45spwpk61_tn")</f>
        <v/>
      </c>
    </row>
    <row r="1125">
      <c r="A1125" t="inlineStr">
        <is>
          <t>25209231609</t>
        </is>
      </c>
      <c r="B1125" t="inlineStr">
        <is>
          <t>隔日到貨🔥 iPhone 手機殼 17 16 15 14 pro 13 12 11 XR SE X 保護殼 軟殼 蘋果</t>
        </is>
      </c>
      <c r="C1125">
        <f>IMAGE("https://cf.shopee.tw/file/tw-11134207-7r991-lqnkxpaenv2af0_tn")</f>
        <v/>
      </c>
      <c r="D1125" t="inlineStr">
        <is>
          <t>怪獸大派對,15 Plus</t>
        </is>
      </c>
      <c r="E1125" t="inlineStr">
        <is>
          <t>240238170465</t>
        </is>
      </c>
      <c r="F1125">
        <f>IMAGE("https://cf.shopee.tw/file/tw-11134207-7r992-lqnla45spwpk61_tn")</f>
        <v/>
      </c>
    </row>
    <row r="1126">
      <c r="A1126" t="inlineStr">
        <is>
          <t>25209231609</t>
        </is>
      </c>
      <c r="B1126" t="inlineStr">
        <is>
          <t>隔日到貨🔥 iPhone 手機殼 17 16 15 14 pro 13 12 11 XR SE X 保護殼 軟殼 蘋果</t>
        </is>
      </c>
      <c r="C1126">
        <f>IMAGE("https://cf.shopee.tw/file/tw-11134207-7r991-lqnkxpaenv2af0_tn")</f>
        <v/>
      </c>
      <c r="D1126" t="inlineStr">
        <is>
          <t>怪獸大派對,16</t>
        </is>
      </c>
      <c r="E1126" t="inlineStr">
        <is>
          <t>187868744258</t>
        </is>
      </c>
      <c r="F1126">
        <f>IMAGE("https://cf.shopee.tw/file/tw-11134207-7r992-lqnla45spwpk61_tn")</f>
        <v/>
      </c>
    </row>
    <row r="1127">
      <c r="A1127" t="inlineStr">
        <is>
          <t>25209231609</t>
        </is>
      </c>
      <c r="B1127" t="inlineStr">
        <is>
          <t>隔日到貨🔥 iPhone 手機殼 17 16 15 14 pro 13 12 11 XR SE X 保護殼 軟殼 蘋果</t>
        </is>
      </c>
      <c r="C1127">
        <f>IMAGE("https://cf.shopee.tw/file/tw-11134207-7r991-lqnkxpaenv2af0_tn")</f>
        <v/>
      </c>
      <c r="D1127" t="inlineStr">
        <is>
          <t>怪獸大派對,16 pro</t>
        </is>
      </c>
      <c r="E1127" t="inlineStr">
        <is>
          <t>187868744259</t>
        </is>
      </c>
      <c r="F1127">
        <f>IMAGE("https://cf.shopee.tw/file/tw-11134207-7r992-lqnla45spwpk61_tn")</f>
        <v/>
      </c>
    </row>
    <row r="1128">
      <c r="A1128" t="inlineStr">
        <is>
          <t>25209231609</t>
        </is>
      </c>
      <c r="B1128" t="inlineStr">
        <is>
          <t>隔日到貨🔥 iPhone 手機殼 17 16 15 14 pro 13 12 11 XR SE X 保護殼 軟殼 蘋果</t>
        </is>
      </c>
      <c r="C1128">
        <f>IMAGE("https://cf.shopee.tw/file/tw-11134207-7r991-lqnkxpaenv2af0_tn")</f>
        <v/>
      </c>
      <c r="D1128" t="inlineStr">
        <is>
          <t>怪獸大派對,16 Plus</t>
        </is>
      </c>
      <c r="E1128" t="inlineStr">
        <is>
          <t>187868744261</t>
        </is>
      </c>
      <c r="F1128">
        <f>IMAGE("https://cf.shopee.tw/file/tw-11134207-7r992-lqnla45spwpk61_tn")</f>
        <v/>
      </c>
    </row>
    <row r="1129">
      <c r="A1129" t="inlineStr">
        <is>
          <t>25209231609</t>
        </is>
      </c>
      <c r="B1129" t="inlineStr">
        <is>
          <t>隔日到貨🔥 iPhone 手機殼 17 16 15 14 pro 13 12 11 XR SE X 保護殼 軟殼 蘋果</t>
        </is>
      </c>
      <c r="C1129">
        <f>IMAGE("https://cf.shopee.tw/file/tw-11134207-7r991-lqnkxpaenv2af0_tn")</f>
        <v/>
      </c>
      <c r="D1129" t="inlineStr">
        <is>
          <t>怪獸大派對,16e</t>
        </is>
      </c>
      <c r="E1129" t="inlineStr">
        <is>
          <t>305336141375</t>
        </is>
      </c>
      <c r="F1129">
        <f>IMAGE("https://cf.shopee.tw/file/tw-11134207-7r992-lqnla45spwpk61_tn")</f>
        <v/>
      </c>
    </row>
    <row r="1130">
      <c r="A1130" t="inlineStr">
        <is>
          <t>25209231609</t>
        </is>
      </c>
      <c r="B1130" t="inlineStr">
        <is>
          <t>隔日到貨🔥 iPhone 手機殼 17 16 15 14 pro 13 12 11 XR SE X 保護殼 軟殼 蘋果</t>
        </is>
      </c>
      <c r="C1130">
        <f>IMAGE("https://cf.shopee.tw/file/tw-11134207-7r991-lqnkxpaenv2af0_tn")</f>
        <v/>
      </c>
      <c r="D1130" t="inlineStr">
        <is>
          <t>怪獸大派對,17</t>
        </is>
      </c>
      <c r="E1130" t="inlineStr">
        <is>
          <t>370088793892</t>
        </is>
      </c>
      <c r="F1130">
        <f>IMAGE("https://cf.shopee.tw/file/tw-11134207-7r992-lqnla45spwpk61_tn")</f>
        <v/>
      </c>
    </row>
    <row r="1131">
      <c r="A1131" t="inlineStr">
        <is>
          <t>25209231609</t>
        </is>
      </c>
      <c r="B1131" t="inlineStr">
        <is>
          <t>隔日到貨🔥 iPhone 手機殼 17 16 15 14 pro 13 12 11 XR SE X 保護殼 軟殼 蘋果</t>
        </is>
      </c>
      <c r="C1131">
        <f>IMAGE("https://cf.shopee.tw/file/tw-11134207-7r991-lqnkxpaenv2af0_tn")</f>
        <v/>
      </c>
      <c r="D1131" t="inlineStr">
        <is>
          <t>怪獸大派對,17 pro</t>
        </is>
      </c>
      <c r="E1131" t="inlineStr">
        <is>
          <t>370088793893</t>
        </is>
      </c>
      <c r="F1131">
        <f>IMAGE("https://cf.shopee.tw/file/tw-11134207-7r992-lqnla45spwpk61_tn")</f>
        <v/>
      </c>
    </row>
    <row r="1132">
      <c r="A1132" t="inlineStr">
        <is>
          <t>25209231609</t>
        </is>
      </c>
      <c r="B1132" t="inlineStr">
        <is>
          <t>隔日到貨🔥 iPhone 手機殼 17 16 15 14 pro 13 12 11 XR SE X 保護殼 軟殼 蘋果</t>
        </is>
      </c>
      <c r="C1132">
        <f>IMAGE("https://cf.shopee.tw/file/tw-11134207-7r991-lqnkxpaenv2af0_tn")</f>
        <v/>
      </c>
      <c r="D1132" t="inlineStr">
        <is>
          <t>怪獸大派對,17 pro Max</t>
        </is>
      </c>
      <c r="E1132" t="inlineStr">
        <is>
          <t>370088793894</t>
        </is>
      </c>
      <c r="F1132">
        <f>IMAGE("https://cf.shopee.tw/file/tw-11134207-7r992-lqnla45spwpk61_tn")</f>
        <v/>
      </c>
    </row>
    <row r="1133">
      <c r="A1133" t="inlineStr">
        <is>
          <t>25209231609</t>
        </is>
      </c>
      <c r="B1133" t="inlineStr">
        <is>
          <t>隔日到貨🔥 iPhone 手機殼 17 16 15 14 pro 13 12 11 XR SE X 保護殼 軟殼 蘋果</t>
        </is>
      </c>
      <c r="C1133">
        <f>IMAGE("https://cf.shopee.tw/file/tw-11134207-7r991-lqnkxpaenv2af0_tn")</f>
        <v/>
      </c>
      <c r="D1133" t="inlineStr">
        <is>
          <t>怪獸大派對,17 Air</t>
        </is>
      </c>
      <c r="E1133" t="inlineStr">
        <is>
          <t>370088793895</t>
        </is>
      </c>
      <c r="F1133">
        <f>IMAGE("https://cf.shopee.tw/file/tw-11134207-7r992-lqnla45spwpk61_tn")</f>
        <v/>
      </c>
    </row>
    <row r="1134">
      <c r="A1134" t="inlineStr">
        <is>
          <t>26961965768</t>
        </is>
      </c>
      <c r="B1134" t="inlineStr">
        <is>
          <t>隔日到貨🔥 iPhone 手機殼 17 16 15 14 13 12 pro 保護殼 軟殼 蘋果 Apple 防摔殼</t>
        </is>
      </c>
      <c r="C1134">
        <f>IMAGE("https://cf.shopee.tw/file/tw-11134207-7rasd-m0el0aw4irxj77_tn")</f>
        <v/>
      </c>
      <c r="D1134" t="inlineStr">
        <is>
          <t>豆粉色,16 Plus</t>
        </is>
      </c>
      <c r="E1134" t="inlineStr">
        <is>
          <t>256639301003</t>
        </is>
      </c>
      <c r="F1134">
        <f>IMAGE("https://cf.shopee.tw/file/tw-11134207-7ras8-m0el0aw4k6hz1c_tn")</f>
        <v/>
      </c>
    </row>
    <row r="1135">
      <c r="A1135" t="inlineStr">
        <is>
          <t>26961965768</t>
        </is>
      </c>
      <c r="B1135" t="inlineStr">
        <is>
          <t>隔日到貨🔥 iPhone 手機殼 17 16 15 14 13 12 pro 保護殼 軟殼 蘋果 Apple 防摔殼</t>
        </is>
      </c>
      <c r="C1135">
        <f>IMAGE("https://cf.shopee.tw/file/tw-11134207-7rasd-m0el0aw4irxj77_tn")</f>
        <v/>
      </c>
      <c r="D1135" t="inlineStr">
        <is>
          <t>煙灰藍,14 Pro Max</t>
        </is>
      </c>
      <c r="E1135" t="inlineStr">
        <is>
          <t>256639301029</t>
        </is>
      </c>
      <c r="F1135">
        <f>IMAGE("https://cf.shopee.tw/file/tw-11134207-7rasf-m0el0awo2ig779_tn")</f>
        <v/>
      </c>
    </row>
    <row r="1136">
      <c r="A1136" t="inlineStr">
        <is>
          <t>26961965768</t>
        </is>
      </c>
      <c r="B1136" t="inlineStr">
        <is>
          <t>隔日到貨🔥 iPhone 手機殼 17 16 15 14 13 12 pro 保護殼 軟殼 蘋果 Apple 防摔殼</t>
        </is>
      </c>
      <c r="C1136">
        <f>IMAGE("https://cf.shopee.tw/file/tw-11134207-7rasd-m0el0aw4irxj77_tn")</f>
        <v/>
      </c>
      <c r="D1136" t="inlineStr">
        <is>
          <t>奶油黃,15 Pro</t>
        </is>
      </c>
      <c r="E1136" t="inlineStr"/>
      <c r="F1136">
        <f>IMAGE("https://cf.shopee.tw/file/tw-11134207-7rash-m0el0awo2itve2_tn")</f>
        <v/>
      </c>
    </row>
    <row r="1137">
      <c r="A1137" t="inlineStr">
        <is>
          <t>26961965768</t>
        </is>
      </c>
      <c r="B1137" t="inlineStr">
        <is>
          <t>隔日到貨🔥 iPhone 手機殼 17 16 15 14 13 12 pro 保護殼 軟殼 蘋果 Apple 防摔殼</t>
        </is>
      </c>
      <c r="C1137">
        <f>IMAGE("https://cf.shopee.tw/file/tw-11134207-7rasd-m0el0aw4irxj77_tn")</f>
        <v/>
      </c>
      <c r="D1137" t="inlineStr">
        <is>
          <t>豆粉色,12 / 12 Pro</t>
        </is>
      </c>
      <c r="E1137" t="inlineStr">
        <is>
          <t>256639301006</t>
        </is>
      </c>
      <c r="F1137">
        <f>IMAGE("https://cf.shopee.tw/file/tw-11134207-7ras8-m0el0aw4k6hz1c_tn")</f>
        <v/>
      </c>
    </row>
    <row r="1138">
      <c r="A1138" t="inlineStr">
        <is>
          <t>26961965768</t>
        </is>
      </c>
      <c r="B1138" t="inlineStr">
        <is>
          <t>隔日到貨🔥 iPhone 手機殼 17 16 15 14 13 12 pro 保護殼 軟殼 蘋果 Apple 防摔殼</t>
        </is>
      </c>
      <c r="C1138">
        <f>IMAGE("https://cf.shopee.tw/file/tw-11134207-7rasd-m0el0aw4irxj77_tn")</f>
        <v/>
      </c>
      <c r="D1138" t="inlineStr">
        <is>
          <t>豆粉色,12ProMax / 13ProMax</t>
        </is>
      </c>
      <c r="E1138" t="inlineStr">
        <is>
          <t>256639300997</t>
        </is>
      </c>
      <c r="F1138">
        <f>IMAGE("https://cf.shopee.tw/file/tw-11134207-7ras8-m0el0aw4k6hz1c_tn")</f>
        <v/>
      </c>
    </row>
    <row r="1139">
      <c r="A1139" t="inlineStr">
        <is>
          <t>26961965768</t>
        </is>
      </c>
      <c r="B1139" t="inlineStr">
        <is>
          <t>隔日到貨🔥 iPhone 手機殼 17 16 15 14 13 12 pro 保護殼 軟殼 蘋果 Apple 防摔殼</t>
        </is>
      </c>
      <c r="C1139">
        <f>IMAGE("https://cf.shopee.tw/file/tw-11134207-7rasd-m0el0aw4irxj77_tn")</f>
        <v/>
      </c>
      <c r="D1139" t="inlineStr">
        <is>
          <t>豆粉色,13/14</t>
        </is>
      </c>
      <c r="E1139" t="inlineStr">
        <is>
          <t>256639301000</t>
        </is>
      </c>
      <c r="F1139">
        <f>IMAGE("https://cf.shopee.tw/file/tw-11134207-7ras8-m0el0aw4k6hz1c_tn")</f>
        <v/>
      </c>
    </row>
    <row r="1140">
      <c r="A1140" t="inlineStr">
        <is>
          <t>26961965768</t>
        </is>
      </c>
      <c r="B1140" t="inlineStr">
        <is>
          <t>隔日到貨🔥 iPhone 手機殼 17 16 15 14 13 12 pro 保護殼 軟殼 蘋果 Apple 防摔殼</t>
        </is>
      </c>
      <c r="C1140">
        <f>IMAGE("https://cf.shopee.tw/file/tw-11134207-7rasd-m0el0aw4irxj77_tn")</f>
        <v/>
      </c>
      <c r="D1140" t="inlineStr">
        <is>
          <t>豆粉色,13 Pro</t>
        </is>
      </c>
      <c r="E1140" t="inlineStr">
        <is>
          <t>256639300993</t>
        </is>
      </c>
      <c r="F1140">
        <f>IMAGE("https://cf.shopee.tw/file/tw-11134207-7ras8-m0el0aw4k6hz1c_tn")</f>
        <v/>
      </c>
    </row>
    <row r="1141">
      <c r="A1141" t="inlineStr">
        <is>
          <t>26961965768</t>
        </is>
      </c>
      <c r="B1141" t="inlineStr">
        <is>
          <t>隔日到貨🔥 iPhone 手機殼 17 16 15 14 13 12 pro 保護殼 軟殼 蘋果 Apple 防摔殼</t>
        </is>
      </c>
      <c r="C1141">
        <f>IMAGE("https://cf.shopee.tw/file/tw-11134207-7rasd-m0el0aw4irxj77_tn")</f>
        <v/>
      </c>
      <c r="D1141" t="inlineStr">
        <is>
          <t>豆粉色,14 Pro</t>
        </is>
      </c>
      <c r="E1141" t="inlineStr">
        <is>
          <t>256639301005</t>
        </is>
      </c>
      <c r="F1141">
        <f>IMAGE("https://cf.shopee.tw/file/tw-11134207-7ras8-m0el0aw4k6hz1c_tn")</f>
        <v/>
      </c>
    </row>
    <row r="1142">
      <c r="A1142" t="inlineStr">
        <is>
          <t>26961965768</t>
        </is>
      </c>
      <c r="B1142" t="inlineStr">
        <is>
          <t>隔日到貨🔥 iPhone 手機殼 17 16 15 14 13 12 pro 保護殼 軟殼 蘋果 Apple 防摔殼</t>
        </is>
      </c>
      <c r="C1142">
        <f>IMAGE("https://cf.shopee.tw/file/tw-11134207-7rasd-m0el0aw4irxj77_tn")</f>
        <v/>
      </c>
      <c r="D1142" t="inlineStr">
        <is>
          <t>豆粉色,14 Pro Max</t>
        </is>
      </c>
      <c r="E1142" t="inlineStr">
        <is>
          <t>256639300999</t>
        </is>
      </c>
      <c r="F1142">
        <f>IMAGE("https://cf.shopee.tw/file/tw-11134207-7ras8-m0el0aw4k6hz1c_tn")</f>
        <v/>
      </c>
    </row>
    <row r="1143">
      <c r="A1143" t="inlineStr">
        <is>
          <t>26961965768</t>
        </is>
      </c>
      <c r="B1143" t="inlineStr">
        <is>
          <t>隔日到貨🔥 iPhone 手機殼 17 16 15 14 13 12 pro 保護殼 軟殼 蘋果 Apple 防摔殼</t>
        </is>
      </c>
      <c r="C1143">
        <f>IMAGE("https://cf.shopee.tw/file/tw-11134207-7rasd-m0el0aw4irxj77_tn")</f>
        <v/>
      </c>
      <c r="D1143" t="inlineStr">
        <is>
          <t>豆粉色,15</t>
        </is>
      </c>
      <c r="E1143" t="inlineStr">
        <is>
          <t>256639301004</t>
        </is>
      </c>
      <c r="F1143">
        <f>IMAGE("https://cf.shopee.tw/file/tw-11134207-7ras8-m0el0aw4k6hz1c_tn")</f>
        <v/>
      </c>
    </row>
    <row r="1144">
      <c r="A1144" t="inlineStr">
        <is>
          <t>26961965768</t>
        </is>
      </c>
      <c r="B1144" t="inlineStr">
        <is>
          <t>隔日到貨🔥 iPhone 手機殼 17 16 15 14 13 12 pro 保護殼 軟殼 蘋果 Apple 防摔殼</t>
        </is>
      </c>
      <c r="C1144">
        <f>IMAGE("https://cf.shopee.tw/file/tw-11134207-7rasd-m0el0aw4irxj77_tn")</f>
        <v/>
      </c>
      <c r="D1144" t="inlineStr">
        <is>
          <t>豆粉色,15 Pro</t>
        </is>
      </c>
      <c r="E1144" t="inlineStr">
        <is>
          <t>256639300998</t>
        </is>
      </c>
      <c r="F1144">
        <f>IMAGE("https://cf.shopee.tw/file/tw-11134207-7ras8-m0el0aw4k6hz1c_tn")</f>
        <v/>
      </c>
    </row>
    <row r="1145">
      <c r="A1145" t="inlineStr">
        <is>
          <t>26961965768</t>
        </is>
      </c>
      <c r="B1145" t="inlineStr">
        <is>
          <t>隔日到貨🔥 iPhone 手機殼 17 16 15 14 13 12 pro 保護殼 軟殼 蘋果 Apple 防摔殼</t>
        </is>
      </c>
      <c r="C1145">
        <f>IMAGE("https://cf.shopee.tw/file/tw-11134207-7rasd-m0el0aw4irxj77_tn")</f>
        <v/>
      </c>
      <c r="D1145" t="inlineStr">
        <is>
          <t>豆粉色,15 Pro Max</t>
        </is>
      </c>
      <c r="E1145" t="inlineStr">
        <is>
          <t>256639300994</t>
        </is>
      </c>
      <c r="F1145">
        <f>IMAGE("https://cf.shopee.tw/file/tw-11134207-7ras8-m0el0aw4k6hz1c_tn")</f>
        <v/>
      </c>
    </row>
    <row r="1146">
      <c r="A1146" t="inlineStr">
        <is>
          <t>26961965768</t>
        </is>
      </c>
      <c r="B1146" t="inlineStr">
        <is>
          <t>隔日到貨🔥 iPhone 手機殼 17 16 15 14 13 12 pro 保護殼 軟殼 蘋果 Apple 防摔殼</t>
        </is>
      </c>
      <c r="C1146">
        <f>IMAGE("https://cf.shopee.tw/file/tw-11134207-7rasd-m0el0aw4irxj77_tn")</f>
        <v/>
      </c>
      <c r="D1146" t="inlineStr">
        <is>
          <t>豆粉色,16</t>
        </is>
      </c>
      <c r="E1146" t="inlineStr">
        <is>
          <t>256639300992</t>
        </is>
      </c>
      <c r="F1146">
        <f>IMAGE("https://cf.shopee.tw/file/tw-11134207-7ras8-m0el0aw4k6hz1c_tn")</f>
        <v/>
      </c>
    </row>
    <row r="1147">
      <c r="A1147" t="inlineStr">
        <is>
          <t>26961965768</t>
        </is>
      </c>
      <c r="B1147" t="inlineStr">
        <is>
          <t>隔日到貨🔥 iPhone 手機殼 17 16 15 14 13 12 pro 保護殼 軟殼 蘋果 Apple 防摔殼</t>
        </is>
      </c>
      <c r="C1147">
        <f>IMAGE("https://cf.shopee.tw/file/tw-11134207-7rasd-m0el0aw4irxj77_tn")</f>
        <v/>
      </c>
      <c r="D1147" t="inlineStr">
        <is>
          <t>豆粉色,16 Pro</t>
        </is>
      </c>
      <c r="E1147" t="inlineStr">
        <is>
          <t>256639301002</t>
        </is>
      </c>
      <c r="F1147">
        <f>IMAGE("https://cf.shopee.tw/file/tw-11134207-7ras8-m0el0aw4k6hz1c_tn")</f>
        <v/>
      </c>
    </row>
    <row r="1148">
      <c r="A1148" t="inlineStr">
        <is>
          <t>26961965768</t>
        </is>
      </c>
      <c r="B1148" t="inlineStr">
        <is>
          <t>隔日到貨🔥 iPhone 手機殼 17 16 15 14 13 12 pro 保護殼 軟殼 蘋果 Apple 防摔殼</t>
        </is>
      </c>
      <c r="C1148">
        <f>IMAGE("https://cf.shopee.tw/file/tw-11134207-7rasd-m0el0aw4irxj77_tn")</f>
        <v/>
      </c>
      <c r="D1148" t="inlineStr">
        <is>
          <t>豆粉色,16 Pro Max</t>
        </is>
      </c>
      <c r="E1148" t="inlineStr">
        <is>
          <t>256639300995</t>
        </is>
      </c>
      <c r="F1148">
        <f>IMAGE("https://cf.shopee.tw/file/tw-11134207-7ras8-m0el0aw4k6hz1c_tn")</f>
        <v/>
      </c>
    </row>
    <row r="1149">
      <c r="A1149" t="inlineStr">
        <is>
          <t>26961965768</t>
        </is>
      </c>
      <c r="B1149" t="inlineStr">
        <is>
          <t>隔日到貨🔥 iPhone 手機殼 17 16 15 14 13 12 pro 保護殼 軟殼 蘋果 Apple 防摔殼</t>
        </is>
      </c>
      <c r="C1149">
        <f>IMAGE("https://cf.shopee.tw/file/tw-11134207-7rasd-m0el0aw4irxj77_tn")</f>
        <v/>
      </c>
      <c r="D1149" t="inlineStr">
        <is>
          <t>豆粉色,17</t>
        </is>
      </c>
      <c r="E1149" t="inlineStr">
        <is>
          <t>266657838236</t>
        </is>
      </c>
      <c r="F1149">
        <f>IMAGE("https://cf.shopee.tw/file/tw-11134207-7ras8-m0el0aw4k6hz1c_tn")</f>
        <v/>
      </c>
    </row>
    <row r="1150">
      <c r="A1150" t="inlineStr">
        <is>
          <t>26961965768</t>
        </is>
      </c>
      <c r="B1150" t="inlineStr">
        <is>
          <t>隔日到貨🔥 iPhone 手機殼 17 16 15 14 13 12 pro 保護殼 軟殼 蘋果 Apple 防摔殼</t>
        </is>
      </c>
      <c r="C1150">
        <f>IMAGE("https://cf.shopee.tw/file/tw-11134207-7rasd-m0el0aw4irxj77_tn")</f>
        <v/>
      </c>
      <c r="D1150" t="inlineStr">
        <is>
          <t>豆粉色,17 Pro</t>
        </is>
      </c>
      <c r="E1150" t="inlineStr">
        <is>
          <t>266657838237</t>
        </is>
      </c>
      <c r="F1150">
        <f>IMAGE("https://cf.shopee.tw/file/tw-11134207-7ras8-m0el0aw4k6hz1c_tn")</f>
        <v/>
      </c>
    </row>
    <row r="1151">
      <c r="A1151" t="inlineStr">
        <is>
          <t>26961965768</t>
        </is>
      </c>
      <c r="B1151" t="inlineStr">
        <is>
          <t>隔日到貨🔥 iPhone 手機殼 17 16 15 14 13 12 pro 保護殼 軟殼 蘋果 Apple 防摔殼</t>
        </is>
      </c>
      <c r="C1151">
        <f>IMAGE("https://cf.shopee.tw/file/tw-11134207-7rasd-m0el0aw4irxj77_tn")</f>
        <v/>
      </c>
      <c r="D1151" t="inlineStr">
        <is>
          <t>豆粉色,17 pro Max</t>
        </is>
      </c>
      <c r="E1151" t="inlineStr">
        <is>
          <t>266657838238</t>
        </is>
      </c>
      <c r="F1151">
        <f>IMAGE("https://cf.shopee.tw/file/tw-11134207-7ras8-m0el0aw4k6hz1c_tn")</f>
        <v/>
      </c>
    </row>
    <row r="1152">
      <c r="A1152" t="inlineStr">
        <is>
          <t>26961965768</t>
        </is>
      </c>
      <c r="B1152" t="inlineStr">
        <is>
          <t>隔日到貨🔥 iPhone 手機殼 17 16 15 14 13 12 pro 保護殼 軟殼 蘋果 Apple 防摔殼</t>
        </is>
      </c>
      <c r="C1152">
        <f>IMAGE("https://cf.shopee.tw/file/tw-11134207-7rasd-m0el0aw4irxj77_tn")</f>
        <v/>
      </c>
      <c r="D1152" t="inlineStr">
        <is>
          <t>薔薇粉,12 / 12 Pro</t>
        </is>
      </c>
      <c r="E1152" t="inlineStr"/>
      <c r="F1152">
        <f>IMAGE("https://cf.shopee.tw/file/tw-11134207-7rasa-m0el0aw43c2bac_tn")</f>
        <v/>
      </c>
    </row>
    <row r="1153">
      <c r="A1153" t="inlineStr">
        <is>
          <t>26961965768</t>
        </is>
      </c>
      <c r="B1153" t="inlineStr">
        <is>
          <t>隔日到貨🔥 iPhone 手機殼 17 16 15 14 13 12 pro 保護殼 軟殼 蘋果 Apple 防摔殼</t>
        </is>
      </c>
      <c r="C1153">
        <f>IMAGE("https://cf.shopee.tw/file/tw-11134207-7rasd-m0el0aw4irxj77_tn")</f>
        <v/>
      </c>
      <c r="D1153" t="inlineStr">
        <is>
          <t>薔薇粉,12ProMax / 13ProMax</t>
        </is>
      </c>
      <c r="E1153" t="inlineStr">
        <is>
          <t>256639301012</t>
        </is>
      </c>
      <c r="F1153">
        <f>IMAGE("https://cf.shopee.tw/file/tw-11134207-7rasa-m0el0aw43c2bac_tn")</f>
        <v/>
      </c>
    </row>
    <row r="1154">
      <c r="A1154" t="inlineStr">
        <is>
          <t>26961965768</t>
        </is>
      </c>
      <c r="B1154" t="inlineStr">
        <is>
          <t>隔日到貨🔥 iPhone 手機殼 17 16 15 14 13 12 pro 保護殼 軟殼 蘋果 Apple 防摔殼</t>
        </is>
      </c>
      <c r="C1154">
        <f>IMAGE("https://cf.shopee.tw/file/tw-11134207-7rasd-m0el0aw4irxj77_tn")</f>
        <v/>
      </c>
      <c r="D1154" t="inlineStr">
        <is>
          <t>薔薇粉,13/14</t>
        </is>
      </c>
      <c r="E1154" t="inlineStr">
        <is>
          <t>256639301015</t>
        </is>
      </c>
      <c r="F1154">
        <f>IMAGE("https://cf.shopee.tw/file/tw-11134207-7rasa-m0el0aw43c2bac_tn")</f>
        <v/>
      </c>
    </row>
    <row r="1155">
      <c r="A1155" t="inlineStr">
        <is>
          <t>26961965768</t>
        </is>
      </c>
      <c r="B1155" t="inlineStr">
        <is>
          <t>隔日到貨🔥 iPhone 手機殼 17 16 15 14 13 12 pro 保護殼 軟殼 蘋果 Apple 防摔殼</t>
        </is>
      </c>
      <c r="C1155">
        <f>IMAGE("https://cf.shopee.tw/file/tw-11134207-7rasd-m0el0aw4irxj77_tn")</f>
        <v/>
      </c>
      <c r="D1155" t="inlineStr">
        <is>
          <t>薔薇粉,13 Pro</t>
        </is>
      </c>
      <c r="E1155" t="inlineStr"/>
      <c r="F1155">
        <f>IMAGE("https://cf.shopee.tw/file/tw-11134207-7rasa-m0el0aw43c2bac_tn")</f>
        <v/>
      </c>
    </row>
    <row r="1156">
      <c r="A1156" t="inlineStr">
        <is>
          <t>26961965768</t>
        </is>
      </c>
      <c r="B1156" t="inlineStr">
        <is>
          <t>隔日到貨🔥 iPhone 手機殼 17 16 15 14 13 12 pro 保護殼 軟殼 蘋果 Apple 防摔殼</t>
        </is>
      </c>
      <c r="C1156">
        <f>IMAGE("https://cf.shopee.tw/file/tw-11134207-7rasd-m0el0aw4irxj77_tn")</f>
        <v/>
      </c>
      <c r="D1156" t="inlineStr">
        <is>
          <t>薔薇粉,14 Pro</t>
        </is>
      </c>
      <c r="E1156" t="inlineStr"/>
      <c r="F1156">
        <f>IMAGE("https://cf.shopee.tw/file/tw-11134207-7rasa-m0el0aw43c2bac_tn")</f>
        <v/>
      </c>
    </row>
    <row r="1157">
      <c r="A1157" t="inlineStr">
        <is>
          <t>26961965768</t>
        </is>
      </c>
      <c r="B1157" t="inlineStr">
        <is>
          <t>隔日到貨🔥 iPhone 手機殼 17 16 15 14 13 12 pro 保護殼 軟殼 蘋果 Apple 防摔殼</t>
        </is>
      </c>
      <c r="C1157">
        <f>IMAGE("https://cf.shopee.tw/file/tw-11134207-7rasd-m0el0aw4irxj77_tn")</f>
        <v/>
      </c>
      <c r="D1157" t="inlineStr">
        <is>
          <t>薔薇粉,14 Pro Max</t>
        </is>
      </c>
      <c r="E1157" t="inlineStr">
        <is>
          <t>256639301014</t>
        </is>
      </c>
      <c r="F1157">
        <f>IMAGE("https://cf.shopee.tw/file/tw-11134207-7rasa-m0el0aw43c2bac_tn")</f>
        <v/>
      </c>
    </row>
    <row r="1158">
      <c r="A1158" t="inlineStr">
        <is>
          <t>26961965768</t>
        </is>
      </c>
      <c r="B1158" t="inlineStr">
        <is>
          <t>隔日到貨🔥 iPhone 手機殼 17 16 15 14 13 12 pro 保護殼 軟殼 蘋果 Apple 防摔殼</t>
        </is>
      </c>
      <c r="C1158">
        <f>IMAGE("https://cf.shopee.tw/file/tw-11134207-7rasd-m0el0aw4irxj77_tn")</f>
        <v/>
      </c>
      <c r="D1158" t="inlineStr">
        <is>
          <t>薔薇粉,15</t>
        </is>
      </c>
      <c r="E1158" t="inlineStr">
        <is>
          <t>256639301019</t>
        </is>
      </c>
      <c r="F1158">
        <f>IMAGE("https://cf.shopee.tw/file/tw-11134207-7rasa-m0el0aw43c2bac_tn")</f>
        <v/>
      </c>
    </row>
    <row r="1159">
      <c r="A1159" t="inlineStr">
        <is>
          <t>26961965768</t>
        </is>
      </c>
      <c r="B1159" t="inlineStr">
        <is>
          <t>隔日到貨🔥 iPhone 手機殼 17 16 15 14 13 12 pro 保護殼 軟殼 蘋果 Apple 防摔殼</t>
        </is>
      </c>
      <c r="C1159">
        <f>IMAGE("https://cf.shopee.tw/file/tw-11134207-7rasd-m0el0aw4irxj77_tn")</f>
        <v/>
      </c>
      <c r="D1159" t="inlineStr">
        <is>
          <t>薔薇粉,15 Pro</t>
        </is>
      </c>
      <c r="E1159" t="inlineStr">
        <is>
          <t>256639301013</t>
        </is>
      </c>
      <c r="F1159">
        <f>IMAGE("https://cf.shopee.tw/file/tw-11134207-7rasa-m0el0aw43c2bac_tn")</f>
        <v/>
      </c>
    </row>
    <row r="1160">
      <c r="A1160" t="inlineStr">
        <is>
          <t>26961965768</t>
        </is>
      </c>
      <c r="B1160" t="inlineStr">
        <is>
          <t>隔日到貨🔥 iPhone 手機殼 17 16 15 14 13 12 pro 保護殼 軟殼 蘋果 Apple 防摔殼</t>
        </is>
      </c>
      <c r="C1160">
        <f>IMAGE("https://cf.shopee.tw/file/tw-11134207-7rasd-m0el0aw4irxj77_tn")</f>
        <v/>
      </c>
      <c r="D1160" t="inlineStr">
        <is>
          <t>薔薇粉,15 Pro Max</t>
        </is>
      </c>
      <c r="E1160" t="inlineStr"/>
      <c r="F1160">
        <f>IMAGE("https://cf.shopee.tw/file/tw-11134207-7rasa-m0el0aw43c2bac_tn")</f>
        <v/>
      </c>
    </row>
    <row r="1161">
      <c r="A1161" t="inlineStr">
        <is>
          <t>26961965768</t>
        </is>
      </c>
      <c r="B1161" t="inlineStr">
        <is>
          <t>隔日到貨🔥 iPhone 手機殼 17 16 15 14 13 12 pro 保護殼 軟殼 蘋果 Apple 防摔殼</t>
        </is>
      </c>
      <c r="C1161">
        <f>IMAGE("https://cf.shopee.tw/file/tw-11134207-7rasd-m0el0aw4irxj77_tn")</f>
        <v/>
      </c>
      <c r="D1161" t="inlineStr">
        <is>
          <t>薔薇粉,16</t>
        </is>
      </c>
      <c r="E1161" t="inlineStr"/>
      <c r="F1161">
        <f>IMAGE("https://cf.shopee.tw/file/tw-11134207-7rasa-m0el0aw43c2bac_tn")</f>
        <v/>
      </c>
    </row>
    <row r="1162">
      <c r="A1162" t="inlineStr">
        <is>
          <t>26961965768</t>
        </is>
      </c>
      <c r="B1162" t="inlineStr">
        <is>
          <t>隔日到貨🔥 iPhone 手機殼 17 16 15 14 13 12 pro 保護殼 軟殼 蘋果 Apple 防摔殼</t>
        </is>
      </c>
      <c r="C1162">
        <f>IMAGE("https://cf.shopee.tw/file/tw-11134207-7rasd-m0el0aw4irxj77_tn")</f>
        <v/>
      </c>
      <c r="D1162" t="inlineStr">
        <is>
          <t>薔薇粉,16 Plus</t>
        </is>
      </c>
      <c r="E1162" t="inlineStr">
        <is>
          <t>256639301018</t>
        </is>
      </c>
      <c r="F1162">
        <f>IMAGE("https://cf.shopee.tw/file/tw-11134207-7rasa-m0el0aw43c2bac_tn")</f>
        <v/>
      </c>
    </row>
    <row r="1163">
      <c r="A1163" t="inlineStr">
        <is>
          <t>26961965768</t>
        </is>
      </c>
      <c r="B1163" t="inlineStr">
        <is>
          <t>隔日到貨🔥 iPhone 手機殼 17 16 15 14 13 12 pro 保護殼 軟殼 蘋果 Apple 防摔殼</t>
        </is>
      </c>
      <c r="C1163">
        <f>IMAGE("https://cf.shopee.tw/file/tw-11134207-7rasd-m0el0aw4irxj77_tn")</f>
        <v/>
      </c>
      <c r="D1163" t="inlineStr">
        <is>
          <t>薔薇粉,16 Pro</t>
        </is>
      </c>
      <c r="E1163" t="inlineStr">
        <is>
          <t>256639301017</t>
        </is>
      </c>
      <c r="F1163">
        <f>IMAGE("https://cf.shopee.tw/file/tw-11134207-7rasa-m0el0aw43c2bac_tn")</f>
        <v/>
      </c>
    </row>
    <row r="1164">
      <c r="A1164" t="inlineStr">
        <is>
          <t>26961965768</t>
        </is>
      </c>
      <c r="B1164" t="inlineStr">
        <is>
          <t>隔日到貨🔥 iPhone 手機殼 17 16 15 14 13 12 pro 保護殼 軟殼 蘋果 Apple 防摔殼</t>
        </is>
      </c>
      <c r="C1164">
        <f>IMAGE("https://cf.shopee.tw/file/tw-11134207-7rasd-m0el0aw4irxj77_tn")</f>
        <v/>
      </c>
      <c r="D1164" t="inlineStr">
        <is>
          <t>薔薇粉,16 Pro Max</t>
        </is>
      </c>
      <c r="E1164" t="inlineStr"/>
      <c r="F1164">
        <f>IMAGE("https://cf.shopee.tw/file/tw-11134207-7rasa-m0el0aw43c2bac_tn")</f>
        <v/>
      </c>
    </row>
    <row r="1165">
      <c r="A1165" t="inlineStr">
        <is>
          <t>26961965768</t>
        </is>
      </c>
      <c r="B1165" t="inlineStr">
        <is>
          <t>隔日到貨🔥 iPhone 手機殼 17 16 15 14 13 12 pro 保護殼 軟殼 蘋果 Apple 防摔殼</t>
        </is>
      </c>
      <c r="C1165">
        <f>IMAGE("https://cf.shopee.tw/file/tw-11134207-7rasd-m0el0aw4irxj77_tn")</f>
        <v/>
      </c>
      <c r="D1165" t="inlineStr">
        <is>
          <t>薔薇粉,17</t>
        </is>
      </c>
      <c r="E1165" t="inlineStr">
        <is>
          <t>266657838239</t>
        </is>
      </c>
      <c r="F1165">
        <f>IMAGE("https://cf.shopee.tw/file/tw-11134207-7rasa-m0el0aw43c2bac_tn")</f>
        <v/>
      </c>
    </row>
    <row r="1166">
      <c r="A1166" t="inlineStr">
        <is>
          <t>26961965768</t>
        </is>
      </c>
      <c r="B1166" t="inlineStr">
        <is>
          <t>隔日到貨🔥 iPhone 手機殼 17 16 15 14 13 12 pro 保護殼 軟殼 蘋果 Apple 防摔殼</t>
        </is>
      </c>
      <c r="C1166">
        <f>IMAGE("https://cf.shopee.tw/file/tw-11134207-7rasd-m0el0aw4irxj77_tn")</f>
        <v/>
      </c>
      <c r="D1166" t="inlineStr">
        <is>
          <t>薔薇粉,17 Pro</t>
        </is>
      </c>
      <c r="E1166" t="inlineStr"/>
      <c r="F1166">
        <f>IMAGE("https://cf.shopee.tw/file/tw-11134207-7rasa-m0el0aw43c2bac_tn")</f>
        <v/>
      </c>
    </row>
    <row r="1167">
      <c r="A1167" t="inlineStr">
        <is>
          <t>26961965768</t>
        </is>
      </c>
      <c r="B1167" t="inlineStr">
        <is>
          <t>隔日到貨🔥 iPhone 手機殼 17 16 15 14 13 12 pro 保護殼 軟殼 蘋果 Apple 防摔殼</t>
        </is>
      </c>
      <c r="C1167">
        <f>IMAGE("https://cf.shopee.tw/file/tw-11134207-7rasd-m0el0aw4irxj77_tn")</f>
        <v/>
      </c>
      <c r="D1167" t="inlineStr">
        <is>
          <t>薔薇粉,17 pro Max</t>
        </is>
      </c>
      <c r="E1167" t="inlineStr">
        <is>
          <t>266657838241</t>
        </is>
      </c>
      <c r="F1167">
        <f>IMAGE("https://cf.shopee.tw/file/tw-11134207-7rasa-m0el0aw43c2bac_tn")</f>
        <v/>
      </c>
    </row>
    <row r="1168">
      <c r="A1168" t="inlineStr">
        <is>
          <t>26961965768</t>
        </is>
      </c>
      <c r="B1168" t="inlineStr">
        <is>
          <t>隔日到貨🔥 iPhone 手機殼 17 16 15 14 13 12 pro 保護殼 軟殼 蘋果 Apple 防摔殼</t>
        </is>
      </c>
      <c r="C1168">
        <f>IMAGE("https://cf.shopee.tw/file/tw-11134207-7rasd-m0el0aw4irxj77_tn")</f>
        <v/>
      </c>
      <c r="D1168" t="inlineStr">
        <is>
          <t>煙灰藍,12 / 12 Pro</t>
        </is>
      </c>
      <c r="E1168" t="inlineStr">
        <is>
          <t>256639301036</t>
        </is>
      </c>
      <c r="F1168">
        <f>IMAGE("https://cf.shopee.tw/file/tw-11134207-7rasf-m0el0awo2ig779_tn")</f>
        <v/>
      </c>
    </row>
    <row r="1169">
      <c r="A1169" t="inlineStr">
        <is>
          <t>26961965768</t>
        </is>
      </c>
      <c r="B1169" t="inlineStr">
        <is>
          <t>隔日到貨🔥 iPhone 手機殼 17 16 15 14 13 12 pro 保護殼 軟殼 蘋果 Apple 防摔殼</t>
        </is>
      </c>
      <c r="C1169">
        <f>IMAGE("https://cf.shopee.tw/file/tw-11134207-7rasd-m0el0aw4irxj77_tn")</f>
        <v/>
      </c>
      <c r="D1169" t="inlineStr">
        <is>
          <t>煙灰藍,12ProMax / 13ProMax</t>
        </is>
      </c>
      <c r="E1169" t="inlineStr">
        <is>
          <t>256639301027</t>
        </is>
      </c>
      <c r="F1169">
        <f>IMAGE("https://cf.shopee.tw/file/tw-11134207-7rasf-m0el0awo2ig779_tn")</f>
        <v/>
      </c>
    </row>
    <row r="1170">
      <c r="A1170" t="inlineStr">
        <is>
          <t>26961965768</t>
        </is>
      </c>
      <c r="B1170" t="inlineStr">
        <is>
          <t>隔日到貨🔥 iPhone 手機殼 17 16 15 14 13 12 pro 保護殼 軟殼 蘋果 Apple 防摔殼</t>
        </is>
      </c>
      <c r="C1170">
        <f>IMAGE("https://cf.shopee.tw/file/tw-11134207-7rasd-m0el0aw4irxj77_tn")</f>
        <v/>
      </c>
      <c r="D1170" t="inlineStr">
        <is>
          <t>煙灰藍,13/14</t>
        </is>
      </c>
      <c r="E1170" t="inlineStr">
        <is>
          <t>256639301030</t>
        </is>
      </c>
      <c r="F1170">
        <f>IMAGE("https://cf.shopee.tw/file/tw-11134207-7rasf-m0el0awo2ig779_tn")</f>
        <v/>
      </c>
    </row>
    <row r="1171">
      <c r="A1171" t="inlineStr">
        <is>
          <t>26961965768</t>
        </is>
      </c>
      <c r="B1171" t="inlineStr">
        <is>
          <t>隔日到貨🔥 iPhone 手機殼 17 16 15 14 13 12 pro 保護殼 軟殼 蘋果 Apple 防摔殼</t>
        </is>
      </c>
      <c r="C1171">
        <f>IMAGE("https://cf.shopee.tw/file/tw-11134207-7rasd-m0el0aw4irxj77_tn")</f>
        <v/>
      </c>
      <c r="D1171" t="inlineStr">
        <is>
          <t>煙灰藍,13 Pro</t>
        </is>
      </c>
      <c r="E1171" t="inlineStr">
        <is>
          <t>256639301023</t>
        </is>
      </c>
      <c r="F1171">
        <f>IMAGE("https://cf.shopee.tw/file/tw-11134207-7rasf-m0el0awo2ig779_tn")</f>
        <v/>
      </c>
    </row>
    <row r="1172">
      <c r="A1172" t="inlineStr">
        <is>
          <t>26961965768</t>
        </is>
      </c>
      <c r="B1172" t="inlineStr">
        <is>
          <t>隔日到貨🔥 iPhone 手機殼 17 16 15 14 13 12 pro 保護殼 軟殼 蘋果 Apple 防摔殼</t>
        </is>
      </c>
      <c r="C1172">
        <f>IMAGE("https://cf.shopee.tw/file/tw-11134207-7rasd-m0el0aw4irxj77_tn")</f>
        <v/>
      </c>
      <c r="D1172" t="inlineStr">
        <is>
          <t>煙灰藍,14 Pro</t>
        </is>
      </c>
      <c r="E1172" t="inlineStr">
        <is>
          <t>256639301035</t>
        </is>
      </c>
      <c r="F1172">
        <f>IMAGE("https://cf.shopee.tw/file/tw-11134207-7rasf-m0el0awo2ig779_tn")</f>
        <v/>
      </c>
    </row>
    <row r="1173">
      <c r="A1173" t="inlineStr">
        <is>
          <t>26961965768</t>
        </is>
      </c>
      <c r="B1173" t="inlineStr">
        <is>
          <t>隔日到貨🔥 iPhone 手機殼 17 16 15 14 13 12 pro 保護殼 軟殼 蘋果 Apple 防摔殼</t>
        </is>
      </c>
      <c r="C1173">
        <f>IMAGE("https://cf.shopee.tw/file/tw-11134207-7rasd-m0el0aw4irxj77_tn")</f>
        <v/>
      </c>
      <c r="D1173" t="inlineStr">
        <is>
          <t>煙灰藍,15</t>
        </is>
      </c>
      <c r="E1173" t="inlineStr">
        <is>
          <t>256639301034</t>
        </is>
      </c>
      <c r="F1173">
        <f>IMAGE("https://cf.shopee.tw/file/tw-11134207-7rasf-m0el0awo2ig779_tn")</f>
        <v/>
      </c>
    </row>
    <row r="1174">
      <c r="A1174" t="inlineStr">
        <is>
          <t>26961965768</t>
        </is>
      </c>
      <c r="B1174" t="inlineStr">
        <is>
          <t>隔日到貨🔥 iPhone 手機殼 17 16 15 14 13 12 pro 保護殼 軟殼 蘋果 Apple 防摔殼</t>
        </is>
      </c>
      <c r="C1174">
        <f>IMAGE("https://cf.shopee.tw/file/tw-11134207-7rasd-m0el0aw4irxj77_tn")</f>
        <v/>
      </c>
      <c r="D1174" t="inlineStr">
        <is>
          <t>煙灰藍,15 Pro</t>
        </is>
      </c>
      <c r="E1174" t="inlineStr">
        <is>
          <t>256639301028</t>
        </is>
      </c>
      <c r="F1174">
        <f>IMAGE("https://cf.shopee.tw/file/tw-11134207-7rasf-m0el0awo2ig779_tn")</f>
        <v/>
      </c>
    </row>
    <row r="1175">
      <c r="A1175" t="inlineStr">
        <is>
          <t>26961965768</t>
        </is>
      </c>
      <c r="B1175" t="inlineStr">
        <is>
          <t>隔日到貨🔥 iPhone 手機殼 17 16 15 14 13 12 pro 保護殼 軟殼 蘋果 Apple 防摔殼</t>
        </is>
      </c>
      <c r="C1175">
        <f>IMAGE("https://cf.shopee.tw/file/tw-11134207-7rasd-m0el0aw4irxj77_tn")</f>
        <v/>
      </c>
      <c r="D1175" t="inlineStr">
        <is>
          <t>煙灰藍,15 Pro Max</t>
        </is>
      </c>
      <c r="E1175" t="inlineStr"/>
      <c r="F1175">
        <f>IMAGE("https://cf.shopee.tw/file/tw-11134207-7rasf-m0el0awo2ig779_tn")</f>
        <v/>
      </c>
    </row>
    <row r="1176">
      <c r="A1176" t="inlineStr">
        <is>
          <t>26961965768</t>
        </is>
      </c>
      <c r="B1176" t="inlineStr">
        <is>
          <t>隔日到貨🔥 iPhone 手機殼 17 16 15 14 13 12 pro 保護殼 軟殼 蘋果 Apple 防摔殼</t>
        </is>
      </c>
      <c r="C1176">
        <f>IMAGE("https://cf.shopee.tw/file/tw-11134207-7rasd-m0el0aw4irxj77_tn")</f>
        <v/>
      </c>
      <c r="D1176" t="inlineStr">
        <is>
          <t>煙灰藍,16</t>
        </is>
      </c>
      <c r="E1176" t="inlineStr">
        <is>
          <t>256639301022</t>
        </is>
      </c>
      <c r="F1176">
        <f>IMAGE("https://cf.shopee.tw/file/tw-11134207-7rasf-m0el0awo2ig779_tn")</f>
        <v/>
      </c>
    </row>
    <row r="1177">
      <c r="A1177" t="inlineStr">
        <is>
          <t>26961965768</t>
        </is>
      </c>
      <c r="B1177" t="inlineStr">
        <is>
          <t>隔日到貨🔥 iPhone 手機殼 17 16 15 14 13 12 pro 保護殼 軟殼 蘋果 Apple 防摔殼</t>
        </is>
      </c>
      <c r="C1177">
        <f>IMAGE("https://cf.shopee.tw/file/tw-11134207-7rasd-m0el0aw4irxj77_tn")</f>
        <v/>
      </c>
      <c r="D1177" t="inlineStr">
        <is>
          <t>煙灰藍,16 Plus</t>
        </is>
      </c>
      <c r="E1177" t="inlineStr"/>
      <c r="F1177">
        <f>IMAGE("https://cf.shopee.tw/file/tw-11134207-7rasf-m0el0awo2ig779_tn")</f>
        <v/>
      </c>
    </row>
    <row r="1178">
      <c r="A1178" t="inlineStr">
        <is>
          <t>26961965768</t>
        </is>
      </c>
      <c r="B1178" t="inlineStr">
        <is>
          <t>隔日到貨🔥 iPhone 手機殼 17 16 15 14 13 12 pro 保護殼 軟殼 蘋果 Apple 防摔殼</t>
        </is>
      </c>
      <c r="C1178">
        <f>IMAGE("https://cf.shopee.tw/file/tw-11134207-7rasd-m0el0aw4irxj77_tn")</f>
        <v/>
      </c>
      <c r="D1178" t="inlineStr">
        <is>
          <t>煙灰藍,16 Pro</t>
        </is>
      </c>
      <c r="E1178" t="inlineStr">
        <is>
          <t>256639301032</t>
        </is>
      </c>
      <c r="F1178">
        <f>IMAGE("https://cf.shopee.tw/file/tw-11134207-7rasf-m0el0awo2ig779_tn")</f>
        <v/>
      </c>
    </row>
    <row r="1179">
      <c r="A1179" t="inlineStr">
        <is>
          <t>26961965768</t>
        </is>
      </c>
      <c r="B1179" t="inlineStr">
        <is>
          <t>隔日到貨🔥 iPhone 手機殼 17 16 15 14 13 12 pro 保護殼 軟殼 蘋果 Apple 防摔殼</t>
        </is>
      </c>
      <c r="C1179">
        <f>IMAGE("https://cf.shopee.tw/file/tw-11134207-7rasd-m0el0aw4irxj77_tn")</f>
        <v/>
      </c>
      <c r="D1179" t="inlineStr">
        <is>
          <t>煙灰藍,16 Pro Max</t>
        </is>
      </c>
      <c r="E1179" t="inlineStr">
        <is>
          <t>256639301025</t>
        </is>
      </c>
      <c r="F1179">
        <f>IMAGE("https://cf.shopee.tw/file/tw-11134207-7rasf-m0el0awo2ig779_tn")</f>
        <v/>
      </c>
    </row>
    <row r="1180">
      <c r="A1180" t="inlineStr">
        <is>
          <t>26961965768</t>
        </is>
      </c>
      <c r="B1180" t="inlineStr">
        <is>
          <t>隔日到貨🔥 iPhone 手機殼 17 16 15 14 13 12 pro 保護殼 軟殼 蘋果 Apple 防摔殼</t>
        </is>
      </c>
      <c r="C1180">
        <f>IMAGE("https://cf.shopee.tw/file/tw-11134207-7rasd-m0el0aw4irxj77_tn")</f>
        <v/>
      </c>
      <c r="D1180" t="inlineStr">
        <is>
          <t>煙灰藍,17</t>
        </is>
      </c>
      <c r="E1180" t="inlineStr">
        <is>
          <t>266657838242</t>
        </is>
      </c>
      <c r="F1180">
        <f>IMAGE("https://cf.shopee.tw/file/tw-11134207-7rasf-m0el0awo2ig779_tn")</f>
        <v/>
      </c>
    </row>
    <row r="1181">
      <c r="A1181" t="inlineStr">
        <is>
          <t>26961965768</t>
        </is>
      </c>
      <c r="B1181" t="inlineStr">
        <is>
          <t>隔日到貨🔥 iPhone 手機殼 17 16 15 14 13 12 pro 保護殼 軟殼 蘋果 Apple 防摔殼</t>
        </is>
      </c>
      <c r="C1181">
        <f>IMAGE("https://cf.shopee.tw/file/tw-11134207-7rasd-m0el0aw4irxj77_tn")</f>
        <v/>
      </c>
      <c r="D1181" t="inlineStr">
        <is>
          <t>煙灰藍,17 Pro</t>
        </is>
      </c>
      <c r="E1181" t="inlineStr">
        <is>
          <t>258927221962</t>
        </is>
      </c>
      <c r="F1181">
        <f>IMAGE("https://cf.shopee.tw/file/tw-11134207-7rasf-m0el0awo2ig779_tn")</f>
        <v/>
      </c>
    </row>
    <row r="1182">
      <c r="A1182" t="inlineStr">
        <is>
          <t>26961965768</t>
        </is>
      </c>
      <c r="B1182" t="inlineStr">
        <is>
          <t>隔日到貨🔥 iPhone 手機殼 17 16 15 14 13 12 pro 保護殼 軟殼 蘋果 Apple 防摔殼</t>
        </is>
      </c>
      <c r="C1182">
        <f>IMAGE("https://cf.shopee.tw/file/tw-11134207-7rasd-m0el0aw4irxj77_tn")</f>
        <v/>
      </c>
      <c r="D1182" t="inlineStr">
        <is>
          <t>煙灰藍,17 pro Max</t>
        </is>
      </c>
      <c r="E1182" t="inlineStr">
        <is>
          <t>258927221963</t>
        </is>
      </c>
      <c r="F1182">
        <f>IMAGE("https://cf.shopee.tw/file/tw-11134207-7rasf-m0el0awo2ig779_tn")</f>
        <v/>
      </c>
    </row>
    <row r="1183">
      <c r="A1183" t="inlineStr">
        <is>
          <t>26961965768</t>
        </is>
      </c>
      <c r="B1183" t="inlineStr">
        <is>
          <t>隔日到貨🔥 iPhone 手機殼 17 16 15 14 13 12 pro 保護殼 軟殼 蘋果 Apple 防摔殼</t>
        </is>
      </c>
      <c r="C1183">
        <f>IMAGE("https://cf.shopee.tw/file/tw-11134207-7rasd-m0el0aw4irxj77_tn")</f>
        <v/>
      </c>
      <c r="D1183" t="inlineStr">
        <is>
          <t>奶酪白,12 / 12 Pro</t>
        </is>
      </c>
      <c r="E1183" t="inlineStr">
        <is>
          <t>256639301051</t>
        </is>
      </c>
      <c r="F1183">
        <f>IMAGE("https://cf.shopee.tw/file/tw-11134207-7rasa-m0el0awodrdf85_tn")</f>
        <v/>
      </c>
    </row>
    <row r="1184">
      <c r="A1184" t="inlineStr">
        <is>
          <t>26961965768</t>
        </is>
      </c>
      <c r="B1184" t="inlineStr">
        <is>
          <t>隔日到貨🔥 iPhone 手機殼 17 16 15 14 13 12 pro 保護殼 軟殼 蘋果 Apple 防摔殼</t>
        </is>
      </c>
      <c r="C1184">
        <f>IMAGE("https://cf.shopee.tw/file/tw-11134207-7rasd-m0el0aw4irxj77_tn")</f>
        <v/>
      </c>
      <c r="D1184" t="inlineStr">
        <is>
          <t>奶酪白,12ProMax / 13ProMax</t>
        </is>
      </c>
      <c r="E1184" t="inlineStr">
        <is>
          <t>256639301042</t>
        </is>
      </c>
      <c r="F1184">
        <f>IMAGE("https://cf.shopee.tw/file/tw-11134207-7rasa-m0el0awodrdf85_tn")</f>
        <v/>
      </c>
    </row>
    <row r="1185">
      <c r="A1185" t="inlineStr">
        <is>
          <t>26961965768</t>
        </is>
      </c>
      <c r="B1185" t="inlineStr">
        <is>
          <t>隔日到貨🔥 iPhone 手機殼 17 16 15 14 13 12 pro 保護殼 軟殼 蘋果 Apple 防摔殼</t>
        </is>
      </c>
      <c r="C1185">
        <f>IMAGE("https://cf.shopee.tw/file/tw-11134207-7rasd-m0el0aw4irxj77_tn")</f>
        <v/>
      </c>
      <c r="D1185" t="inlineStr">
        <is>
          <t>奶酪白,13/14</t>
        </is>
      </c>
      <c r="E1185" t="inlineStr">
        <is>
          <t>256639301045</t>
        </is>
      </c>
      <c r="F1185">
        <f>IMAGE("https://cf.shopee.tw/file/tw-11134207-7rasa-m0el0awodrdf85_tn")</f>
        <v/>
      </c>
    </row>
    <row r="1186">
      <c r="A1186" t="inlineStr">
        <is>
          <t>26961965768</t>
        </is>
      </c>
      <c r="B1186" t="inlineStr">
        <is>
          <t>隔日到貨🔥 iPhone 手機殼 17 16 15 14 13 12 pro 保護殼 軟殼 蘋果 Apple 防摔殼</t>
        </is>
      </c>
      <c r="C1186">
        <f>IMAGE("https://cf.shopee.tw/file/tw-11134207-7rasd-m0el0aw4irxj77_tn")</f>
        <v/>
      </c>
      <c r="D1186" t="inlineStr">
        <is>
          <t>奶酪白,13 Pro</t>
        </is>
      </c>
      <c r="E1186" t="inlineStr">
        <is>
          <t>256639301038</t>
        </is>
      </c>
      <c r="F1186">
        <f>IMAGE("https://cf.shopee.tw/file/tw-11134207-7rasa-m0el0awodrdf85_tn")</f>
        <v/>
      </c>
    </row>
    <row r="1187">
      <c r="A1187" t="inlineStr">
        <is>
          <t>26961965768</t>
        </is>
      </c>
      <c r="B1187" t="inlineStr">
        <is>
          <t>隔日到貨🔥 iPhone 手機殼 17 16 15 14 13 12 pro 保護殼 軟殼 蘋果 Apple 防摔殼</t>
        </is>
      </c>
      <c r="C1187">
        <f>IMAGE("https://cf.shopee.tw/file/tw-11134207-7rasd-m0el0aw4irxj77_tn")</f>
        <v/>
      </c>
      <c r="D1187" t="inlineStr">
        <is>
          <t>奶酪白,14 Pro</t>
        </is>
      </c>
      <c r="E1187" t="inlineStr">
        <is>
          <t>256639301050</t>
        </is>
      </c>
      <c r="F1187">
        <f>IMAGE("https://cf.shopee.tw/file/tw-11134207-7rasa-m0el0awodrdf85_tn")</f>
        <v/>
      </c>
    </row>
    <row r="1188">
      <c r="A1188" t="inlineStr">
        <is>
          <t>26961965768</t>
        </is>
      </c>
      <c r="B1188" t="inlineStr">
        <is>
          <t>隔日到貨🔥 iPhone 手機殼 17 16 15 14 13 12 pro 保護殼 軟殼 蘋果 Apple 防摔殼</t>
        </is>
      </c>
      <c r="C1188">
        <f>IMAGE("https://cf.shopee.tw/file/tw-11134207-7rasd-m0el0aw4irxj77_tn")</f>
        <v/>
      </c>
      <c r="D1188" t="inlineStr">
        <is>
          <t>奶酪白,14 Pro Max</t>
        </is>
      </c>
      <c r="E1188" t="inlineStr">
        <is>
          <t>256639301044</t>
        </is>
      </c>
      <c r="F1188">
        <f>IMAGE("https://cf.shopee.tw/file/tw-11134207-7rasa-m0el0awodrdf85_tn")</f>
        <v/>
      </c>
    </row>
    <row r="1189">
      <c r="A1189" t="inlineStr">
        <is>
          <t>26961965768</t>
        </is>
      </c>
      <c r="B1189" t="inlineStr">
        <is>
          <t>隔日到貨🔥 iPhone 手機殼 17 16 15 14 13 12 pro 保護殼 軟殼 蘋果 Apple 防摔殼</t>
        </is>
      </c>
      <c r="C1189">
        <f>IMAGE("https://cf.shopee.tw/file/tw-11134207-7rasd-m0el0aw4irxj77_tn")</f>
        <v/>
      </c>
      <c r="D1189" t="inlineStr">
        <is>
          <t>奶酪白,15</t>
        </is>
      </c>
      <c r="E1189" t="inlineStr">
        <is>
          <t>256639301049</t>
        </is>
      </c>
      <c r="F1189">
        <f>IMAGE("https://cf.shopee.tw/file/tw-11134207-7rasa-m0el0awodrdf85_tn")</f>
        <v/>
      </c>
    </row>
    <row r="1190">
      <c r="A1190" t="inlineStr">
        <is>
          <t>26961965768</t>
        </is>
      </c>
      <c r="B1190" t="inlineStr">
        <is>
          <t>隔日到貨🔥 iPhone 手機殼 17 16 15 14 13 12 pro 保護殼 軟殼 蘋果 Apple 防摔殼</t>
        </is>
      </c>
      <c r="C1190">
        <f>IMAGE("https://cf.shopee.tw/file/tw-11134207-7rasd-m0el0aw4irxj77_tn")</f>
        <v/>
      </c>
      <c r="D1190" t="inlineStr">
        <is>
          <t>奶酪白,15 Pro</t>
        </is>
      </c>
      <c r="E1190" t="inlineStr">
        <is>
          <t>256639301043</t>
        </is>
      </c>
      <c r="F1190">
        <f>IMAGE("https://cf.shopee.tw/file/tw-11134207-7rasa-m0el0awodrdf85_tn")</f>
        <v/>
      </c>
    </row>
    <row r="1191">
      <c r="A1191" t="inlineStr">
        <is>
          <t>26961965768</t>
        </is>
      </c>
      <c r="B1191" t="inlineStr">
        <is>
          <t>隔日到貨🔥 iPhone 手機殼 17 16 15 14 13 12 pro 保護殼 軟殼 蘋果 Apple 防摔殼</t>
        </is>
      </c>
      <c r="C1191">
        <f>IMAGE("https://cf.shopee.tw/file/tw-11134207-7rasd-m0el0aw4irxj77_tn")</f>
        <v/>
      </c>
      <c r="D1191" t="inlineStr">
        <is>
          <t>奶酪白,15 Pro Max</t>
        </is>
      </c>
      <c r="E1191" t="inlineStr"/>
      <c r="F1191">
        <f>IMAGE("https://cf.shopee.tw/file/tw-11134207-7rasa-m0el0awodrdf85_tn")</f>
        <v/>
      </c>
    </row>
    <row r="1192">
      <c r="A1192" t="inlineStr">
        <is>
          <t>26961965768</t>
        </is>
      </c>
      <c r="B1192" t="inlineStr">
        <is>
          <t>隔日到貨🔥 iPhone 手機殼 17 16 15 14 13 12 pro 保護殼 軟殼 蘋果 Apple 防摔殼</t>
        </is>
      </c>
      <c r="C1192">
        <f>IMAGE("https://cf.shopee.tw/file/tw-11134207-7rasd-m0el0aw4irxj77_tn")</f>
        <v/>
      </c>
      <c r="D1192" t="inlineStr">
        <is>
          <t>奶酪白,16</t>
        </is>
      </c>
      <c r="E1192" t="inlineStr">
        <is>
          <t>256639301037</t>
        </is>
      </c>
      <c r="F1192">
        <f>IMAGE("https://cf.shopee.tw/file/tw-11134207-7rasa-m0el0awodrdf85_tn")</f>
        <v/>
      </c>
    </row>
    <row r="1193">
      <c r="A1193" t="inlineStr">
        <is>
          <t>26961965768</t>
        </is>
      </c>
      <c r="B1193" t="inlineStr">
        <is>
          <t>隔日到貨🔥 iPhone 手機殼 17 16 15 14 13 12 pro 保護殼 軟殼 蘋果 Apple 防摔殼</t>
        </is>
      </c>
      <c r="C1193">
        <f>IMAGE("https://cf.shopee.tw/file/tw-11134207-7rasd-m0el0aw4irxj77_tn")</f>
        <v/>
      </c>
      <c r="D1193" t="inlineStr">
        <is>
          <t>奶酪白,16 Plus</t>
        </is>
      </c>
      <c r="E1193" t="inlineStr">
        <is>
          <t>256639301048</t>
        </is>
      </c>
      <c r="F1193">
        <f>IMAGE("https://cf.shopee.tw/file/tw-11134207-7rasa-m0el0awodrdf85_tn")</f>
        <v/>
      </c>
    </row>
    <row r="1194">
      <c r="A1194" t="inlineStr">
        <is>
          <t>26961965768</t>
        </is>
      </c>
      <c r="B1194" t="inlineStr">
        <is>
          <t>隔日到貨🔥 iPhone 手機殼 17 16 15 14 13 12 pro 保護殼 軟殼 蘋果 Apple 防摔殼</t>
        </is>
      </c>
      <c r="C1194">
        <f>IMAGE("https://cf.shopee.tw/file/tw-11134207-7rasd-m0el0aw4irxj77_tn")</f>
        <v/>
      </c>
      <c r="D1194" t="inlineStr">
        <is>
          <t>奶酪白,16 Pro</t>
        </is>
      </c>
      <c r="E1194" t="inlineStr">
        <is>
          <t>256639301047</t>
        </is>
      </c>
      <c r="F1194">
        <f>IMAGE("https://cf.shopee.tw/file/tw-11134207-7rasa-m0el0awodrdf85_tn")</f>
        <v/>
      </c>
    </row>
    <row r="1195">
      <c r="A1195" t="inlineStr">
        <is>
          <t>26961965768</t>
        </is>
      </c>
      <c r="B1195" t="inlineStr">
        <is>
          <t>隔日到貨🔥 iPhone 手機殼 17 16 15 14 13 12 pro 保護殼 軟殼 蘋果 Apple 防摔殼</t>
        </is>
      </c>
      <c r="C1195">
        <f>IMAGE("https://cf.shopee.tw/file/tw-11134207-7rasd-m0el0aw4irxj77_tn")</f>
        <v/>
      </c>
      <c r="D1195" t="inlineStr">
        <is>
          <t>奶酪白,16 Pro Max</t>
        </is>
      </c>
      <c r="E1195" t="inlineStr">
        <is>
          <t>256639301040</t>
        </is>
      </c>
      <c r="F1195">
        <f>IMAGE("https://cf.shopee.tw/file/tw-11134207-7rasa-m0el0awodrdf85_tn")</f>
        <v/>
      </c>
    </row>
    <row r="1196">
      <c r="A1196" t="inlineStr">
        <is>
          <t>26961965768</t>
        </is>
      </c>
      <c r="B1196" t="inlineStr">
        <is>
          <t>隔日到貨🔥 iPhone 手機殼 17 16 15 14 13 12 pro 保護殼 軟殼 蘋果 Apple 防摔殼</t>
        </is>
      </c>
      <c r="C1196">
        <f>IMAGE("https://cf.shopee.tw/file/tw-11134207-7rasd-m0el0aw4irxj77_tn")</f>
        <v/>
      </c>
      <c r="D1196" t="inlineStr">
        <is>
          <t>奶酪白,17</t>
        </is>
      </c>
      <c r="E1196" t="inlineStr">
        <is>
          <t>258927221964</t>
        </is>
      </c>
      <c r="F1196">
        <f>IMAGE("https://cf.shopee.tw/file/tw-11134207-7rasa-m0el0awodrdf85_tn")</f>
        <v/>
      </c>
    </row>
    <row r="1197">
      <c r="A1197" t="inlineStr">
        <is>
          <t>26961965768</t>
        </is>
      </c>
      <c r="B1197" t="inlineStr">
        <is>
          <t>隔日到貨🔥 iPhone 手機殼 17 16 15 14 13 12 pro 保護殼 軟殼 蘋果 Apple 防摔殼</t>
        </is>
      </c>
      <c r="C1197">
        <f>IMAGE("https://cf.shopee.tw/file/tw-11134207-7rasd-m0el0aw4irxj77_tn")</f>
        <v/>
      </c>
      <c r="D1197" t="inlineStr">
        <is>
          <t>奶酪白,17 Pro</t>
        </is>
      </c>
      <c r="E1197" t="inlineStr">
        <is>
          <t>258927221965</t>
        </is>
      </c>
      <c r="F1197">
        <f>IMAGE("https://cf.shopee.tw/file/tw-11134207-7rasa-m0el0awodrdf85_tn")</f>
        <v/>
      </c>
    </row>
    <row r="1198">
      <c r="A1198" t="inlineStr">
        <is>
          <t>26961965768</t>
        </is>
      </c>
      <c r="B1198" t="inlineStr">
        <is>
          <t>隔日到貨🔥 iPhone 手機殼 17 16 15 14 13 12 pro 保護殼 軟殼 蘋果 Apple 防摔殼</t>
        </is>
      </c>
      <c r="C1198">
        <f>IMAGE("https://cf.shopee.tw/file/tw-11134207-7rasd-m0el0aw4irxj77_tn")</f>
        <v/>
      </c>
      <c r="D1198" t="inlineStr">
        <is>
          <t>奶酪白,17 pro Max</t>
        </is>
      </c>
      <c r="E1198" t="inlineStr">
        <is>
          <t>258927221966</t>
        </is>
      </c>
      <c r="F1198">
        <f>IMAGE("https://cf.shopee.tw/file/tw-11134207-7rasa-m0el0awodrdf85_tn")</f>
        <v/>
      </c>
    </row>
    <row r="1199">
      <c r="A1199" t="inlineStr">
        <is>
          <t>26961965768</t>
        </is>
      </c>
      <c r="B1199" t="inlineStr">
        <is>
          <t>隔日到貨🔥 iPhone 手機殼 17 16 15 14 13 12 pro 保護殼 軟殼 蘋果 Apple 防摔殼</t>
        </is>
      </c>
      <c r="C1199">
        <f>IMAGE("https://cf.shopee.tw/file/tw-11134207-7rasd-m0el0aw4irxj77_tn")</f>
        <v/>
      </c>
      <c r="D1199" t="inlineStr">
        <is>
          <t>奶油黃,12 / 12 Pro</t>
        </is>
      </c>
      <c r="E1199" t="inlineStr">
        <is>
          <t>251639294837</t>
        </is>
      </c>
      <c r="F1199">
        <f>IMAGE("https://cf.shopee.tw/file/tw-11134207-7rash-m0el0awo2itve2_tn")</f>
        <v/>
      </c>
    </row>
    <row r="1200">
      <c r="A1200" t="inlineStr">
        <is>
          <t>26961965768</t>
        </is>
      </c>
      <c r="B1200" t="inlineStr">
        <is>
          <t>隔日到貨🔥 iPhone 手機殼 17 16 15 14 13 12 pro 保護殼 軟殼 蘋果 Apple 防摔殼</t>
        </is>
      </c>
      <c r="C1200">
        <f>IMAGE("https://cf.shopee.tw/file/tw-11134207-7rasd-m0el0aw4irxj77_tn")</f>
        <v/>
      </c>
      <c r="D1200" t="inlineStr">
        <is>
          <t>奶油黃,12ProMax / 13ProMax</t>
        </is>
      </c>
      <c r="E1200" t="inlineStr">
        <is>
          <t>256639301057</t>
        </is>
      </c>
      <c r="F1200">
        <f>IMAGE("https://cf.shopee.tw/file/tw-11134207-7rash-m0el0awo2itve2_tn")</f>
        <v/>
      </c>
    </row>
    <row r="1201">
      <c r="A1201" t="inlineStr">
        <is>
          <t>26961965768</t>
        </is>
      </c>
      <c r="B1201" t="inlineStr">
        <is>
          <t>隔日到貨🔥 iPhone 手機殼 17 16 15 14 13 12 pro 保護殼 軟殼 蘋果 Apple 防摔殼</t>
        </is>
      </c>
      <c r="C1201">
        <f>IMAGE("https://cf.shopee.tw/file/tw-11134207-7rasd-m0el0aw4irxj77_tn")</f>
        <v/>
      </c>
      <c r="D1201" t="inlineStr">
        <is>
          <t>奶油黃,13/14</t>
        </is>
      </c>
      <c r="E1201" t="inlineStr">
        <is>
          <t>256639301060</t>
        </is>
      </c>
      <c r="F1201">
        <f>IMAGE("https://cf.shopee.tw/file/tw-11134207-7rash-m0el0awo2itve2_tn")</f>
        <v/>
      </c>
    </row>
    <row r="1202">
      <c r="A1202" t="inlineStr">
        <is>
          <t>26961965768</t>
        </is>
      </c>
      <c r="B1202" t="inlineStr">
        <is>
          <t>隔日到貨🔥 iPhone 手機殼 17 16 15 14 13 12 pro 保護殼 軟殼 蘋果 Apple 防摔殼</t>
        </is>
      </c>
      <c r="C1202">
        <f>IMAGE("https://cf.shopee.tw/file/tw-11134207-7rasd-m0el0aw4irxj77_tn")</f>
        <v/>
      </c>
      <c r="D1202" t="inlineStr">
        <is>
          <t>奶油黃,13 Pro</t>
        </is>
      </c>
      <c r="E1202" t="inlineStr"/>
      <c r="F1202">
        <f>IMAGE("https://cf.shopee.tw/file/tw-11134207-7rash-m0el0awo2itve2_tn")</f>
        <v/>
      </c>
    </row>
    <row r="1203">
      <c r="A1203" t="inlineStr">
        <is>
          <t>26961965768</t>
        </is>
      </c>
      <c r="B1203" t="inlineStr">
        <is>
          <t>隔日到貨🔥 iPhone 手機殼 17 16 15 14 13 12 pro 保護殼 軟殼 蘋果 Apple 防摔殼</t>
        </is>
      </c>
      <c r="C1203">
        <f>IMAGE("https://cf.shopee.tw/file/tw-11134207-7rasd-m0el0aw4irxj77_tn")</f>
        <v/>
      </c>
      <c r="D1203" t="inlineStr">
        <is>
          <t>奶油黃,14 Pro</t>
        </is>
      </c>
      <c r="E1203" t="inlineStr">
        <is>
          <t>251639294836</t>
        </is>
      </c>
      <c r="F1203">
        <f>IMAGE("https://cf.shopee.tw/file/tw-11134207-7rash-m0el0awo2itve2_tn")</f>
        <v/>
      </c>
    </row>
    <row r="1204">
      <c r="A1204" t="inlineStr">
        <is>
          <t>26961965768</t>
        </is>
      </c>
      <c r="B1204" t="inlineStr">
        <is>
          <t>隔日到貨🔥 iPhone 手機殼 17 16 15 14 13 12 pro 保護殼 軟殼 蘋果 Apple 防摔殼</t>
        </is>
      </c>
      <c r="C1204">
        <f>IMAGE("https://cf.shopee.tw/file/tw-11134207-7rasd-m0el0aw4irxj77_tn")</f>
        <v/>
      </c>
      <c r="D1204" t="inlineStr">
        <is>
          <t>奶油黃,14 Pro Max</t>
        </is>
      </c>
      <c r="E1204" t="inlineStr">
        <is>
          <t>256639301059</t>
        </is>
      </c>
      <c r="F1204">
        <f>IMAGE("https://cf.shopee.tw/file/tw-11134207-7rash-m0el0awo2itve2_tn")</f>
        <v/>
      </c>
    </row>
    <row r="1205">
      <c r="A1205" t="inlineStr">
        <is>
          <t>26961965768</t>
        </is>
      </c>
      <c r="B1205" t="inlineStr">
        <is>
          <t>隔日到貨🔥 iPhone 手機殼 17 16 15 14 13 12 pro 保護殼 軟殼 蘋果 Apple 防摔殼</t>
        </is>
      </c>
      <c r="C1205">
        <f>IMAGE("https://cf.shopee.tw/file/tw-11134207-7rasd-m0el0aw4irxj77_tn")</f>
        <v/>
      </c>
      <c r="D1205" t="inlineStr">
        <is>
          <t>奶油黃,15</t>
        </is>
      </c>
      <c r="E1205" t="inlineStr">
        <is>
          <t>256639301064</t>
        </is>
      </c>
      <c r="F1205">
        <f>IMAGE("https://cf.shopee.tw/file/tw-11134207-7rash-m0el0awo2itve2_tn")</f>
        <v/>
      </c>
    </row>
    <row r="1206">
      <c r="A1206" t="inlineStr">
        <is>
          <t>26961965768</t>
        </is>
      </c>
      <c r="B1206" t="inlineStr">
        <is>
          <t>隔日到貨🔥 iPhone 手機殼 17 16 15 14 13 12 pro 保護殼 軟殼 蘋果 Apple 防摔殼</t>
        </is>
      </c>
      <c r="C1206">
        <f>IMAGE("https://cf.shopee.tw/file/tw-11134207-7rasd-m0el0aw4irxj77_tn")</f>
        <v/>
      </c>
      <c r="D1206" t="inlineStr">
        <is>
          <t>奶油黃,15 Pro Max</t>
        </is>
      </c>
      <c r="E1206" t="inlineStr"/>
      <c r="F1206">
        <f>IMAGE("https://cf.shopee.tw/file/tw-11134207-7rash-m0el0awo2itve2_tn")</f>
        <v/>
      </c>
    </row>
    <row r="1207">
      <c r="A1207" t="inlineStr">
        <is>
          <t>26961965768</t>
        </is>
      </c>
      <c r="B1207" t="inlineStr">
        <is>
          <t>隔日到貨🔥 iPhone 手機殼 17 16 15 14 13 12 pro 保護殼 軟殼 蘋果 Apple 防摔殼</t>
        </is>
      </c>
      <c r="C1207">
        <f>IMAGE("https://cf.shopee.tw/file/tw-11134207-7rasd-m0el0aw4irxj77_tn")</f>
        <v/>
      </c>
      <c r="D1207" t="inlineStr">
        <is>
          <t>奶油黃,16</t>
        </is>
      </c>
      <c r="E1207" t="inlineStr">
        <is>
          <t>256639301052</t>
        </is>
      </c>
      <c r="F1207">
        <f>IMAGE("https://cf.shopee.tw/file/tw-11134207-7rash-m0el0awo2itve2_tn")</f>
        <v/>
      </c>
    </row>
    <row r="1208">
      <c r="A1208" t="inlineStr">
        <is>
          <t>26961965768</t>
        </is>
      </c>
      <c r="B1208" t="inlineStr">
        <is>
          <t>隔日到貨🔥 iPhone 手機殼 17 16 15 14 13 12 pro 保護殼 軟殼 蘋果 Apple 防摔殼</t>
        </is>
      </c>
      <c r="C1208">
        <f>IMAGE("https://cf.shopee.tw/file/tw-11134207-7rasd-m0el0aw4irxj77_tn")</f>
        <v/>
      </c>
      <c r="D1208" t="inlineStr">
        <is>
          <t>奶油黃,16 Plus</t>
        </is>
      </c>
      <c r="E1208" t="inlineStr">
        <is>
          <t>256639301063</t>
        </is>
      </c>
      <c r="F1208">
        <f>IMAGE("https://cf.shopee.tw/file/tw-11134207-7rash-m0el0awo2itve2_tn")</f>
        <v/>
      </c>
    </row>
    <row r="1209">
      <c r="A1209" t="inlineStr">
        <is>
          <t>26961965768</t>
        </is>
      </c>
      <c r="B1209" t="inlineStr">
        <is>
          <t>隔日到貨🔥 iPhone 手機殼 17 16 15 14 13 12 pro 保護殼 軟殼 蘋果 Apple 防摔殼</t>
        </is>
      </c>
      <c r="C1209">
        <f>IMAGE("https://cf.shopee.tw/file/tw-11134207-7rasd-m0el0aw4irxj77_tn")</f>
        <v/>
      </c>
      <c r="D1209" t="inlineStr">
        <is>
          <t>奶油黃,16 Pro</t>
        </is>
      </c>
      <c r="E1209" t="inlineStr">
        <is>
          <t>256639301062</t>
        </is>
      </c>
      <c r="F1209">
        <f>IMAGE("https://cf.shopee.tw/file/tw-11134207-7rash-m0el0awo2itve2_tn")</f>
        <v/>
      </c>
    </row>
    <row r="1210">
      <c r="A1210" t="inlineStr">
        <is>
          <t>26961965768</t>
        </is>
      </c>
      <c r="B1210" t="inlineStr">
        <is>
          <t>隔日到貨🔥 iPhone 手機殼 17 16 15 14 13 12 pro 保護殼 軟殼 蘋果 Apple 防摔殼</t>
        </is>
      </c>
      <c r="C1210">
        <f>IMAGE("https://cf.shopee.tw/file/tw-11134207-7rasd-m0el0aw4irxj77_tn")</f>
        <v/>
      </c>
      <c r="D1210" t="inlineStr">
        <is>
          <t>奶油黃,16 Pro Max</t>
        </is>
      </c>
      <c r="E1210" t="inlineStr">
        <is>
          <t>256639301055</t>
        </is>
      </c>
      <c r="F1210">
        <f>IMAGE("https://cf.shopee.tw/file/tw-11134207-7rash-m0el0awo2itve2_tn")</f>
        <v/>
      </c>
    </row>
    <row r="1211">
      <c r="A1211" t="inlineStr">
        <is>
          <t>26961965768</t>
        </is>
      </c>
      <c r="B1211" t="inlineStr">
        <is>
          <t>隔日到貨🔥 iPhone 手機殼 17 16 15 14 13 12 pro 保護殼 軟殼 蘋果 Apple 防摔殼</t>
        </is>
      </c>
      <c r="C1211">
        <f>IMAGE("https://cf.shopee.tw/file/tw-11134207-7rasd-m0el0aw4irxj77_tn")</f>
        <v/>
      </c>
      <c r="D1211" t="inlineStr">
        <is>
          <t>奶油黃,17</t>
        </is>
      </c>
      <c r="E1211" t="inlineStr">
        <is>
          <t>258927221967</t>
        </is>
      </c>
      <c r="F1211">
        <f>IMAGE("https://cf.shopee.tw/file/tw-11134207-7rash-m0el0awo2itve2_tn")</f>
        <v/>
      </c>
    </row>
    <row r="1212">
      <c r="A1212" t="inlineStr">
        <is>
          <t>26961965768</t>
        </is>
      </c>
      <c r="B1212" t="inlineStr">
        <is>
          <t>隔日到貨🔥 iPhone 手機殼 17 16 15 14 13 12 pro 保護殼 軟殼 蘋果 Apple 防摔殼</t>
        </is>
      </c>
      <c r="C1212">
        <f>IMAGE("https://cf.shopee.tw/file/tw-11134207-7rasd-m0el0aw4irxj77_tn")</f>
        <v/>
      </c>
      <c r="D1212" t="inlineStr">
        <is>
          <t>奶油黃,17 Pro</t>
        </is>
      </c>
      <c r="E1212" t="inlineStr">
        <is>
          <t>258927221968</t>
        </is>
      </c>
      <c r="F1212">
        <f>IMAGE("https://cf.shopee.tw/file/tw-11134207-7rash-m0el0awo2itve2_tn")</f>
        <v/>
      </c>
    </row>
    <row r="1213">
      <c r="A1213" t="inlineStr">
        <is>
          <t>26961965768</t>
        </is>
      </c>
      <c r="B1213" t="inlineStr">
        <is>
          <t>隔日到貨🔥 iPhone 手機殼 17 16 15 14 13 12 pro 保護殼 軟殼 蘋果 Apple 防摔殼</t>
        </is>
      </c>
      <c r="C1213">
        <f>IMAGE("https://cf.shopee.tw/file/tw-11134207-7rasd-m0el0aw4irxj77_tn")</f>
        <v/>
      </c>
      <c r="D1213" t="inlineStr">
        <is>
          <t>奶油黃,17 pro Max</t>
        </is>
      </c>
      <c r="E1213" t="inlineStr">
        <is>
          <t>258927221969</t>
        </is>
      </c>
      <c r="F1213">
        <f>IMAGE("https://cf.shopee.tw/file/tw-11134207-7rash-m0el0awo2itve2_tn")</f>
        <v/>
      </c>
    </row>
    <row r="1214">
      <c r="A1214" t="inlineStr">
        <is>
          <t>26961965768</t>
        </is>
      </c>
      <c r="B1214" t="inlineStr">
        <is>
          <t>隔日到貨🔥 iPhone 手機殼 17 16 15 14 13 12 pro 保護殼 軟殼 蘋果 Apple 防摔殼</t>
        </is>
      </c>
      <c r="C1214">
        <f>IMAGE("https://cf.shopee.tw/file/tw-11134207-7rasd-m0el0aw4irxj77_tn")</f>
        <v/>
      </c>
      <c r="D1214" t="inlineStr">
        <is>
          <t>豆紫色,12 / 12 Pro</t>
        </is>
      </c>
      <c r="E1214" t="inlineStr">
        <is>
          <t>251639294852</t>
        </is>
      </c>
      <c r="F1214">
        <f>IMAGE("https://cf.shopee.tw/file/tw-11134207-7rasd-m0el0awojd9jae_tn")</f>
        <v/>
      </c>
    </row>
    <row r="1215">
      <c r="A1215" t="inlineStr">
        <is>
          <t>26961965768</t>
        </is>
      </c>
      <c r="B1215" t="inlineStr">
        <is>
          <t>隔日到貨🔥 iPhone 手機殼 17 16 15 14 13 12 pro 保護殼 軟殼 蘋果 Apple 防摔殼</t>
        </is>
      </c>
      <c r="C1215">
        <f>IMAGE("https://cf.shopee.tw/file/tw-11134207-7rasd-m0el0aw4irxj77_tn")</f>
        <v/>
      </c>
      <c r="D1215" t="inlineStr">
        <is>
          <t>豆紫色,12ProMax / 13ProMax</t>
        </is>
      </c>
      <c r="E1215" t="inlineStr">
        <is>
          <t>251639294843</t>
        </is>
      </c>
      <c r="F1215">
        <f>IMAGE("https://cf.shopee.tw/file/tw-11134207-7rasd-m0el0awojd9jae_tn")</f>
        <v/>
      </c>
    </row>
    <row r="1216">
      <c r="A1216" t="inlineStr">
        <is>
          <t>26961965768</t>
        </is>
      </c>
      <c r="B1216" t="inlineStr">
        <is>
          <t>隔日到貨🔥 iPhone 手機殼 17 16 15 14 13 12 pro 保護殼 軟殼 蘋果 Apple 防摔殼</t>
        </is>
      </c>
      <c r="C1216">
        <f>IMAGE("https://cf.shopee.tw/file/tw-11134207-7rasd-m0el0aw4irxj77_tn")</f>
        <v/>
      </c>
      <c r="D1216" t="inlineStr">
        <is>
          <t>豆紫色,13/14</t>
        </is>
      </c>
      <c r="E1216" t="inlineStr">
        <is>
          <t>251639294846</t>
        </is>
      </c>
      <c r="F1216">
        <f>IMAGE("https://cf.shopee.tw/file/tw-11134207-7rasd-m0el0awojd9jae_tn")</f>
        <v/>
      </c>
    </row>
    <row r="1217">
      <c r="A1217" t="inlineStr">
        <is>
          <t>26961965768</t>
        </is>
      </c>
      <c r="B1217" t="inlineStr">
        <is>
          <t>隔日到貨🔥 iPhone 手機殼 17 16 15 14 13 12 pro 保護殼 軟殼 蘋果 Apple 防摔殼</t>
        </is>
      </c>
      <c r="C1217">
        <f>IMAGE("https://cf.shopee.tw/file/tw-11134207-7rasd-m0el0aw4irxj77_tn")</f>
        <v/>
      </c>
      <c r="D1217" t="inlineStr">
        <is>
          <t>豆紫色,13 Pro</t>
        </is>
      </c>
      <c r="E1217" t="inlineStr">
        <is>
          <t>251639294839</t>
        </is>
      </c>
      <c r="F1217">
        <f>IMAGE("https://cf.shopee.tw/file/tw-11134207-7rasd-m0el0awojd9jae_tn")</f>
        <v/>
      </c>
    </row>
    <row r="1218">
      <c r="A1218" t="inlineStr">
        <is>
          <t>26961965768</t>
        </is>
      </c>
      <c r="B1218" t="inlineStr">
        <is>
          <t>隔日到貨🔥 iPhone 手機殼 17 16 15 14 13 12 pro 保護殼 軟殼 蘋果 Apple 防摔殼</t>
        </is>
      </c>
      <c r="C1218">
        <f>IMAGE("https://cf.shopee.tw/file/tw-11134207-7rasd-m0el0aw4irxj77_tn")</f>
        <v/>
      </c>
      <c r="D1218" t="inlineStr">
        <is>
          <t>豆紫色,14 Pro</t>
        </is>
      </c>
      <c r="E1218" t="inlineStr">
        <is>
          <t>251639294851</t>
        </is>
      </c>
      <c r="F1218">
        <f>IMAGE("https://cf.shopee.tw/file/tw-11134207-7rasd-m0el0awojd9jae_tn")</f>
        <v/>
      </c>
    </row>
    <row r="1219">
      <c r="A1219" t="inlineStr">
        <is>
          <t>26961965768</t>
        </is>
      </c>
      <c r="B1219" t="inlineStr">
        <is>
          <t>隔日到貨🔥 iPhone 手機殼 17 16 15 14 13 12 pro 保護殼 軟殼 蘋果 Apple 防摔殼</t>
        </is>
      </c>
      <c r="C1219">
        <f>IMAGE("https://cf.shopee.tw/file/tw-11134207-7rasd-m0el0aw4irxj77_tn")</f>
        <v/>
      </c>
      <c r="D1219" t="inlineStr">
        <is>
          <t>豆紫色,14 Pro Max</t>
        </is>
      </c>
      <c r="E1219" t="inlineStr">
        <is>
          <t>251639294845</t>
        </is>
      </c>
      <c r="F1219">
        <f>IMAGE("https://cf.shopee.tw/file/tw-11134207-7rasd-m0el0awojd9jae_tn")</f>
        <v/>
      </c>
    </row>
    <row r="1220">
      <c r="A1220" t="inlineStr">
        <is>
          <t>26961965768</t>
        </is>
      </c>
      <c r="B1220" t="inlineStr">
        <is>
          <t>隔日到貨🔥 iPhone 手機殼 17 16 15 14 13 12 pro 保護殼 軟殼 蘋果 Apple 防摔殼</t>
        </is>
      </c>
      <c r="C1220">
        <f>IMAGE("https://cf.shopee.tw/file/tw-11134207-7rasd-m0el0aw4irxj77_tn")</f>
        <v/>
      </c>
      <c r="D1220" t="inlineStr">
        <is>
          <t>豆紫色,15</t>
        </is>
      </c>
      <c r="E1220" t="inlineStr">
        <is>
          <t>251639294850</t>
        </is>
      </c>
      <c r="F1220">
        <f>IMAGE("https://cf.shopee.tw/file/tw-11134207-7rasd-m0el0awojd9jae_tn")</f>
        <v/>
      </c>
    </row>
    <row r="1221">
      <c r="A1221" t="inlineStr">
        <is>
          <t>26961965768</t>
        </is>
      </c>
      <c r="B1221" t="inlineStr">
        <is>
          <t>隔日到貨🔥 iPhone 手機殼 17 16 15 14 13 12 pro 保護殼 軟殼 蘋果 Apple 防摔殼</t>
        </is>
      </c>
      <c r="C1221">
        <f>IMAGE("https://cf.shopee.tw/file/tw-11134207-7rasd-m0el0aw4irxj77_tn")</f>
        <v/>
      </c>
      <c r="D1221" t="inlineStr">
        <is>
          <t>豆紫色,15 Pro</t>
        </is>
      </c>
      <c r="E1221" t="inlineStr">
        <is>
          <t>251639294844</t>
        </is>
      </c>
      <c r="F1221">
        <f>IMAGE("https://cf.shopee.tw/file/tw-11134207-7rasd-m0el0awojd9jae_tn")</f>
        <v/>
      </c>
    </row>
    <row r="1222">
      <c r="A1222" t="inlineStr">
        <is>
          <t>26961965768</t>
        </is>
      </c>
      <c r="B1222" t="inlineStr">
        <is>
          <t>隔日到貨🔥 iPhone 手機殼 17 16 15 14 13 12 pro 保護殼 軟殼 蘋果 Apple 防摔殼</t>
        </is>
      </c>
      <c r="C1222">
        <f>IMAGE("https://cf.shopee.tw/file/tw-11134207-7rasd-m0el0aw4irxj77_tn")</f>
        <v/>
      </c>
      <c r="D1222" t="inlineStr">
        <is>
          <t>豆紫色,15 Pro Max</t>
        </is>
      </c>
      <c r="E1222" t="inlineStr">
        <is>
          <t>251639294840</t>
        </is>
      </c>
      <c r="F1222">
        <f>IMAGE("https://cf.shopee.tw/file/tw-11134207-7rasd-m0el0awojd9jae_tn")</f>
        <v/>
      </c>
    </row>
    <row r="1223">
      <c r="A1223" t="inlineStr">
        <is>
          <t>26961965768</t>
        </is>
      </c>
      <c r="B1223" t="inlineStr">
        <is>
          <t>隔日到貨🔥 iPhone 手機殼 17 16 15 14 13 12 pro 保護殼 軟殼 蘋果 Apple 防摔殼</t>
        </is>
      </c>
      <c r="C1223">
        <f>IMAGE("https://cf.shopee.tw/file/tw-11134207-7rasd-m0el0aw4irxj77_tn")</f>
        <v/>
      </c>
      <c r="D1223" t="inlineStr">
        <is>
          <t>豆紫色,16</t>
        </is>
      </c>
      <c r="E1223" t="inlineStr">
        <is>
          <t>251639294838</t>
        </is>
      </c>
      <c r="F1223">
        <f>IMAGE("https://cf.shopee.tw/file/tw-11134207-7rasd-m0el0awojd9jae_tn")</f>
        <v/>
      </c>
    </row>
    <row r="1224">
      <c r="A1224" t="inlineStr">
        <is>
          <t>26961965768</t>
        </is>
      </c>
      <c r="B1224" t="inlineStr">
        <is>
          <t>隔日到貨🔥 iPhone 手機殼 17 16 15 14 13 12 pro 保護殼 軟殼 蘋果 Apple 防摔殼</t>
        </is>
      </c>
      <c r="C1224">
        <f>IMAGE("https://cf.shopee.tw/file/tw-11134207-7rasd-m0el0aw4irxj77_tn")</f>
        <v/>
      </c>
      <c r="D1224" t="inlineStr">
        <is>
          <t>豆紫色,16 Plus</t>
        </is>
      </c>
      <c r="E1224" t="inlineStr">
        <is>
          <t>251639294849</t>
        </is>
      </c>
      <c r="F1224">
        <f>IMAGE("https://cf.shopee.tw/file/tw-11134207-7rasd-m0el0awojd9jae_tn")</f>
        <v/>
      </c>
    </row>
    <row r="1225">
      <c r="A1225" t="inlineStr">
        <is>
          <t>26961965768</t>
        </is>
      </c>
      <c r="B1225" t="inlineStr">
        <is>
          <t>隔日到貨🔥 iPhone 手機殼 17 16 15 14 13 12 pro 保護殼 軟殼 蘋果 Apple 防摔殼</t>
        </is>
      </c>
      <c r="C1225">
        <f>IMAGE("https://cf.shopee.tw/file/tw-11134207-7rasd-m0el0aw4irxj77_tn")</f>
        <v/>
      </c>
      <c r="D1225" t="inlineStr">
        <is>
          <t>豆紫色,16 Pro</t>
        </is>
      </c>
      <c r="E1225" t="inlineStr">
        <is>
          <t>251639294848</t>
        </is>
      </c>
      <c r="F1225">
        <f>IMAGE("https://cf.shopee.tw/file/tw-11134207-7rasd-m0el0awojd9jae_tn")</f>
        <v/>
      </c>
    </row>
    <row r="1226">
      <c r="A1226" t="inlineStr">
        <is>
          <t>26961965768</t>
        </is>
      </c>
      <c r="B1226" t="inlineStr">
        <is>
          <t>隔日到貨🔥 iPhone 手機殼 17 16 15 14 13 12 pro 保護殼 軟殼 蘋果 Apple 防摔殼</t>
        </is>
      </c>
      <c r="C1226">
        <f>IMAGE("https://cf.shopee.tw/file/tw-11134207-7rasd-m0el0aw4irxj77_tn")</f>
        <v/>
      </c>
      <c r="D1226" t="inlineStr">
        <is>
          <t>豆紫色,16 Pro Max</t>
        </is>
      </c>
      <c r="E1226" t="inlineStr">
        <is>
          <t>251639294841</t>
        </is>
      </c>
      <c r="F1226">
        <f>IMAGE("https://cf.shopee.tw/file/tw-11134207-7rasd-m0el0awojd9jae_tn")</f>
        <v/>
      </c>
    </row>
    <row r="1227">
      <c r="A1227" t="inlineStr">
        <is>
          <t>26961965768</t>
        </is>
      </c>
      <c r="B1227" t="inlineStr">
        <is>
          <t>隔日到貨🔥 iPhone 手機殼 17 16 15 14 13 12 pro 保護殼 軟殼 蘋果 Apple 防摔殼</t>
        </is>
      </c>
      <c r="C1227">
        <f>IMAGE("https://cf.shopee.tw/file/tw-11134207-7rasd-m0el0aw4irxj77_tn")</f>
        <v/>
      </c>
      <c r="D1227" t="inlineStr">
        <is>
          <t>豆紫色,17</t>
        </is>
      </c>
      <c r="E1227" t="inlineStr">
        <is>
          <t>258927221970</t>
        </is>
      </c>
      <c r="F1227">
        <f>IMAGE("https://cf.shopee.tw/file/tw-11134207-7rasd-m0el0awojd9jae_tn")</f>
        <v/>
      </c>
    </row>
    <row r="1228">
      <c r="A1228" t="inlineStr">
        <is>
          <t>26961965768</t>
        </is>
      </c>
      <c r="B1228" t="inlineStr">
        <is>
          <t>隔日到貨🔥 iPhone 手機殼 17 16 15 14 13 12 pro 保護殼 軟殼 蘋果 Apple 防摔殼</t>
        </is>
      </c>
      <c r="C1228">
        <f>IMAGE("https://cf.shopee.tw/file/tw-11134207-7rasd-m0el0aw4irxj77_tn")</f>
        <v/>
      </c>
      <c r="D1228" t="inlineStr">
        <is>
          <t>豆紫色,17 Pro</t>
        </is>
      </c>
      <c r="E1228" t="inlineStr">
        <is>
          <t>258927221971</t>
        </is>
      </c>
      <c r="F1228">
        <f>IMAGE("https://cf.shopee.tw/file/tw-11134207-7rasd-m0el0awojd9jae_tn")</f>
        <v/>
      </c>
    </row>
    <row r="1229">
      <c r="A1229" t="inlineStr">
        <is>
          <t>26961965768</t>
        </is>
      </c>
      <c r="B1229" t="inlineStr">
        <is>
          <t>隔日到貨🔥 iPhone 手機殼 17 16 15 14 13 12 pro 保護殼 軟殼 蘋果 Apple 防摔殼</t>
        </is>
      </c>
      <c r="C1229">
        <f>IMAGE("https://cf.shopee.tw/file/tw-11134207-7rasd-m0el0aw4irxj77_tn")</f>
        <v/>
      </c>
      <c r="D1229" t="inlineStr">
        <is>
          <t>豆紫色,17 pro Max</t>
        </is>
      </c>
      <c r="E1229" t="inlineStr">
        <is>
          <t>258927221972</t>
        </is>
      </c>
      <c r="F1229">
        <f>IMAGE("https://cf.shopee.tw/file/tw-11134207-7rasd-m0el0awojd9jae_tn")</f>
        <v/>
      </c>
    </row>
    <row r="1230">
      <c r="A1230" t="inlineStr">
        <is>
          <t>22886626447</t>
        </is>
      </c>
      <c r="B1230" t="inlineStr">
        <is>
          <t>隔日到貨🔥 煤球 iPhone 手機殼 17 16 15 14 13 12 11 XS XR SE 保護殼 軟殼 黑色</t>
        </is>
      </c>
      <c r="C1230">
        <f>IMAGE("https://cf.shopee.tw/file/tw-11134207-7r98w-lo7z3jir6e6aec_tn")</f>
        <v/>
      </c>
      <c r="D1230" t="inlineStr">
        <is>
          <t>立體黑煤球,7 / 8 / SE2 / SE3</t>
        </is>
      </c>
      <c r="E1230" t="inlineStr">
        <is>
          <t>147112911856</t>
        </is>
      </c>
      <c r="F1230">
        <f>IMAGE("https://cf.shopee.tw/file/tw-11134207-7r98y-lo7z3ji78lz6c4_tn")</f>
        <v/>
      </c>
    </row>
    <row r="1231">
      <c r="A1231" t="inlineStr">
        <is>
          <t>22886626447</t>
        </is>
      </c>
      <c r="B1231" t="inlineStr">
        <is>
          <t>隔日到貨🔥 煤球 iPhone 手機殼 17 16 15 14 13 12 11 XS XR SE 保護殼 軟殼 黑色</t>
        </is>
      </c>
      <c r="C1231">
        <f>IMAGE("https://cf.shopee.tw/file/tw-11134207-7r98w-lo7z3jir6e6aec_tn")</f>
        <v/>
      </c>
      <c r="D1231" t="inlineStr">
        <is>
          <t>立體黑煤球,7 Plus / 8 Plus</t>
        </is>
      </c>
      <c r="E1231" t="inlineStr">
        <is>
          <t>250033427485</t>
        </is>
      </c>
      <c r="F1231">
        <f>IMAGE("https://cf.shopee.tw/file/tw-11134207-7r98y-lo7z3ji78lz6c4_tn")</f>
        <v/>
      </c>
    </row>
    <row r="1232">
      <c r="A1232" t="inlineStr">
        <is>
          <t>22886626447</t>
        </is>
      </c>
      <c r="B1232" t="inlineStr">
        <is>
          <t>隔日到貨🔥 煤球 iPhone 手機殼 17 16 15 14 13 12 11 XS XR SE 保護殼 軟殼 黑色</t>
        </is>
      </c>
      <c r="C1232">
        <f>IMAGE("https://cf.shopee.tw/file/tw-11134207-7r98w-lo7z3jir6e6aec_tn")</f>
        <v/>
      </c>
      <c r="D1232" t="inlineStr">
        <is>
          <t>立體黑煤球,X / XS</t>
        </is>
      </c>
      <c r="E1232" t="inlineStr">
        <is>
          <t>250033427486</t>
        </is>
      </c>
      <c r="F1232">
        <f>IMAGE("https://cf.shopee.tw/file/tw-11134207-7r98y-lo7z3ji78lz6c4_tn")</f>
        <v/>
      </c>
    </row>
    <row r="1233">
      <c r="A1233" t="inlineStr">
        <is>
          <t>22886626447</t>
        </is>
      </c>
      <c r="B1233" t="inlineStr">
        <is>
          <t>隔日到貨🔥 煤球 iPhone 手機殼 17 16 15 14 13 12 11 XS XR SE 保護殼 軟殼 黑色</t>
        </is>
      </c>
      <c r="C1233">
        <f>IMAGE("https://cf.shopee.tw/file/tw-11134207-7r98w-lo7z3jir6e6aec_tn")</f>
        <v/>
      </c>
      <c r="D1233" t="inlineStr">
        <is>
          <t>立體黑煤球,XR</t>
        </is>
      </c>
      <c r="E1233" t="inlineStr">
        <is>
          <t>250033427487</t>
        </is>
      </c>
      <c r="F1233">
        <f>IMAGE("https://cf.shopee.tw/file/tw-11134207-7r98y-lo7z3ji78lz6c4_tn")</f>
        <v/>
      </c>
    </row>
    <row r="1234">
      <c r="A1234" t="inlineStr">
        <is>
          <t>22886626447</t>
        </is>
      </c>
      <c r="B1234" t="inlineStr">
        <is>
          <t>隔日到貨🔥 煤球 iPhone 手機殼 17 16 15 14 13 12 11 XS XR SE 保護殼 軟殼 黑色</t>
        </is>
      </c>
      <c r="C1234">
        <f>IMAGE("https://cf.shopee.tw/file/tw-11134207-7r98w-lo7z3jir6e6aec_tn")</f>
        <v/>
      </c>
      <c r="D1234" t="inlineStr">
        <is>
          <t>立體黑煤球,XS Max</t>
        </is>
      </c>
      <c r="E1234" t="inlineStr">
        <is>
          <t>250033427488</t>
        </is>
      </c>
      <c r="F1234">
        <f>IMAGE("https://cf.shopee.tw/file/tw-11134207-7r98y-lo7z3ji78lz6c4_tn")</f>
        <v/>
      </c>
    </row>
    <row r="1235">
      <c r="A1235" t="inlineStr">
        <is>
          <t>22886626447</t>
        </is>
      </c>
      <c r="B1235" t="inlineStr">
        <is>
          <t>隔日到貨🔥 煤球 iPhone 手機殼 17 16 15 14 13 12 11 XS XR SE 保護殼 軟殼 黑色</t>
        </is>
      </c>
      <c r="C1235">
        <f>IMAGE("https://cf.shopee.tw/file/tw-11134207-7r98w-lo7z3jir6e6aec_tn")</f>
        <v/>
      </c>
      <c r="D1235" t="inlineStr">
        <is>
          <t>立體黑煤球,11</t>
        </is>
      </c>
      <c r="E1235" t="inlineStr">
        <is>
          <t>250033427489</t>
        </is>
      </c>
      <c r="F1235">
        <f>IMAGE("https://cf.shopee.tw/file/tw-11134207-7r98y-lo7z3ji78lz6c4_tn")</f>
        <v/>
      </c>
    </row>
    <row r="1236">
      <c r="A1236" t="inlineStr">
        <is>
          <t>22886626447</t>
        </is>
      </c>
      <c r="B1236" t="inlineStr">
        <is>
          <t>隔日到貨🔥 煤球 iPhone 手機殼 17 16 15 14 13 12 11 XS XR SE 保護殼 軟殼 黑色</t>
        </is>
      </c>
      <c r="C1236">
        <f>IMAGE("https://cf.shopee.tw/file/tw-11134207-7r98w-lo7z3jir6e6aec_tn")</f>
        <v/>
      </c>
      <c r="D1236" t="inlineStr">
        <is>
          <t>立體黑煤球,11 Pro</t>
        </is>
      </c>
      <c r="E1236" t="inlineStr">
        <is>
          <t>250033427490</t>
        </is>
      </c>
      <c r="F1236">
        <f>IMAGE("https://cf.shopee.tw/file/tw-11134207-7r98y-lo7z3ji78lz6c4_tn")</f>
        <v/>
      </c>
    </row>
    <row r="1237">
      <c r="A1237" t="inlineStr">
        <is>
          <t>22886626447</t>
        </is>
      </c>
      <c r="B1237" t="inlineStr">
        <is>
          <t>隔日到貨🔥 煤球 iPhone 手機殼 17 16 15 14 13 12 11 XS XR SE 保護殼 軟殼 黑色</t>
        </is>
      </c>
      <c r="C1237">
        <f>IMAGE("https://cf.shopee.tw/file/tw-11134207-7r98w-lo7z3jir6e6aec_tn")</f>
        <v/>
      </c>
      <c r="D1237" t="inlineStr">
        <is>
          <t>立體黑煤球,11 Pro Max</t>
        </is>
      </c>
      <c r="E1237" t="inlineStr">
        <is>
          <t>250033427491</t>
        </is>
      </c>
      <c r="F1237">
        <f>IMAGE("https://cf.shopee.tw/file/tw-11134207-7r98y-lo7z3ji78lz6c4_tn")</f>
        <v/>
      </c>
    </row>
    <row r="1238">
      <c r="A1238" t="inlineStr">
        <is>
          <t>22886626447</t>
        </is>
      </c>
      <c r="B1238" t="inlineStr">
        <is>
          <t>隔日到貨🔥 煤球 iPhone 手機殼 17 16 15 14 13 12 11 XS XR SE 保護殼 軟殼 黑色</t>
        </is>
      </c>
      <c r="C1238">
        <f>IMAGE("https://cf.shopee.tw/file/tw-11134207-7r98w-lo7z3jir6e6aec_tn")</f>
        <v/>
      </c>
      <c r="D1238" t="inlineStr">
        <is>
          <t>立體黑煤球,12</t>
        </is>
      </c>
      <c r="E1238" t="inlineStr">
        <is>
          <t>250033427492</t>
        </is>
      </c>
      <c r="F1238">
        <f>IMAGE("https://cf.shopee.tw/file/tw-11134207-7r98y-lo7z3ji78lz6c4_tn")</f>
        <v/>
      </c>
    </row>
    <row r="1239">
      <c r="A1239" t="inlineStr">
        <is>
          <t>22886626447</t>
        </is>
      </c>
      <c r="B1239" t="inlineStr">
        <is>
          <t>隔日到貨🔥 煤球 iPhone 手機殼 17 16 15 14 13 12 11 XS XR SE 保護殼 軟殼 黑色</t>
        </is>
      </c>
      <c r="C1239">
        <f>IMAGE("https://cf.shopee.tw/file/tw-11134207-7r98w-lo7z3jir6e6aec_tn")</f>
        <v/>
      </c>
      <c r="D1239" t="inlineStr">
        <is>
          <t>立體黑煤球,12 Pro</t>
        </is>
      </c>
      <c r="E1239" t="inlineStr">
        <is>
          <t>250033427493</t>
        </is>
      </c>
      <c r="F1239">
        <f>IMAGE("https://cf.shopee.tw/file/tw-11134207-7r98y-lo7z3ji78lz6c4_tn")</f>
        <v/>
      </c>
    </row>
    <row r="1240">
      <c r="A1240" t="inlineStr">
        <is>
          <t>22886626447</t>
        </is>
      </c>
      <c r="B1240" t="inlineStr">
        <is>
          <t>隔日到貨🔥 煤球 iPhone 手機殼 17 16 15 14 13 12 11 XS XR SE 保護殼 軟殼 黑色</t>
        </is>
      </c>
      <c r="C1240">
        <f>IMAGE("https://cf.shopee.tw/file/tw-11134207-7r98w-lo7z3jir6e6aec_tn")</f>
        <v/>
      </c>
      <c r="D1240" t="inlineStr">
        <is>
          <t>立體黑煤球,12 Pro Max</t>
        </is>
      </c>
      <c r="E1240" t="inlineStr">
        <is>
          <t>250033427494</t>
        </is>
      </c>
      <c r="F1240">
        <f>IMAGE("https://cf.shopee.tw/file/tw-11134207-7r98y-lo7z3ji78lz6c4_tn")</f>
        <v/>
      </c>
    </row>
    <row r="1241">
      <c r="A1241" t="inlineStr">
        <is>
          <t>22886626447</t>
        </is>
      </c>
      <c r="B1241" t="inlineStr">
        <is>
          <t>隔日到貨🔥 煤球 iPhone 手機殼 17 16 15 14 13 12 11 XS XR SE 保護殼 軟殼 黑色</t>
        </is>
      </c>
      <c r="C1241">
        <f>IMAGE("https://cf.shopee.tw/file/tw-11134207-7r98w-lo7z3jir6e6aec_tn")</f>
        <v/>
      </c>
      <c r="D1241" t="inlineStr">
        <is>
          <t>立體黑煤球,13</t>
        </is>
      </c>
      <c r="E1241" t="inlineStr">
        <is>
          <t>250033427495</t>
        </is>
      </c>
      <c r="F1241">
        <f>IMAGE("https://cf.shopee.tw/file/tw-11134207-7r98y-lo7z3ji78lz6c4_tn")</f>
        <v/>
      </c>
    </row>
    <row r="1242">
      <c r="A1242" t="inlineStr">
        <is>
          <t>22886626447</t>
        </is>
      </c>
      <c r="B1242" t="inlineStr">
        <is>
          <t>隔日到貨🔥 煤球 iPhone 手機殼 17 16 15 14 13 12 11 XS XR SE 保護殼 軟殼 黑色</t>
        </is>
      </c>
      <c r="C1242">
        <f>IMAGE("https://cf.shopee.tw/file/tw-11134207-7r98w-lo7z3jir6e6aec_tn")</f>
        <v/>
      </c>
      <c r="D1242" t="inlineStr">
        <is>
          <t>立體黑煤球,13 Pro</t>
        </is>
      </c>
      <c r="E1242" t="inlineStr">
        <is>
          <t>250033427496</t>
        </is>
      </c>
      <c r="F1242">
        <f>IMAGE("https://cf.shopee.tw/file/tw-11134207-7r98y-lo7z3ji78lz6c4_tn")</f>
        <v/>
      </c>
    </row>
    <row r="1243">
      <c r="A1243" t="inlineStr">
        <is>
          <t>22886626447</t>
        </is>
      </c>
      <c r="B1243" t="inlineStr">
        <is>
          <t>隔日到貨🔥 煤球 iPhone 手機殼 17 16 15 14 13 12 11 XS XR SE 保護殼 軟殼 黑色</t>
        </is>
      </c>
      <c r="C1243">
        <f>IMAGE("https://cf.shopee.tw/file/tw-11134207-7r98w-lo7z3jir6e6aec_tn")</f>
        <v/>
      </c>
      <c r="D1243" t="inlineStr">
        <is>
          <t>立體黑煤球,13 Pro Max</t>
        </is>
      </c>
      <c r="E1243" t="inlineStr">
        <is>
          <t>250033427497</t>
        </is>
      </c>
      <c r="F1243">
        <f>IMAGE("https://cf.shopee.tw/file/tw-11134207-7r98y-lo7z3ji78lz6c4_tn")</f>
        <v/>
      </c>
    </row>
    <row r="1244">
      <c r="A1244" t="inlineStr">
        <is>
          <t>22886626447</t>
        </is>
      </c>
      <c r="B1244" t="inlineStr">
        <is>
          <t>隔日到貨🔥 煤球 iPhone 手機殼 17 16 15 14 13 12 11 XS XR SE 保護殼 軟殼 黑色</t>
        </is>
      </c>
      <c r="C1244">
        <f>IMAGE("https://cf.shopee.tw/file/tw-11134207-7r98w-lo7z3jir6e6aec_tn")</f>
        <v/>
      </c>
      <c r="D1244" t="inlineStr">
        <is>
          <t>立體黑煤球,14</t>
        </is>
      </c>
      <c r="E1244" t="inlineStr">
        <is>
          <t>250033427498</t>
        </is>
      </c>
      <c r="F1244">
        <f>IMAGE("https://cf.shopee.tw/file/tw-11134207-7r98y-lo7z3ji78lz6c4_tn")</f>
        <v/>
      </c>
    </row>
    <row r="1245">
      <c r="A1245" t="inlineStr">
        <is>
          <t>22886626447</t>
        </is>
      </c>
      <c r="B1245" t="inlineStr">
        <is>
          <t>隔日到貨🔥 煤球 iPhone 手機殼 17 16 15 14 13 12 11 XS XR SE 保護殼 軟殼 黑色</t>
        </is>
      </c>
      <c r="C1245">
        <f>IMAGE("https://cf.shopee.tw/file/tw-11134207-7r98w-lo7z3jir6e6aec_tn")</f>
        <v/>
      </c>
      <c r="D1245" t="inlineStr">
        <is>
          <t>立體黑煤球,14 Pro</t>
        </is>
      </c>
      <c r="E1245" t="inlineStr">
        <is>
          <t>250033427500</t>
        </is>
      </c>
      <c r="F1245">
        <f>IMAGE("https://cf.shopee.tw/file/tw-11134207-7r98y-lo7z3ji78lz6c4_tn")</f>
        <v/>
      </c>
    </row>
    <row r="1246">
      <c r="A1246" t="inlineStr">
        <is>
          <t>22886626447</t>
        </is>
      </c>
      <c r="B1246" t="inlineStr">
        <is>
          <t>隔日到貨🔥 煤球 iPhone 手機殼 17 16 15 14 13 12 11 XS XR SE 保護殼 軟殼 黑色</t>
        </is>
      </c>
      <c r="C1246">
        <f>IMAGE("https://cf.shopee.tw/file/tw-11134207-7r98w-lo7z3jir6e6aec_tn")</f>
        <v/>
      </c>
      <c r="D1246" t="inlineStr">
        <is>
          <t>立體黑煤球,14 Pro Max</t>
        </is>
      </c>
      <c r="E1246" t="inlineStr">
        <is>
          <t>250033427501</t>
        </is>
      </c>
      <c r="F1246">
        <f>IMAGE("https://cf.shopee.tw/file/tw-11134207-7r98y-lo7z3ji78lz6c4_tn")</f>
        <v/>
      </c>
    </row>
    <row r="1247">
      <c r="A1247" t="inlineStr">
        <is>
          <t>22886626447</t>
        </is>
      </c>
      <c r="B1247" t="inlineStr">
        <is>
          <t>隔日到貨🔥 煤球 iPhone 手機殼 17 16 15 14 13 12 11 XS XR SE 保護殼 軟殼 黑色</t>
        </is>
      </c>
      <c r="C1247">
        <f>IMAGE("https://cf.shopee.tw/file/tw-11134207-7r98w-lo7z3jir6e6aec_tn")</f>
        <v/>
      </c>
      <c r="D1247" t="inlineStr">
        <is>
          <t>立體黑煤球,14 Plus</t>
        </is>
      </c>
      <c r="E1247" t="inlineStr">
        <is>
          <t>250033427499</t>
        </is>
      </c>
      <c r="F1247">
        <f>IMAGE("https://cf.shopee.tw/file/tw-11134207-7r98y-lo7z3ji78lz6c4_tn")</f>
        <v/>
      </c>
    </row>
    <row r="1248">
      <c r="A1248" t="inlineStr">
        <is>
          <t>22886626447</t>
        </is>
      </c>
      <c r="B1248" t="inlineStr">
        <is>
          <t>隔日到貨🔥 煤球 iPhone 手機殼 17 16 15 14 13 12 11 XS XR SE 保護殼 軟殼 黑色</t>
        </is>
      </c>
      <c r="C1248">
        <f>IMAGE("https://cf.shopee.tw/file/tw-11134207-7r98w-lo7z3jir6e6aec_tn")</f>
        <v/>
      </c>
      <c r="D1248" t="inlineStr">
        <is>
          <t>立體黑煤球,15</t>
        </is>
      </c>
      <c r="E1248" t="inlineStr">
        <is>
          <t>250033427502</t>
        </is>
      </c>
      <c r="F1248">
        <f>IMAGE("https://cf.shopee.tw/file/tw-11134207-7r98y-lo7z3ji78lz6c4_tn")</f>
        <v/>
      </c>
    </row>
    <row r="1249">
      <c r="A1249" t="inlineStr">
        <is>
          <t>22886626447</t>
        </is>
      </c>
      <c r="B1249" t="inlineStr">
        <is>
          <t>隔日到貨🔥 煤球 iPhone 手機殼 17 16 15 14 13 12 11 XS XR SE 保護殼 軟殼 黑色</t>
        </is>
      </c>
      <c r="C1249">
        <f>IMAGE("https://cf.shopee.tw/file/tw-11134207-7r98w-lo7z3jir6e6aec_tn")</f>
        <v/>
      </c>
      <c r="D1249" t="inlineStr">
        <is>
          <t>立體黑煤球,15 Pro</t>
        </is>
      </c>
      <c r="E1249" t="inlineStr"/>
      <c r="F1249">
        <f>IMAGE("https://cf.shopee.tw/file/tw-11134207-7r98y-lo7z3ji78lz6c4_tn")</f>
        <v/>
      </c>
    </row>
    <row r="1250">
      <c r="A1250" t="inlineStr">
        <is>
          <t>22886626447</t>
        </is>
      </c>
      <c r="B1250" t="inlineStr">
        <is>
          <t>隔日到貨🔥 煤球 iPhone 手機殼 17 16 15 14 13 12 11 XS XR SE 保護殼 軟殼 黑色</t>
        </is>
      </c>
      <c r="C1250">
        <f>IMAGE("https://cf.shopee.tw/file/tw-11134207-7r98w-lo7z3jir6e6aec_tn")</f>
        <v/>
      </c>
      <c r="D1250" t="inlineStr">
        <is>
          <t>立體黑煤球,15 Pro Max</t>
        </is>
      </c>
      <c r="E1250" t="inlineStr">
        <is>
          <t>250033427505</t>
        </is>
      </c>
      <c r="F1250">
        <f>IMAGE("https://cf.shopee.tw/file/tw-11134207-7r98y-lo7z3ji78lz6c4_tn")</f>
        <v/>
      </c>
    </row>
    <row r="1251">
      <c r="A1251" t="inlineStr">
        <is>
          <t>22886626447</t>
        </is>
      </c>
      <c r="B1251" t="inlineStr">
        <is>
          <t>隔日到貨🔥 煤球 iPhone 手機殼 17 16 15 14 13 12 11 XS XR SE 保護殼 軟殼 黑色</t>
        </is>
      </c>
      <c r="C1251">
        <f>IMAGE("https://cf.shopee.tw/file/tw-11134207-7r98w-lo7z3jir6e6aec_tn")</f>
        <v/>
      </c>
      <c r="D1251" t="inlineStr">
        <is>
          <t>立體黑煤球,15 Plus</t>
        </is>
      </c>
      <c r="E1251" t="inlineStr">
        <is>
          <t>250033427503</t>
        </is>
      </c>
      <c r="F1251">
        <f>IMAGE("https://cf.shopee.tw/file/tw-11134207-7r98y-lo7z3ji78lz6c4_tn")</f>
        <v/>
      </c>
    </row>
    <row r="1252">
      <c r="A1252" t="inlineStr">
        <is>
          <t>22886626447</t>
        </is>
      </c>
      <c r="B1252" t="inlineStr">
        <is>
          <t>隔日到貨🔥 煤球 iPhone 手機殼 17 16 15 14 13 12 11 XS XR SE 保護殼 軟殼 黑色</t>
        </is>
      </c>
      <c r="C1252">
        <f>IMAGE("https://cf.shopee.tw/file/tw-11134207-7r98w-lo7z3jir6e6aec_tn")</f>
        <v/>
      </c>
      <c r="D1252" t="inlineStr">
        <is>
          <t>立體黑煤球,16</t>
        </is>
      </c>
      <c r="E1252" t="inlineStr">
        <is>
          <t>89009707002</t>
        </is>
      </c>
      <c r="F1252">
        <f>IMAGE("https://cf.shopee.tw/file/tw-11134207-7r98y-lo7z3ji78lz6c4_tn")</f>
        <v/>
      </c>
    </row>
    <row r="1253">
      <c r="A1253" t="inlineStr">
        <is>
          <t>22886626447</t>
        </is>
      </c>
      <c r="B1253" t="inlineStr">
        <is>
          <t>隔日到貨🔥 煤球 iPhone 手機殼 17 16 15 14 13 12 11 XS XR SE 保護殼 軟殼 黑色</t>
        </is>
      </c>
      <c r="C1253">
        <f>IMAGE("https://cf.shopee.tw/file/tw-11134207-7r98w-lo7z3jir6e6aec_tn")</f>
        <v/>
      </c>
      <c r="D1253" t="inlineStr">
        <is>
          <t>立體黑煤球,16 pro</t>
        </is>
      </c>
      <c r="E1253" t="inlineStr">
        <is>
          <t>89009707003</t>
        </is>
      </c>
      <c r="F1253">
        <f>IMAGE("https://cf.shopee.tw/file/tw-11134207-7r98y-lo7z3ji78lz6c4_tn")</f>
        <v/>
      </c>
    </row>
    <row r="1254">
      <c r="A1254" t="inlineStr">
        <is>
          <t>22886626447</t>
        </is>
      </c>
      <c r="B1254" t="inlineStr">
        <is>
          <t>隔日到貨🔥 煤球 iPhone 手機殼 17 16 15 14 13 12 11 XS XR SE 保護殼 軟殼 黑色</t>
        </is>
      </c>
      <c r="C1254">
        <f>IMAGE("https://cf.shopee.tw/file/tw-11134207-7r98w-lo7z3jir6e6aec_tn")</f>
        <v/>
      </c>
      <c r="D1254" t="inlineStr">
        <is>
          <t>立體黑煤球,16 pro Max</t>
        </is>
      </c>
      <c r="E1254" t="inlineStr">
        <is>
          <t>89009707004</t>
        </is>
      </c>
      <c r="F1254">
        <f>IMAGE("https://cf.shopee.tw/file/tw-11134207-7r98y-lo7z3ji78lz6c4_tn")</f>
        <v/>
      </c>
    </row>
    <row r="1255">
      <c r="A1255" t="inlineStr">
        <is>
          <t>22886626447</t>
        </is>
      </c>
      <c r="B1255" t="inlineStr">
        <is>
          <t>隔日到貨🔥 煤球 iPhone 手機殼 17 16 15 14 13 12 11 XS XR SE 保護殼 軟殼 黑色</t>
        </is>
      </c>
      <c r="C1255">
        <f>IMAGE("https://cf.shopee.tw/file/tw-11134207-7r98w-lo7z3jir6e6aec_tn")</f>
        <v/>
      </c>
      <c r="D1255" t="inlineStr">
        <is>
          <t>立體黑煤球,16 Plus</t>
        </is>
      </c>
      <c r="E1255" t="inlineStr">
        <is>
          <t>89009707005</t>
        </is>
      </c>
      <c r="F1255">
        <f>IMAGE("https://cf.shopee.tw/file/tw-11134207-7r98y-lo7z3ji78lz6c4_tn")</f>
        <v/>
      </c>
    </row>
    <row r="1256">
      <c r="A1256" t="inlineStr">
        <is>
          <t>22886626447</t>
        </is>
      </c>
      <c r="B1256" t="inlineStr">
        <is>
          <t>隔日到貨🔥 煤球 iPhone 手機殼 17 16 15 14 13 12 11 XS XR SE 保護殼 軟殼 黑色</t>
        </is>
      </c>
      <c r="C1256">
        <f>IMAGE("https://cf.shopee.tw/file/tw-11134207-7r98w-lo7z3jir6e6aec_tn")</f>
        <v/>
      </c>
      <c r="D1256" t="inlineStr">
        <is>
          <t>立體黑煤球,17</t>
        </is>
      </c>
      <c r="E1256" t="inlineStr">
        <is>
          <t>49939613933</t>
        </is>
      </c>
      <c r="F1256">
        <f>IMAGE("https://cf.shopee.tw/file/tw-11134207-7r98y-lo7z3ji78lz6c4_tn")</f>
        <v/>
      </c>
    </row>
    <row r="1257">
      <c r="A1257" t="inlineStr">
        <is>
          <t>22886626447</t>
        </is>
      </c>
      <c r="B1257" t="inlineStr">
        <is>
          <t>隔日到貨🔥 煤球 iPhone 手機殼 17 16 15 14 13 12 11 XS XR SE 保護殼 軟殼 黑色</t>
        </is>
      </c>
      <c r="C1257">
        <f>IMAGE("https://cf.shopee.tw/file/tw-11134207-7r98w-lo7z3jir6e6aec_tn")</f>
        <v/>
      </c>
      <c r="D1257" t="inlineStr">
        <is>
          <t>立體黑煤球,17 Air</t>
        </is>
      </c>
      <c r="E1257" t="inlineStr">
        <is>
          <t>49939613934</t>
        </is>
      </c>
      <c r="F1257">
        <f>IMAGE("https://cf.shopee.tw/file/tw-11134207-7r98y-lo7z3ji78lz6c4_tn")</f>
        <v/>
      </c>
    </row>
    <row r="1258">
      <c r="A1258" t="inlineStr">
        <is>
          <t>22886626447</t>
        </is>
      </c>
      <c r="B1258" t="inlineStr">
        <is>
          <t>隔日到貨🔥 煤球 iPhone 手機殼 17 16 15 14 13 12 11 XS XR SE 保護殼 軟殼 黑色</t>
        </is>
      </c>
      <c r="C1258">
        <f>IMAGE("https://cf.shopee.tw/file/tw-11134207-7r98w-lo7z3jir6e6aec_tn")</f>
        <v/>
      </c>
      <c r="D1258" t="inlineStr">
        <is>
          <t>立體黑煤球,17 Pro</t>
        </is>
      </c>
      <c r="E1258" t="inlineStr">
        <is>
          <t>49939613935</t>
        </is>
      </c>
      <c r="F1258">
        <f>IMAGE("https://cf.shopee.tw/file/tw-11134207-7r98y-lo7z3ji78lz6c4_tn")</f>
        <v/>
      </c>
    </row>
    <row r="1259">
      <c r="A1259" t="inlineStr">
        <is>
          <t>22886626447</t>
        </is>
      </c>
      <c r="B1259" t="inlineStr">
        <is>
          <t>隔日到貨🔥 煤球 iPhone 手機殼 17 16 15 14 13 12 11 XS XR SE 保護殼 軟殼 黑色</t>
        </is>
      </c>
      <c r="C1259">
        <f>IMAGE("https://cf.shopee.tw/file/tw-11134207-7r98w-lo7z3jir6e6aec_tn")</f>
        <v/>
      </c>
      <c r="D1259" t="inlineStr">
        <is>
          <t>立體黑煤球,17 pro Max</t>
        </is>
      </c>
      <c r="E1259" t="inlineStr">
        <is>
          <t>49939613936</t>
        </is>
      </c>
      <c r="F1259">
        <f>IMAGE("https://cf.shopee.tw/file/tw-11134207-7r98y-lo7z3ji78lz6c4_tn")</f>
        <v/>
      </c>
    </row>
    <row r="1260">
      <c r="A1260" t="inlineStr">
        <is>
          <t>22886626447</t>
        </is>
      </c>
      <c r="B1260" t="inlineStr">
        <is>
          <t>隔日到貨🔥 煤球 iPhone 手機殼 17 16 15 14 13 12 11 XS XR SE 保護殼 軟殼 黑色</t>
        </is>
      </c>
      <c r="C1260">
        <f>IMAGE("https://cf.shopee.tw/file/tw-11134207-7r98w-lo7z3jir6e6aec_tn")</f>
        <v/>
      </c>
      <c r="D1260" t="inlineStr">
        <is>
          <t>立體大眼睛,7 / 8 / SE2 / SE3</t>
        </is>
      </c>
      <c r="E1260" t="inlineStr">
        <is>
          <t>147112911857</t>
        </is>
      </c>
      <c r="F1260">
        <f>IMAGE("https://cf.shopee.tw/file/tw-11134207-7r98s-lo7z3ji7a0zxab_tn")</f>
        <v/>
      </c>
    </row>
    <row r="1261">
      <c r="A1261" t="inlineStr">
        <is>
          <t>22886626447</t>
        </is>
      </c>
      <c r="B1261" t="inlineStr">
        <is>
          <t>隔日到貨🔥 煤球 iPhone 手機殼 17 16 15 14 13 12 11 XS XR SE 保護殼 軟殼 黑色</t>
        </is>
      </c>
      <c r="C1261">
        <f>IMAGE("https://cf.shopee.tw/file/tw-11134207-7r98w-lo7z3jir6e6aec_tn")</f>
        <v/>
      </c>
      <c r="D1261" t="inlineStr">
        <is>
          <t>立體大眼睛,7 Plus / 8 Plus</t>
        </is>
      </c>
      <c r="E1261" t="inlineStr">
        <is>
          <t>250033427506</t>
        </is>
      </c>
      <c r="F1261">
        <f>IMAGE("https://cf.shopee.tw/file/tw-11134207-7r98s-lo7z3ji7a0zxab_tn")</f>
        <v/>
      </c>
    </row>
    <row r="1262">
      <c r="A1262" t="inlineStr">
        <is>
          <t>22886626447</t>
        </is>
      </c>
      <c r="B1262" t="inlineStr">
        <is>
          <t>隔日到貨🔥 煤球 iPhone 手機殼 17 16 15 14 13 12 11 XS XR SE 保護殼 軟殼 黑色</t>
        </is>
      </c>
      <c r="C1262">
        <f>IMAGE("https://cf.shopee.tw/file/tw-11134207-7r98w-lo7z3jir6e6aec_tn")</f>
        <v/>
      </c>
      <c r="D1262" t="inlineStr">
        <is>
          <t>立體大眼睛,X / XS</t>
        </is>
      </c>
      <c r="E1262" t="inlineStr">
        <is>
          <t>250033427508</t>
        </is>
      </c>
      <c r="F1262">
        <f>IMAGE("https://cf.shopee.tw/file/tw-11134207-7r98s-lo7z3ji7a0zxab_tn")</f>
        <v/>
      </c>
    </row>
    <row r="1263">
      <c r="A1263" t="inlineStr">
        <is>
          <t>22886626447</t>
        </is>
      </c>
      <c r="B1263" t="inlineStr">
        <is>
          <t>隔日到貨🔥 煤球 iPhone 手機殼 17 16 15 14 13 12 11 XS XR SE 保護殼 軟殼 黑色</t>
        </is>
      </c>
      <c r="C1263">
        <f>IMAGE("https://cf.shopee.tw/file/tw-11134207-7r98w-lo7z3jir6e6aec_tn")</f>
        <v/>
      </c>
      <c r="D1263" t="inlineStr">
        <is>
          <t>立體大眼睛,XR</t>
        </is>
      </c>
      <c r="E1263" t="inlineStr">
        <is>
          <t>250033427509</t>
        </is>
      </c>
      <c r="F1263">
        <f>IMAGE("https://cf.shopee.tw/file/tw-11134207-7r98s-lo7z3ji7a0zxab_tn")</f>
        <v/>
      </c>
    </row>
    <row r="1264">
      <c r="A1264" t="inlineStr">
        <is>
          <t>22886626447</t>
        </is>
      </c>
      <c r="B1264" t="inlineStr">
        <is>
          <t>隔日到貨🔥 煤球 iPhone 手機殼 17 16 15 14 13 12 11 XS XR SE 保護殼 軟殼 黑色</t>
        </is>
      </c>
      <c r="C1264">
        <f>IMAGE("https://cf.shopee.tw/file/tw-11134207-7r98w-lo7z3jir6e6aec_tn")</f>
        <v/>
      </c>
      <c r="D1264" t="inlineStr">
        <is>
          <t>立體大眼睛,XS Max</t>
        </is>
      </c>
      <c r="E1264" t="inlineStr">
        <is>
          <t>250033427510</t>
        </is>
      </c>
      <c r="F1264">
        <f>IMAGE("https://cf.shopee.tw/file/tw-11134207-7r98s-lo7z3ji7a0zxab_tn")</f>
        <v/>
      </c>
    </row>
    <row r="1265">
      <c r="A1265" t="inlineStr">
        <is>
          <t>22886626447</t>
        </is>
      </c>
      <c r="B1265" t="inlineStr">
        <is>
          <t>隔日到貨🔥 煤球 iPhone 手機殼 17 16 15 14 13 12 11 XS XR SE 保護殼 軟殼 黑色</t>
        </is>
      </c>
      <c r="C1265">
        <f>IMAGE("https://cf.shopee.tw/file/tw-11134207-7r98w-lo7z3jir6e6aec_tn")</f>
        <v/>
      </c>
      <c r="D1265" t="inlineStr">
        <is>
          <t>立體大眼睛,11</t>
        </is>
      </c>
      <c r="E1265" t="inlineStr">
        <is>
          <t>250033427511</t>
        </is>
      </c>
      <c r="F1265">
        <f>IMAGE("https://cf.shopee.tw/file/tw-11134207-7r98s-lo7z3ji7a0zxab_tn")</f>
        <v/>
      </c>
    </row>
    <row r="1266">
      <c r="A1266" t="inlineStr">
        <is>
          <t>22886626447</t>
        </is>
      </c>
      <c r="B1266" t="inlineStr">
        <is>
          <t>隔日到貨🔥 煤球 iPhone 手機殼 17 16 15 14 13 12 11 XS XR SE 保護殼 軟殼 黑色</t>
        </is>
      </c>
      <c r="C1266">
        <f>IMAGE("https://cf.shopee.tw/file/tw-11134207-7r98w-lo7z3jir6e6aec_tn")</f>
        <v/>
      </c>
      <c r="D1266" t="inlineStr">
        <is>
          <t>立體大眼睛,11 Pro</t>
        </is>
      </c>
      <c r="E1266" t="inlineStr">
        <is>
          <t>255033427168</t>
        </is>
      </c>
      <c r="F1266">
        <f>IMAGE("https://cf.shopee.tw/file/tw-11134207-7r98s-lo7z3ji7a0zxab_tn")</f>
        <v/>
      </c>
    </row>
    <row r="1267">
      <c r="A1267" t="inlineStr">
        <is>
          <t>22886626447</t>
        </is>
      </c>
      <c r="B1267" t="inlineStr">
        <is>
          <t>隔日到貨🔥 煤球 iPhone 手機殼 17 16 15 14 13 12 11 XS XR SE 保護殼 軟殼 黑色</t>
        </is>
      </c>
      <c r="C1267">
        <f>IMAGE("https://cf.shopee.tw/file/tw-11134207-7r98w-lo7z3jir6e6aec_tn")</f>
        <v/>
      </c>
      <c r="D1267" t="inlineStr">
        <is>
          <t>立體大眼睛,11 Pro Max</t>
        </is>
      </c>
      <c r="E1267" t="inlineStr">
        <is>
          <t>255033427169</t>
        </is>
      </c>
      <c r="F1267">
        <f>IMAGE("https://cf.shopee.tw/file/tw-11134207-7r98s-lo7z3ji7a0zxab_tn")</f>
        <v/>
      </c>
    </row>
    <row r="1268">
      <c r="A1268" t="inlineStr">
        <is>
          <t>22886626447</t>
        </is>
      </c>
      <c r="B1268" t="inlineStr">
        <is>
          <t>隔日到貨🔥 煤球 iPhone 手機殼 17 16 15 14 13 12 11 XS XR SE 保護殼 軟殼 黑色</t>
        </is>
      </c>
      <c r="C1268">
        <f>IMAGE("https://cf.shopee.tw/file/tw-11134207-7r98w-lo7z3jir6e6aec_tn")</f>
        <v/>
      </c>
      <c r="D1268" t="inlineStr">
        <is>
          <t>立體大眼睛,12</t>
        </is>
      </c>
      <c r="E1268" t="inlineStr"/>
      <c r="F1268">
        <f>IMAGE("https://cf.shopee.tw/file/tw-11134207-7r98s-lo7z3ji7a0zxab_tn")</f>
        <v/>
      </c>
    </row>
    <row r="1269">
      <c r="A1269" t="inlineStr">
        <is>
          <t>22886626447</t>
        </is>
      </c>
      <c r="B1269" t="inlineStr">
        <is>
          <t>隔日到貨🔥 煤球 iPhone 手機殼 17 16 15 14 13 12 11 XS XR SE 保護殼 軟殼 黑色</t>
        </is>
      </c>
      <c r="C1269">
        <f>IMAGE("https://cf.shopee.tw/file/tw-11134207-7r98w-lo7z3jir6e6aec_tn")</f>
        <v/>
      </c>
      <c r="D1269" t="inlineStr">
        <is>
          <t>立體大眼睛,12 Pro</t>
        </is>
      </c>
      <c r="E1269" t="inlineStr">
        <is>
          <t>255033427171</t>
        </is>
      </c>
      <c r="F1269">
        <f>IMAGE("https://cf.shopee.tw/file/tw-11134207-7r98s-lo7z3ji7a0zxab_tn")</f>
        <v/>
      </c>
    </row>
    <row r="1270">
      <c r="A1270" t="inlineStr">
        <is>
          <t>22886626447</t>
        </is>
      </c>
      <c r="B1270" t="inlineStr">
        <is>
          <t>隔日到貨🔥 煤球 iPhone 手機殼 17 16 15 14 13 12 11 XS XR SE 保護殼 軟殼 黑色</t>
        </is>
      </c>
      <c r="C1270">
        <f>IMAGE("https://cf.shopee.tw/file/tw-11134207-7r98w-lo7z3jir6e6aec_tn")</f>
        <v/>
      </c>
      <c r="D1270" t="inlineStr">
        <is>
          <t>立體大眼睛,12 Pro Max</t>
        </is>
      </c>
      <c r="E1270" t="inlineStr">
        <is>
          <t>255033427172</t>
        </is>
      </c>
      <c r="F1270">
        <f>IMAGE("https://cf.shopee.tw/file/tw-11134207-7r98s-lo7z3ji7a0zxab_tn")</f>
        <v/>
      </c>
    </row>
    <row r="1271">
      <c r="A1271" t="inlineStr">
        <is>
          <t>22886626447</t>
        </is>
      </c>
      <c r="B1271" t="inlineStr">
        <is>
          <t>隔日到貨🔥 煤球 iPhone 手機殼 17 16 15 14 13 12 11 XS XR SE 保護殼 軟殼 黑色</t>
        </is>
      </c>
      <c r="C1271">
        <f>IMAGE("https://cf.shopee.tw/file/tw-11134207-7r98w-lo7z3jir6e6aec_tn")</f>
        <v/>
      </c>
      <c r="D1271" t="inlineStr">
        <is>
          <t>立體大眼睛,13</t>
        </is>
      </c>
      <c r="E1271" t="inlineStr">
        <is>
          <t>255033427173</t>
        </is>
      </c>
      <c r="F1271">
        <f>IMAGE("https://cf.shopee.tw/file/tw-11134207-7r98s-lo7z3ji7a0zxab_tn")</f>
        <v/>
      </c>
    </row>
    <row r="1272">
      <c r="A1272" t="inlineStr">
        <is>
          <t>22886626447</t>
        </is>
      </c>
      <c r="B1272" t="inlineStr">
        <is>
          <t>隔日到貨🔥 煤球 iPhone 手機殼 17 16 15 14 13 12 11 XS XR SE 保護殼 軟殼 黑色</t>
        </is>
      </c>
      <c r="C1272">
        <f>IMAGE("https://cf.shopee.tw/file/tw-11134207-7r98w-lo7z3jir6e6aec_tn")</f>
        <v/>
      </c>
      <c r="D1272" t="inlineStr">
        <is>
          <t>立體大眼睛,13 Pro</t>
        </is>
      </c>
      <c r="E1272" t="inlineStr">
        <is>
          <t>255033427174</t>
        </is>
      </c>
      <c r="F1272">
        <f>IMAGE("https://cf.shopee.tw/file/tw-11134207-7r98s-lo7z3ji7a0zxab_tn")</f>
        <v/>
      </c>
    </row>
    <row r="1273">
      <c r="A1273" t="inlineStr">
        <is>
          <t>22886626447</t>
        </is>
      </c>
      <c r="B1273" t="inlineStr">
        <is>
          <t>隔日到貨🔥 煤球 iPhone 手機殼 17 16 15 14 13 12 11 XS XR SE 保護殼 軟殼 黑色</t>
        </is>
      </c>
      <c r="C1273">
        <f>IMAGE("https://cf.shopee.tw/file/tw-11134207-7r98w-lo7z3jir6e6aec_tn")</f>
        <v/>
      </c>
      <c r="D1273" t="inlineStr">
        <is>
          <t>立體大眼睛,13 Pro Max</t>
        </is>
      </c>
      <c r="E1273" t="inlineStr">
        <is>
          <t>255033427175</t>
        </is>
      </c>
      <c r="F1273">
        <f>IMAGE("https://cf.shopee.tw/file/tw-11134207-7r98s-lo7z3ji7a0zxab_tn")</f>
        <v/>
      </c>
    </row>
    <row r="1274">
      <c r="A1274" t="inlineStr">
        <is>
          <t>22886626447</t>
        </is>
      </c>
      <c r="B1274" t="inlineStr">
        <is>
          <t>隔日到貨🔥 煤球 iPhone 手機殼 17 16 15 14 13 12 11 XS XR SE 保護殼 軟殼 黑色</t>
        </is>
      </c>
      <c r="C1274">
        <f>IMAGE("https://cf.shopee.tw/file/tw-11134207-7r98w-lo7z3jir6e6aec_tn")</f>
        <v/>
      </c>
      <c r="D1274" t="inlineStr">
        <is>
          <t>立體大眼睛,14</t>
        </is>
      </c>
      <c r="E1274" t="inlineStr">
        <is>
          <t>255033427176</t>
        </is>
      </c>
      <c r="F1274">
        <f>IMAGE("https://cf.shopee.tw/file/tw-11134207-7r98s-lo7z3ji7a0zxab_tn")</f>
        <v/>
      </c>
    </row>
    <row r="1275">
      <c r="A1275" t="inlineStr">
        <is>
          <t>22886626447</t>
        </is>
      </c>
      <c r="B1275" t="inlineStr">
        <is>
          <t>隔日到貨🔥 煤球 iPhone 手機殼 17 16 15 14 13 12 11 XS XR SE 保護殼 軟殼 黑色</t>
        </is>
      </c>
      <c r="C1275">
        <f>IMAGE("https://cf.shopee.tw/file/tw-11134207-7r98w-lo7z3jir6e6aec_tn")</f>
        <v/>
      </c>
      <c r="D1275" t="inlineStr">
        <is>
          <t>立體大眼睛,14 Pro</t>
        </is>
      </c>
      <c r="E1275" t="inlineStr">
        <is>
          <t>255033427178</t>
        </is>
      </c>
      <c r="F1275">
        <f>IMAGE("https://cf.shopee.tw/file/tw-11134207-7r98s-lo7z3ji7a0zxab_tn")</f>
        <v/>
      </c>
    </row>
    <row r="1276">
      <c r="A1276" t="inlineStr">
        <is>
          <t>22886626447</t>
        </is>
      </c>
      <c r="B1276" t="inlineStr">
        <is>
          <t>隔日到貨🔥 煤球 iPhone 手機殼 17 16 15 14 13 12 11 XS XR SE 保護殼 軟殼 黑色</t>
        </is>
      </c>
      <c r="C1276">
        <f>IMAGE("https://cf.shopee.tw/file/tw-11134207-7r98w-lo7z3jir6e6aec_tn")</f>
        <v/>
      </c>
      <c r="D1276" t="inlineStr">
        <is>
          <t>立體大眼睛,14 Pro Max</t>
        </is>
      </c>
      <c r="E1276" t="inlineStr">
        <is>
          <t>255033427179</t>
        </is>
      </c>
      <c r="F1276">
        <f>IMAGE("https://cf.shopee.tw/file/tw-11134207-7r98s-lo7z3ji7a0zxab_tn")</f>
        <v/>
      </c>
    </row>
    <row r="1277">
      <c r="A1277" t="inlineStr">
        <is>
          <t>22886626447</t>
        </is>
      </c>
      <c r="B1277" t="inlineStr">
        <is>
          <t>隔日到貨🔥 煤球 iPhone 手機殼 17 16 15 14 13 12 11 XS XR SE 保護殼 軟殼 黑色</t>
        </is>
      </c>
      <c r="C1277">
        <f>IMAGE("https://cf.shopee.tw/file/tw-11134207-7r98w-lo7z3jir6e6aec_tn")</f>
        <v/>
      </c>
      <c r="D1277" t="inlineStr">
        <is>
          <t>立體大眼睛,14 Plus</t>
        </is>
      </c>
      <c r="E1277" t="inlineStr"/>
      <c r="F1277">
        <f>IMAGE("https://cf.shopee.tw/file/tw-11134207-7r98s-lo7z3ji7a0zxab_tn")</f>
        <v/>
      </c>
    </row>
    <row r="1278">
      <c r="A1278" t="inlineStr">
        <is>
          <t>22886626447</t>
        </is>
      </c>
      <c r="B1278" t="inlineStr">
        <is>
          <t>隔日到貨🔥 煤球 iPhone 手機殼 17 16 15 14 13 12 11 XS XR SE 保護殼 軟殼 黑色</t>
        </is>
      </c>
      <c r="C1278">
        <f>IMAGE("https://cf.shopee.tw/file/tw-11134207-7r98w-lo7z3jir6e6aec_tn")</f>
        <v/>
      </c>
      <c r="D1278" t="inlineStr">
        <is>
          <t>立體大眼睛,15</t>
        </is>
      </c>
      <c r="E1278" t="inlineStr">
        <is>
          <t>255033427180</t>
        </is>
      </c>
      <c r="F1278">
        <f>IMAGE("https://cf.shopee.tw/file/tw-11134207-7r98s-lo7z3ji7a0zxab_tn")</f>
        <v/>
      </c>
    </row>
    <row r="1279">
      <c r="A1279" t="inlineStr">
        <is>
          <t>22886626447</t>
        </is>
      </c>
      <c r="B1279" t="inlineStr">
        <is>
          <t>隔日到貨🔥 煤球 iPhone 手機殼 17 16 15 14 13 12 11 XS XR SE 保護殼 軟殼 黑色</t>
        </is>
      </c>
      <c r="C1279">
        <f>IMAGE("https://cf.shopee.tw/file/tw-11134207-7r98w-lo7z3jir6e6aec_tn")</f>
        <v/>
      </c>
      <c r="D1279" t="inlineStr">
        <is>
          <t>立體大眼睛,15 Pro</t>
        </is>
      </c>
      <c r="E1279" t="inlineStr">
        <is>
          <t>255033427182</t>
        </is>
      </c>
      <c r="F1279">
        <f>IMAGE("https://cf.shopee.tw/file/tw-11134207-7r98s-lo7z3ji7a0zxab_tn")</f>
        <v/>
      </c>
    </row>
    <row r="1280">
      <c r="A1280" t="inlineStr">
        <is>
          <t>22886626447</t>
        </is>
      </c>
      <c r="B1280" t="inlineStr">
        <is>
          <t>隔日到貨🔥 煤球 iPhone 手機殼 17 16 15 14 13 12 11 XS XR SE 保護殼 軟殼 黑色</t>
        </is>
      </c>
      <c r="C1280">
        <f>IMAGE("https://cf.shopee.tw/file/tw-11134207-7r98w-lo7z3jir6e6aec_tn")</f>
        <v/>
      </c>
      <c r="D1280" t="inlineStr">
        <is>
          <t>立體大眼睛,15 Pro Max</t>
        </is>
      </c>
      <c r="E1280" t="inlineStr">
        <is>
          <t>255033427183</t>
        </is>
      </c>
      <c r="F1280">
        <f>IMAGE("https://cf.shopee.tw/file/tw-11134207-7r98s-lo7z3ji7a0zxab_tn")</f>
        <v/>
      </c>
    </row>
    <row r="1281">
      <c r="A1281" t="inlineStr">
        <is>
          <t>22886626447</t>
        </is>
      </c>
      <c r="B1281" t="inlineStr">
        <is>
          <t>隔日到貨🔥 煤球 iPhone 手機殼 17 16 15 14 13 12 11 XS XR SE 保護殼 軟殼 黑色</t>
        </is>
      </c>
      <c r="C1281">
        <f>IMAGE("https://cf.shopee.tw/file/tw-11134207-7r98w-lo7z3jir6e6aec_tn")</f>
        <v/>
      </c>
      <c r="D1281" t="inlineStr">
        <is>
          <t>立體大眼睛,15 Plus</t>
        </is>
      </c>
      <c r="E1281" t="inlineStr">
        <is>
          <t>255033427181</t>
        </is>
      </c>
      <c r="F1281">
        <f>IMAGE("https://cf.shopee.tw/file/tw-11134207-7r98s-lo7z3ji7a0zxab_tn")</f>
        <v/>
      </c>
    </row>
    <row r="1282">
      <c r="A1282" t="inlineStr">
        <is>
          <t>22886626447</t>
        </is>
      </c>
      <c r="B1282" t="inlineStr">
        <is>
          <t>隔日到貨🔥 煤球 iPhone 手機殼 17 16 15 14 13 12 11 XS XR SE 保護殼 軟殼 黑色</t>
        </is>
      </c>
      <c r="C1282">
        <f>IMAGE("https://cf.shopee.tw/file/tw-11134207-7r98w-lo7z3jir6e6aec_tn")</f>
        <v/>
      </c>
      <c r="D1282" t="inlineStr">
        <is>
          <t>立體大眼睛,16</t>
        </is>
      </c>
      <c r="E1282" t="inlineStr">
        <is>
          <t>89009707006</t>
        </is>
      </c>
      <c r="F1282">
        <f>IMAGE("https://cf.shopee.tw/file/tw-11134207-7r98s-lo7z3ji7a0zxab_tn")</f>
        <v/>
      </c>
    </row>
    <row r="1283">
      <c r="A1283" t="inlineStr">
        <is>
          <t>22886626447</t>
        </is>
      </c>
      <c r="B1283" t="inlineStr">
        <is>
          <t>隔日到貨🔥 煤球 iPhone 手機殼 17 16 15 14 13 12 11 XS XR SE 保護殼 軟殼 黑色</t>
        </is>
      </c>
      <c r="C1283">
        <f>IMAGE("https://cf.shopee.tw/file/tw-11134207-7r98w-lo7z3jir6e6aec_tn")</f>
        <v/>
      </c>
      <c r="D1283" t="inlineStr">
        <is>
          <t>立體大眼睛,16 pro</t>
        </is>
      </c>
      <c r="E1283" t="inlineStr">
        <is>
          <t>89009707007</t>
        </is>
      </c>
      <c r="F1283">
        <f>IMAGE("https://cf.shopee.tw/file/tw-11134207-7r98s-lo7z3ji7a0zxab_tn")</f>
        <v/>
      </c>
    </row>
    <row r="1284">
      <c r="A1284" t="inlineStr">
        <is>
          <t>22886626447</t>
        </is>
      </c>
      <c r="B1284" t="inlineStr">
        <is>
          <t>隔日到貨🔥 煤球 iPhone 手機殼 17 16 15 14 13 12 11 XS XR SE 保護殼 軟殼 黑色</t>
        </is>
      </c>
      <c r="C1284">
        <f>IMAGE("https://cf.shopee.tw/file/tw-11134207-7r98w-lo7z3jir6e6aec_tn")</f>
        <v/>
      </c>
      <c r="D1284" t="inlineStr">
        <is>
          <t>立體大眼睛,16 pro Max</t>
        </is>
      </c>
      <c r="E1284" t="inlineStr">
        <is>
          <t>89009707008</t>
        </is>
      </c>
      <c r="F1284">
        <f>IMAGE("https://cf.shopee.tw/file/tw-11134207-7r98s-lo7z3ji7a0zxab_tn")</f>
        <v/>
      </c>
    </row>
    <row r="1285">
      <c r="A1285" t="inlineStr">
        <is>
          <t>22886626447</t>
        </is>
      </c>
      <c r="B1285" t="inlineStr">
        <is>
          <t>隔日到貨🔥 煤球 iPhone 手機殼 17 16 15 14 13 12 11 XS XR SE 保護殼 軟殼 黑色</t>
        </is>
      </c>
      <c r="C1285">
        <f>IMAGE("https://cf.shopee.tw/file/tw-11134207-7r98w-lo7z3jir6e6aec_tn")</f>
        <v/>
      </c>
      <c r="D1285" t="inlineStr">
        <is>
          <t>立體大眼睛,16 Plus</t>
        </is>
      </c>
      <c r="E1285" t="inlineStr">
        <is>
          <t>89009707009</t>
        </is>
      </c>
      <c r="F1285">
        <f>IMAGE("https://cf.shopee.tw/file/tw-11134207-7r98s-lo7z3ji7a0zxab_tn")</f>
        <v/>
      </c>
    </row>
    <row r="1286">
      <c r="A1286" t="inlineStr">
        <is>
          <t>22886626447</t>
        </is>
      </c>
      <c r="B1286" t="inlineStr">
        <is>
          <t>隔日到貨🔥 煤球 iPhone 手機殼 17 16 15 14 13 12 11 XS XR SE 保護殼 軟殼 黑色</t>
        </is>
      </c>
      <c r="C1286">
        <f>IMAGE("https://cf.shopee.tw/file/tw-11134207-7r98w-lo7z3jir6e6aec_tn")</f>
        <v/>
      </c>
      <c r="D1286" t="inlineStr">
        <is>
          <t>立體大眼睛,17</t>
        </is>
      </c>
      <c r="E1286" t="inlineStr">
        <is>
          <t>49939613937</t>
        </is>
      </c>
      <c r="F1286">
        <f>IMAGE("https://cf.shopee.tw/file/tw-11134207-7r98s-lo7z3ji7a0zxab_tn")</f>
        <v/>
      </c>
    </row>
    <row r="1287">
      <c r="A1287" t="inlineStr">
        <is>
          <t>22886626447</t>
        </is>
      </c>
      <c r="B1287" t="inlineStr">
        <is>
          <t>隔日到貨🔥 煤球 iPhone 手機殼 17 16 15 14 13 12 11 XS XR SE 保護殼 軟殼 黑色</t>
        </is>
      </c>
      <c r="C1287">
        <f>IMAGE("https://cf.shopee.tw/file/tw-11134207-7r98w-lo7z3jir6e6aec_tn")</f>
        <v/>
      </c>
      <c r="D1287" t="inlineStr">
        <is>
          <t>立體大眼睛,17 Air</t>
        </is>
      </c>
      <c r="E1287" t="inlineStr">
        <is>
          <t>49589783430</t>
        </is>
      </c>
      <c r="F1287">
        <f>IMAGE("https://cf.shopee.tw/file/tw-11134207-7r98s-lo7z3ji7a0zxab_tn")</f>
        <v/>
      </c>
    </row>
    <row r="1288">
      <c r="A1288" t="inlineStr">
        <is>
          <t>22886626447</t>
        </is>
      </c>
      <c r="B1288" t="inlineStr">
        <is>
          <t>隔日到貨🔥 煤球 iPhone 手機殼 17 16 15 14 13 12 11 XS XR SE 保護殼 軟殼 黑色</t>
        </is>
      </c>
      <c r="C1288">
        <f>IMAGE("https://cf.shopee.tw/file/tw-11134207-7r98w-lo7z3jir6e6aec_tn")</f>
        <v/>
      </c>
      <c r="D1288" t="inlineStr">
        <is>
          <t>立體大眼睛,17 Pro</t>
        </is>
      </c>
      <c r="E1288" t="inlineStr">
        <is>
          <t>49589783431</t>
        </is>
      </c>
      <c r="F1288">
        <f>IMAGE("https://cf.shopee.tw/file/tw-11134207-7r98s-lo7z3ji7a0zxab_tn")</f>
        <v/>
      </c>
    </row>
    <row r="1289">
      <c r="A1289" t="inlineStr">
        <is>
          <t>22886626447</t>
        </is>
      </c>
      <c r="B1289" t="inlineStr">
        <is>
          <t>隔日到貨🔥 煤球 iPhone 手機殼 17 16 15 14 13 12 11 XS XR SE 保護殼 軟殼 黑色</t>
        </is>
      </c>
      <c r="C1289">
        <f>IMAGE("https://cf.shopee.tw/file/tw-11134207-7r98w-lo7z3jir6e6aec_tn")</f>
        <v/>
      </c>
      <c r="D1289" t="inlineStr">
        <is>
          <t>立體大眼睛,17 pro Max</t>
        </is>
      </c>
      <c r="E1289" t="inlineStr">
        <is>
          <t>49589783432</t>
        </is>
      </c>
      <c r="F1289">
        <f>IMAGE("https://cf.shopee.tw/file/tw-11134207-7r98s-lo7z3ji7a0zxab_tn")</f>
        <v/>
      </c>
    </row>
    <row r="1290">
      <c r="A1290" t="inlineStr">
        <is>
          <t>25075729941</t>
        </is>
      </c>
      <c r="B1290" t="inlineStr">
        <is>
          <t>隔日到貨🔥 韓版 刺繡卡通動物襪 S28 腳後跟 船襪 短襪 可愛動物襪 襪子 中筒襪 女襪 春夏 薄款 ins</t>
        </is>
      </c>
      <c r="C1290">
        <f>IMAGE("https://cf.shopee.tw/file/tw-11134207-7r98s-lund5b2ptl9ye0_tn")</f>
        <v/>
      </c>
      <c r="D1290" t="inlineStr">
        <is>
          <t>淺藍</t>
        </is>
      </c>
      <c r="E1290" t="inlineStr">
        <is>
          <t>250686495178</t>
        </is>
      </c>
      <c r="F1290">
        <f>IMAGE("https://cf.shopee.tw/file/tw-11134207-7r992-lud0yva3k1rt19_tn")</f>
        <v/>
      </c>
    </row>
    <row r="1291">
      <c r="A1291" t="inlineStr">
        <is>
          <t>25075729941</t>
        </is>
      </c>
      <c r="B1291" t="inlineStr">
        <is>
          <t>隔日到貨🔥 韓版 刺繡卡通動物襪 S28 腳後跟 船襪 短襪 可愛動物襪 襪子 中筒襪 女襪 春夏 薄款 ins</t>
        </is>
      </c>
      <c r="C1291">
        <f>IMAGE("https://cf.shopee.tw/file/tw-11134207-7r98s-lund5b2ptl9ye0_tn")</f>
        <v/>
      </c>
      <c r="D1291" t="inlineStr">
        <is>
          <t>卡其色</t>
        </is>
      </c>
      <c r="E1291" t="inlineStr">
        <is>
          <t>250686495179</t>
        </is>
      </c>
      <c r="F1291">
        <f>IMAGE("https://cf.shopee.tw/file/tw-11134207-7r98o-lud0yva3zi0p9a_tn")</f>
        <v/>
      </c>
    </row>
    <row r="1292">
      <c r="A1292" t="inlineStr">
        <is>
          <t>25075729941</t>
        </is>
      </c>
      <c r="B1292" t="inlineStr">
        <is>
          <t>隔日到貨🔥 韓版 刺繡卡通動物襪 S28 腳後跟 船襪 短襪 可愛動物襪 襪子 中筒襪 女襪 春夏 薄款 ins</t>
        </is>
      </c>
      <c r="C1292">
        <f>IMAGE("https://cf.shopee.tw/file/tw-11134207-7r98s-lund5b2ptl9ye0_tn")</f>
        <v/>
      </c>
      <c r="D1292" t="inlineStr">
        <is>
          <t>鵝黃</t>
        </is>
      </c>
      <c r="E1292" t="inlineStr">
        <is>
          <t>250686495180</t>
        </is>
      </c>
      <c r="F1292">
        <f>IMAGE("https://cf.shopee.tw/file/tw-11134207-7r98p-lud0yva3k1u5e6_tn")</f>
        <v/>
      </c>
    </row>
    <row r="1293">
      <c r="A1293" t="inlineStr">
        <is>
          <t>25075729941</t>
        </is>
      </c>
      <c r="B1293" t="inlineStr">
        <is>
          <t>隔日到貨🔥 韓版 刺繡卡通動物襪 S28 腳後跟 船襪 短襪 可愛動物襪 襪子 中筒襪 女襪 春夏 薄款 ins</t>
        </is>
      </c>
      <c r="C1293">
        <f>IMAGE("https://cf.shopee.tw/file/tw-11134207-7r98s-lund5b2ptl9ye0_tn")</f>
        <v/>
      </c>
      <c r="D1293" t="inlineStr">
        <is>
          <t>淺橘色</t>
        </is>
      </c>
      <c r="E1293" t="inlineStr">
        <is>
          <t>250686495181</t>
        </is>
      </c>
      <c r="F1293">
        <f>IMAGE("https://cf.shopee.tw/file/tw-11134207-7r98r-lud0yvadjn5l0e_tn")</f>
        <v/>
      </c>
    </row>
    <row r="1294">
      <c r="A1294" t="inlineStr">
        <is>
          <t>25075729941</t>
        </is>
      </c>
      <c r="B1294" t="inlineStr">
        <is>
          <t>隔日到貨🔥 韓版 刺繡卡通動物襪 S28 腳後跟 船襪 短襪 可愛動物襪 襪子 中筒襪 女襪 春夏 薄款 ins</t>
        </is>
      </c>
      <c r="C1294">
        <f>IMAGE("https://cf.shopee.tw/file/tw-11134207-7r98s-lund5b2ptl9ye0_tn")</f>
        <v/>
      </c>
      <c r="D1294" t="inlineStr">
        <is>
          <t>黃色</t>
        </is>
      </c>
      <c r="E1294" t="inlineStr">
        <is>
          <t>250686495182</t>
        </is>
      </c>
      <c r="F1294">
        <f>IMAGE("https://cf.shopee.tw/file/tw-11134207-7r992-lud0yva40wnh0e_tn")</f>
        <v/>
      </c>
    </row>
    <row r="1295">
      <c r="A1295" t="inlineStr">
        <is>
          <t>25075729941</t>
        </is>
      </c>
      <c r="B1295" t="inlineStr">
        <is>
          <t>隔日到貨🔥 韓版 刺繡卡通動物襪 S28 腳後跟 船襪 短襪 可愛動物襪 襪子 中筒襪 女襪 春夏 薄款 ins</t>
        </is>
      </c>
      <c r="C1295">
        <f>IMAGE("https://cf.shopee.tw/file/tw-11134207-7r98s-lund5b2ptl9ye0_tn")</f>
        <v/>
      </c>
      <c r="D1295" t="inlineStr">
        <is>
          <t>灰色</t>
        </is>
      </c>
      <c r="E1295" t="inlineStr">
        <is>
          <t>250686495183</t>
        </is>
      </c>
      <c r="F1295">
        <f>IMAGE("https://cf.shopee.tw/file/tw-11134207-7r98o-lud0yvejt05506_tn")</f>
        <v/>
      </c>
    </row>
    <row r="1296">
      <c r="A1296" t="inlineStr">
        <is>
          <t>25075729941</t>
        </is>
      </c>
      <c r="B1296" t="inlineStr">
        <is>
          <t>隔日到貨🔥 韓版 刺繡卡通動物襪 S28 腳後跟 船襪 短襪 可愛動物襪 襪子 中筒襪 女襪 春夏 薄款 ins</t>
        </is>
      </c>
      <c r="C1296">
        <f>IMAGE("https://cf.shopee.tw/file/tw-11134207-7r98s-lund5b2ptl9ye0_tn")</f>
        <v/>
      </c>
      <c r="D1296" t="inlineStr">
        <is>
          <t>黑色</t>
        </is>
      </c>
      <c r="E1296" t="inlineStr">
        <is>
          <t>250686495184</t>
        </is>
      </c>
      <c r="F1296">
        <f>IMAGE("https://cf.shopee.tw/file/tw-11134207-7r98p-lud0yvejdjw96b_tn")</f>
        <v/>
      </c>
    </row>
    <row r="1297">
      <c r="A1297" t="inlineStr">
        <is>
          <t>25075729941</t>
        </is>
      </c>
      <c r="B1297" t="inlineStr">
        <is>
          <t>隔日到貨🔥 韓版 刺繡卡通動物襪 S28 腳後跟 船襪 短襪 可愛動物襪 襪子 中筒襪 女襪 春夏 薄款 ins</t>
        </is>
      </c>
      <c r="C1297">
        <f>IMAGE("https://cf.shopee.tw/file/tw-11134207-7r98s-lund5b2ptl9ye0_tn")</f>
        <v/>
      </c>
      <c r="D1297" t="inlineStr">
        <is>
          <t>白色</t>
        </is>
      </c>
      <c r="E1297" t="inlineStr">
        <is>
          <t>250686495185</t>
        </is>
      </c>
      <c r="F1297">
        <f>IMAGE("https://cf.shopee.tw/file/tw-11134207-7r98q-lud12wzua4wdd3_tn")</f>
        <v/>
      </c>
    </row>
    <row r="1298">
      <c r="A1298" t="inlineStr">
        <is>
          <t>25075729941</t>
        </is>
      </c>
      <c r="B1298" t="inlineStr">
        <is>
          <t>隔日到貨🔥 韓版 刺繡卡通動物襪 S28 腳後跟 船襪 短襪 可愛動物襪 襪子 中筒襪 女襪 春夏 薄款 ins</t>
        </is>
      </c>
      <c r="C1298">
        <f>IMAGE("https://cf.shopee.tw/file/tw-11134207-7r98s-lund5b2ptl9ye0_tn")</f>
        <v/>
      </c>
      <c r="D1298" t="inlineStr">
        <is>
          <t>紫色</t>
        </is>
      </c>
      <c r="E1298" t="inlineStr">
        <is>
          <t>250686495186</t>
        </is>
      </c>
      <c r="F1298">
        <f>IMAGE("https://cf.shopee.tw/file/tw-11134207-7r98z-lud12wzubjgtbb_tn")</f>
        <v/>
      </c>
    </row>
    <row r="1299">
      <c r="A1299" t="inlineStr">
        <is>
          <t>25075729941</t>
        </is>
      </c>
      <c r="B1299" t="inlineStr">
        <is>
          <t>隔日到貨🔥 韓版 刺繡卡通動物襪 S28 腳後跟 船襪 短襪 可愛動物襪 襪子 中筒襪 女襪 春夏 薄款 ins</t>
        </is>
      </c>
      <c r="C1299">
        <f>IMAGE("https://cf.shopee.tw/file/tw-11134207-7r98s-lund5b2ptl9ye0_tn")</f>
        <v/>
      </c>
      <c r="D1299" t="inlineStr">
        <is>
          <t>綠色</t>
        </is>
      </c>
      <c r="E1299" t="inlineStr">
        <is>
          <t>250686495187</t>
        </is>
      </c>
      <c r="F1299">
        <f>IMAGE("https://cf.shopee.tw/file/tw-11134207-7r98v-lud132vjpqex8d_tn")</f>
        <v/>
      </c>
    </row>
    <row r="1300">
      <c r="A1300" t="inlineStr">
        <is>
          <t>22825472251</t>
        </is>
      </c>
      <c r="B1300" t="inlineStr">
        <is>
          <t>隔日到貨🔥 水果襪 女襪 S33 長襪 棉襪 白長襪 中筒襪 襪子 白色襪子 女生襪子 女長襪 襪子女</t>
        </is>
      </c>
      <c r="C1300">
        <f>IMAGE("https://cf.shopee.tw/file/tw-11134207-23020-a070svxjxsnv27_tn")</f>
        <v/>
      </c>
      <c r="D1300" t="inlineStr">
        <is>
          <t>黑色鳳梨🍍</t>
        </is>
      </c>
      <c r="E1300" t="inlineStr">
        <is>
          <t>213884095382</t>
        </is>
      </c>
      <c r="F1300">
        <f>IMAGE("https://cf.shopee.tw/file/tw-11134207-23020-7tg1e79rionv68_tn")</f>
        <v/>
      </c>
    </row>
    <row r="1301">
      <c r="A1301" t="inlineStr">
        <is>
          <t>22825472251</t>
        </is>
      </c>
      <c r="B1301" t="inlineStr">
        <is>
          <t>隔日到貨🔥 水果襪 女襪 S33 長襪 棉襪 白長襪 中筒襪 襪子 白色襪子 女生襪子 女長襪 襪子女</t>
        </is>
      </c>
      <c r="C1301">
        <f>IMAGE("https://cf.shopee.tw/file/tw-11134207-23020-a070svxjxsnv27_tn")</f>
        <v/>
      </c>
      <c r="D1301" t="inlineStr">
        <is>
          <t>白色熊貓🐼</t>
        </is>
      </c>
      <c r="E1301" t="inlineStr">
        <is>
          <t>213884095383</t>
        </is>
      </c>
      <c r="F1301">
        <f>IMAGE("https://cf.shopee.tw/file/tw-11134207-23020-e1qyjncsionvec_tn")</f>
        <v/>
      </c>
    </row>
    <row r="1302">
      <c r="A1302" t="inlineStr">
        <is>
          <t>22825472251</t>
        </is>
      </c>
      <c r="B1302" t="inlineStr">
        <is>
          <t>隔日到貨🔥 水果襪 女襪 S33 長襪 棉襪 白長襪 中筒襪 襪子 白色襪子 女生襪子 女長襪 襪子女</t>
        </is>
      </c>
      <c r="C1302">
        <f>IMAGE("https://cf.shopee.tw/file/tw-11134207-23020-a070svxjxsnv27_tn")</f>
        <v/>
      </c>
      <c r="D1302" t="inlineStr">
        <is>
          <t>白色水蜜桃🍑</t>
        </is>
      </c>
      <c r="E1302" t="inlineStr">
        <is>
          <t>213884095386</t>
        </is>
      </c>
      <c r="F1302">
        <f>IMAGE("https://cf.shopee.tw/file/tw-11134207-23020-apzirnfsionvd6_tn")</f>
        <v/>
      </c>
    </row>
    <row r="1303">
      <c r="A1303" t="inlineStr">
        <is>
          <t>22825472251</t>
        </is>
      </c>
      <c r="B1303" t="inlineStr">
        <is>
          <t>隔日到貨🔥 水果襪 女襪 S33 長襪 棉襪 白長襪 中筒襪 襪子 白色襪子 女生襪子 女長襪 襪子女</t>
        </is>
      </c>
      <c r="C1303">
        <f>IMAGE("https://cf.shopee.tw/file/tw-11134207-23020-a070svxjxsnv27_tn")</f>
        <v/>
      </c>
      <c r="D1303" t="inlineStr">
        <is>
          <t>墨綠色酪梨🥑</t>
        </is>
      </c>
      <c r="E1303" t="inlineStr">
        <is>
          <t>203884097558</t>
        </is>
      </c>
      <c r="F1303">
        <f>IMAGE("https://cf.shopee.tw/file/tw-11134207-23020-q00klcisionv9c_tn")</f>
        <v/>
      </c>
    </row>
    <row r="1304">
      <c r="A1304" t="inlineStr">
        <is>
          <t>22825472251</t>
        </is>
      </c>
      <c r="B1304" t="inlineStr">
        <is>
          <t>隔日到貨🔥 水果襪 女襪 S33 長襪 棉襪 白長襪 中筒襪 襪子 白色襪子 女生襪子 女長襪 襪子女</t>
        </is>
      </c>
      <c r="C1304">
        <f>IMAGE("https://cf.shopee.tw/file/tw-11134207-23020-a070svxjxsnv27_tn")</f>
        <v/>
      </c>
      <c r="D1304" t="inlineStr">
        <is>
          <t>米色香蕉🍌</t>
        </is>
      </c>
      <c r="E1304" t="inlineStr">
        <is>
          <t>213884095387</t>
        </is>
      </c>
      <c r="F1304">
        <f>IMAGE("https://cf.shopee.tw/file/tw-11134207-23020-76t3ihlsionv8e_tn")</f>
        <v/>
      </c>
    </row>
    <row r="1305">
      <c r="A1305" t="inlineStr">
        <is>
          <t>22825472251</t>
        </is>
      </c>
      <c r="B1305" t="inlineStr">
        <is>
          <t>隔日到貨🔥 水果襪 女襪 S33 長襪 棉襪 白長襪 中筒襪 襪子 白色襪子 女生襪子 女長襪 襪子女</t>
        </is>
      </c>
      <c r="C1305">
        <f>IMAGE("https://cf.shopee.tw/file/tw-11134207-23020-a070svxjxsnv27_tn")</f>
        <v/>
      </c>
      <c r="D1305" t="inlineStr">
        <is>
          <t>咖啡色雲朵☁️</t>
        </is>
      </c>
      <c r="E1305" t="inlineStr">
        <is>
          <t>203884097559</t>
        </is>
      </c>
      <c r="F1305">
        <f>IMAGE("https://cf.shopee.tw/file/tw-11134207-23020-37j16vosionvd2_tn")</f>
        <v/>
      </c>
    </row>
    <row r="1306">
      <c r="A1306" t="inlineStr">
        <is>
          <t>22825472251</t>
        </is>
      </c>
      <c r="B1306" t="inlineStr">
        <is>
          <t>隔日到貨🔥 水果襪 女襪 S33 長襪 棉襪 白長襪 中筒襪 襪子 白色襪子 女生襪子 女長襪 襪子女</t>
        </is>
      </c>
      <c r="C1306">
        <f>IMAGE("https://cf.shopee.tw/file/tw-11134207-23020-a070svxjxsnv27_tn")</f>
        <v/>
      </c>
      <c r="D1306" t="inlineStr">
        <is>
          <t>灰色芒果🥭</t>
        </is>
      </c>
      <c r="E1306" t="inlineStr">
        <is>
          <t>213884095384</t>
        </is>
      </c>
      <c r="F1306">
        <f>IMAGE("https://cf.shopee.tw/file/tw-11134207-23020-alsyrnrsionvc0_tn")</f>
        <v/>
      </c>
    </row>
    <row r="1307">
      <c r="A1307" t="inlineStr">
        <is>
          <t>22825472251</t>
        </is>
      </c>
      <c r="B1307" t="inlineStr">
        <is>
          <t>隔日到貨🔥 水果襪 女襪 S33 長襪 棉襪 白長襪 中筒襪 襪子 白色襪子 女生襪子 女長襪 襪子女</t>
        </is>
      </c>
      <c r="C1307">
        <f>IMAGE("https://cf.shopee.tw/file/tw-11134207-23020-a070svxjxsnv27_tn")</f>
        <v/>
      </c>
      <c r="D1307" t="inlineStr">
        <is>
          <t>薑黃長頸鹿🦒</t>
        </is>
      </c>
      <c r="E1307" t="inlineStr">
        <is>
          <t>213884095385</t>
        </is>
      </c>
      <c r="F1307">
        <f>IMAGE("https://cf.shopee.tw/file/tw-11134207-23020-my74v1wsionve2_tn")</f>
        <v/>
      </c>
    </row>
    <row r="1308">
      <c r="A1308" t="inlineStr">
        <is>
          <t>22825472251</t>
        </is>
      </c>
      <c r="B1308" t="inlineStr">
        <is>
          <t>隔日到貨🔥 水果襪 女襪 S33 長襪 棉襪 白長襪 中筒襪 襪子 白色襪子 女生襪子 女長襪 襪子女</t>
        </is>
      </c>
      <c r="C1308">
        <f>IMAGE("https://cf.shopee.tw/file/tw-11134207-23020-a070svxjxsnv27_tn")</f>
        <v/>
      </c>
      <c r="D1308" t="inlineStr">
        <is>
          <t>藏藍荷包蛋🥚</t>
        </is>
      </c>
      <c r="E1308" t="inlineStr">
        <is>
          <t>213884095380</t>
        </is>
      </c>
      <c r="F1308">
        <f>IMAGE("https://cf.shopee.tw/file/tw-11134207-23020-mq559e1sionv06_tn")</f>
        <v/>
      </c>
    </row>
    <row r="1309">
      <c r="A1309" t="inlineStr">
        <is>
          <t>22825472251</t>
        </is>
      </c>
      <c r="B1309" t="inlineStr">
        <is>
          <t>隔日到貨🔥 水果襪 女襪 S33 長襪 棉襪 白長襪 中筒襪 襪子 白色襪子 女生襪子 女長襪 襪子女</t>
        </is>
      </c>
      <c r="C1309">
        <f>IMAGE("https://cf.shopee.tw/file/tw-11134207-23020-a070svxjxsnv27_tn")</f>
        <v/>
      </c>
      <c r="D1309" t="inlineStr">
        <is>
          <t>黑色爪印🐾</t>
        </is>
      </c>
      <c r="E1309" t="inlineStr">
        <is>
          <t>213884095381</t>
        </is>
      </c>
      <c r="F1309">
        <f>IMAGE("https://cf.shopee.tw/file/tw-11134207-23020-m36l196sionvfb_tn")</f>
        <v/>
      </c>
    </row>
    <row r="1310">
      <c r="A1310" t="inlineStr">
        <is>
          <t>22469306622</t>
        </is>
      </c>
      <c r="B1310" t="inlineStr">
        <is>
          <t>隔日到貨🔥 韓風ins 手機氣囊 純色 方形 滴膠 莫蘭迪色 伸縮折疊手機架 適合各手機 氣囊 黏貼式 支架</t>
        </is>
      </c>
      <c r="C1310">
        <f>IMAGE("https://cf.shopee.tw/file/tw-11134207-7qul2-lhbihudpp1yk44_tn")</f>
        <v/>
      </c>
      <c r="D1310" t="inlineStr">
        <is>
          <t>N01 薰衣草灰</t>
        </is>
      </c>
      <c r="E1310" t="inlineStr">
        <is>
          <t>204325705527</t>
        </is>
      </c>
      <c r="F1310">
        <f>IMAGE("https://cf.shopee.tw/file/tw-11134207-7qul7-lhbi4vdv35m1e1_tn")</f>
        <v/>
      </c>
    </row>
    <row r="1311">
      <c r="A1311" t="inlineStr">
        <is>
          <t>22469306622</t>
        </is>
      </c>
      <c r="B1311" t="inlineStr">
        <is>
          <t>隔日到貨🔥 韓風ins 手機氣囊 純色 方形 滴膠 莫蘭迪色 伸縮折疊手機架 適合各手機 氣囊 黏貼式 支架</t>
        </is>
      </c>
      <c r="C1311">
        <f>IMAGE("https://cf.shopee.tw/file/tw-11134207-7qul2-lhbihudpp1yk44_tn")</f>
        <v/>
      </c>
      <c r="D1311" t="inlineStr">
        <is>
          <t>N02 炭灰色</t>
        </is>
      </c>
      <c r="E1311" t="inlineStr">
        <is>
          <t>204325705522</t>
        </is>
      </c>
      <c r="F1311">
        <f>IMAGE("https://cf.shopee.tw/file/tw-11134207-7qukz-lhbi4vdvy23t59_tn")</f>
        <v/>
      </c>
    </row>
    <row r="1312">
      <c r="A1312" t="inlineStr">
        <is>
          <t>22469306622</t>
        </is>
      </c>
      <c r="B1312" t="inlineStr">
        <is>
          <t>隔日到貨🔥 韓風ins 手機氣囊 純色 方形 滴膠 莫蘭迪色 伸縮折疊手機架 適合各手機 氣囊 黏貼式 支架</t>
        </is>
      </c>
      <c r="C1312">
        <f>IMAGE("https://cf.shopee.tw/file/tw-11134207-7qul2-lhbihudpp1yk44_tn")</f>
        <v/>
      </c>
      <c r="D1312" t="inlineStr">
        <is>
          <t>N03 杏橙色</t>
        </is>
      </c>
      <c r="E1312" t="inlineStr">
        <is>
          <t>204325705518</t>
        </is>
      </c>
      <c r="F1312">
        <f>IMAGE("https://cf.shopee.tw/file/tw-11134207-7qul2-lhbih5whimgcac_tn")</f>
        <v/>
      </c>
    </row>
    <row r="1313">
      <c r="A1313" t="inlineStr">
        <is>
          <t>22469306622</t>
        </is>
      </c>
      <c r="B1313" t="inlineStr">
        <is>
          <t>隔日到貨🔥 韓風ins 手機氣囊 純色 方形 滴膠 莫蘭迪色 伸縮折疊手機架 適合各手機 氣囊 黏貼式 支架</t>
        </is>
      </c>
      <c r="C1313">
        <f>IMAGE("https://cf.shopee.tw/file/tw-11134207-7qul2-lhbihudpp1yk44_tn")</f>
        <v/>
      </c>
      <c r="D1313" t="inlineStr">
        <is>
          <t>N04 深紫色</t>
        </is>
      </c>
      <c r="E1313" t="inlineStr">
        <is>
          <t>204325705521</t>
        </is>
      </c>
      <c r="F1313">
        <f>IMAGE("https://cf.shopee.tw/file/tw-11134207-7qul4-lhbi4vdwex4c83_tn")</f>
        <v/>
      </c>
    </row>
    <row r="1314">
      <c r="A1314" t="inlineStr">
        <is>
          <t>22469306622</t>
        </is>
      </c>
      <c r="B1314" t="inlineStr">
        <is>
          <t>隔日到貨🔥 韓風ins 手機氣囊 純色 方形 滴膠 莫蘭迪色 伸縮折疊手機架 適合各手機 氣囊 黏貼式 支架</t>
        </is>
      </c>
      <c r="C1314">
        <f>IMAGE("https://cf.shopee.tw/file/tw-11134207-7qul2-lhbihudpp1yk44_tn")</f>
        <v/>
      </c>
      <c r="D1314" t="inlineStr">
        <is>
          <t>N05 山茶紅</t>
        </is>
      </c>
      <c r="E1314" t="inlineStr">
        <is>
          <t>204325705514</t>
        </is>
      </c>
      <c r="F1314">
        <f>IMAGE("https://cf.shopee.tw/file/tw-11134207-7qul6-lhbi4vdvilux59_tn")</f>
        <v/>
      </c>
    </row>
    <row r="1315">
      <c r="A1315" t="inlineStr">
        <is>
          <t>22469306622</t>
        </is>
      </c>
      <c r="B1315" t="inlineStr">
        <is>
          <t>隔日到貨🔥 韓風ins 手機氣囊 純色 方形 滴膠 莫蘭迪色 伸縮折疊手機架 適合各手機 氣囊 黏貼式 支架</t>
        </is>
      </c>
      <c r="C1315">
        <f>IMAGE("https://cf.shopee.tw/file/tw-11134207-7qul2-lhbihudpp1yk44_tn")</f>
        <v/>
      </c>
      <c r="D1315" t="inlineStr">
        <is>
          <t>N06 珊瑚色</t>
        </is>
      </c>
      <c r="E1315" t="inlineStr">
        <is>
          <t>204325705513</t>
        </is>
      </c>
      <c r="F1315">
        <f>IMAGE("https://cf.shopee.tw/file/tw-11134207-7qul8-lhbihudpnne43d_tn")</f>
        <v/>
      </c>
    </row>
    <row r="1316">
      <c r="A1316" t="inlineStr">
        <is>
          <t>22469306622</t>
        </is>
      </c>
      <c r="B1316" t="inlineStr">
        <is>
          <t>隔日到貨🔥 韓風ins 手機氣囊 純色 方形 滴膠 莫蘭迪色 伸縮折疊手機架 適合各手機 氣囊 黏貼式 支架</t>
        </is>
      </c>
      <c r="C1316">
        <f>IMAGE("https://cf.shopee.tw/file/tw-11134207-7qul2-lhbihudpp1yk44_tn")</f>
        <v/>
      </c>
      <c r="D1316" t="inlineStr">
        <is>
          <t>N07 灰色</t>
        </is>
      </c>
      <c r="E1316" t="inlineStr">
        <is>
          <t>204325705526</t>
        </is>
      </c>
      <c r="F1316">
        <f>IMAGE("https://cf.shopee.tw/file/tw-11134207-7qukx-lhbih5whh7vwbf_tn")</f>
        <v/>
      </c>
    </row>
    <row r="1317">
      <c r="A1317" t="inlineStr">
        <is>
          <t>22469306622</t>
        </is>
      </c>
      <c r="B1317" t="inlineStr">
        <is>
          <t>隔日到貨🔥 韓風ins 手機氣囊 純色 方形 滴膠 莫蘭迪色 伸縮折疊手機架 適合各手機 氣囊 黏貼式 支架</t>
        </is>
      </c>
      <c r="C1317">
        <f>IMAGE("https://cf.shopee.tw/file/tw-11134207-7qul2-lhbihudpp1yk44_tn")</f>
        <v/>
      </c>
      <c r="D1317" t="inlineStr">
        <is>
          <t>N08 黃色</t>
        </is>
      </c>
      <c r="E1317" t="inlineStr">
        <is>
          <t>204325705524</t>
        </is>
      </c>
      <c r="F1317">
        <f>IMAGE("https://cf.shopee.tw/file/tw-11134207-7qukw-lhbifkhdi6ng15_tn")</f>
        <v/>
      </c>
    </row>
    <row r="1318">
      <c r="A1318" t="inlineStr">
        <is>
          <t>22469306622</t>
        </is>
      </c>
      <c r="B1318" t="inlineStr">
        <is>
          <t>隔日到貨🔥 韓風ins 手機氣囊 純色 方形 滴膠 莫蘭迪色 伸縮折疊手機架 適合各手機 氣囊 黏貼式 支架</t>
        </is>
      </c>
      <c r="C1318">
        <f>IMAGE("https://cf.shopee.tw/file/tw-11134207-7qul2-lhbihudpp1yk44_tn")</f>
        <v/>
      </c>
      <c r="D1318" t="inlineStr">
        <is>
          <t>N09 黑色</t>
        </is>
      </c>
      <c r="E1318" t="inlineStr">
        <is>
          <t>204325705523</t>
        </is>
      </c>
      <c r="F1318">
        <f>IMAGE("https://cf.shopee.tw/file/tw-11134207-7qul9-lhbi4vdwudd8b2_tn")</f>
        <v/>
      </c>
    </row>
    <row r="1319">
      <c r="A1319" t="inlineStr">
        <is>
          <t>22469306622</t>
        </is>
      </c>
      <c r="B1319" t="inlineStr">
        <is>
          <t>隔日到貨🔥 韓風ins 手機氣囊 純色 方形 滴膠 莫蘭迪色 伸縮折疊手機架 適合各手機 氣囊 黏貼式 支架</t>
        </is>
      </c>
      <c r="C1319">
        <f>IMAGE("https://cf.shopee.tw/file/tw-11134207-7qul2-lhbihudpp1yk44_tn")</f>
        <v/>
      </c>
      <c r="D1319" t="inlineStr">
        <is>
          <t>N10 紅色</t>
        </is>
      </c>
      <c r="E1319" t="inlineStr">
        <is>
          <t>204325705516</t>
        </is>
      </c>
      <c r="F1319">
        <f>IMAGE("https://cf.shopee.tw/file/tw-11134207-7qul3-lhbigehtl2y4d9_tn")</f>
        <v/>
      </c>
    </row>
    <row r="1320">
      <c r="A1320" t="inlineStr">
        <is>
          <t>22469306622</t>
        </is>
      </c>
      <c r="B1320" t="inlineStr">
        <is>
          <t>隔日到貨🔥 韓風ins 手機氣囊 純色 方形 滴膠 莫蘭迪色 伸縮折疊手機架 適合各手機 氣囊 黏貼式 支架</t>
        </is>
      </c>
      <c r="C1320">
        <f>IMAGE("https://cf.shopee.tw/file/tw-11134207-7qul2-lhbihudpp1yk44_tn")</f>
        <v/>
      </c>
      <c r="D1320" t="inlineStr">
        <is>
          <t>N11 海藍色</t>
        </is>
      </c>
      <c r="E1320" t="inlineStr">
        <is>
          <t>204325705517</t>
        </is>
      </c>
      <c r="F1320">
        <f>IMAGE("https://cf.shopee.tw/file/tw-11134207-7qul2-lhbigtofelgs7d_tn")</f>
        <v/>
      </c>
    </row>
    <row r="1321">
      <c r="A1321" t="inlineStr">
        <is>
          <t>22469306622</t>
        </is>
      </c>
      <c r="B1321" t="inlineStr">
        <is>
          <t>隔日到貨🔥 韓風ins 手機氣囊 純色 方形 滴膠 莫蘭迪色 伸縮折疊手機架 適合各手機 氣囊 黏貼式 支架</t>
        </is>
      </c>
      <c r="C1321">
        <f>IMAGE("https://cf.shopee.tw/file/tw-11134207-7qul2-lhbihudpp1yk44_tn")</f>
        <v/>
      </c>
      <c r="D1321" t="inlineStr">
        <is>
          <t>N12 粉色</t>
        </is>
      </c>
      <c r="E1321" t="inlineStr">
        <is>
          <t>204325705512</t>
        </is>
      </c>
      <c r="F1321">
        <f>IMAGE("https://cf.shopee.tw/file/tw-11134207-7qul1-lhbigtofd6wc66_tn")</f>
        <v/>
      </c>
    </row>
    <row r="1322">
      <c r="A1322" t="inlineStr">
        <is>
          <t>22469306622</t>
        </is>
      </c>
      <c r="B1322" t="inlineStr">
        <is>
          <t>隔日到貨🔥 韓風ins 手機氣囊 純色 方形 滴膠 莫蘭迪色 伸縮折疊手機架 適合各手機 氣囊 黏貼式 支架</t>
        </is>
      </c>
      <c r="C1322">
        <f>IMAGE("https://cf.shopee.tw/file/tw-11134207-7qul2-lhbihudpp1yk44_tn")</f>
        <v/>
      </c>
      <c r="D1322" t="inlineStr">
        <is>
          <t>N13 白色</t>
        </is>
      </c>
      <c r="E1322" t="inlineStr">
        <is>
          <t>204325705525</t>
        </is>
      </c>
      <c r="F1322">
        <f>IMAGE("https://cf.shopee.tw/file/tw-11134207-7qul7-lhbifkhdjl7w95_tn")</f>
        <v/>
      </c>
    </row>
    <row r="1323">
      <c r="A1323" t="inlineStr">
        <is>
          <t>22469306622</t>
        </is>
      </c>
      <c r="B1323" t="inlineStr">
        <is>
          <t>隔日到貨🔥 韓風ins 手機氣囊 純色 方形 滴膠 莫蘭迪色 伸縮折疊手機架 適合各手機 氣囊 黏貼式 支架</t>
        </is>
      </c>
      <c r="C1323">
        <f>IMAGE("https://cf.shopee.tw/file/tw-11134207-7qul2-lhbihudpp1yk44_tn")</f>
        <v/>
      </c>
      <c r="D1323" t="inlineStr">
        <is>
          <t>N14 茶色</t>
        </is>
      </c>
      <c r="E1323" t="inlineStr">
        <is>
          <t>204325705511</t>
        </is>
      </c>
      <c r="F1323">
        <f>IMAGE("https://cf.shopee.tw/file/tw-11134207-7qul8-lhbig5v27u3t6d_tn")</f>
        <v/>
      </c>
    </row>
    <row r="1324">
      <c r="A1324" t="inlineStr">
        <is>
          <t>22469306622</t>
        </is>
      </c>
      <c r="B1324" t="inlineStr">
        <is>
          <t>隔日到貨🔥 韓風ins 手機氣囊 純色 方形 滴膠 莫蘭迪色 伸縮折疊手機架 適合各手機 氣囊 黏貼式 支架</t>
        </is>
      </c>
      <c r="C1324">
        <f>IMAGE("https://cf.shopee.tw/file/tw-11134207-7qul2-lhbihudpp1yk44_tn")</f>
        <v/>
      </c>
      <c r="D1324" t="inlineStr">
        <is>
          <t>N15 暗棕色</t>
        </is>
      </c>
      <c r="E1324" t="inlineStr">
        <is>
          <t>204325705519</t>
        </is>
      </c>
      <c r="F1324">
        <f>IMAGE("https://cf.shopee.tw/file/tw-11134207-7qukw-lhbi4vdvzgvg55_tn")</f>
        <v/>
      </c>
    </row>
    <row r="1325">
      <c r="A1325" t="inlineStr">
        <is>
          <t>22469306622</t>
        </is>
      </c>
      <c r="B1325" t="inlineStr">
        <is>
          <t>隔日到貨🔥 韓風ins 手機氣囊 純色 方形 滴膠 莫蘭迪色 伸縮折疊手機架 適合各手機 氣囊 黏貼式 支架</t>
        </is>
      </c>
      <c r="C1325">
        <f>IMAGE("https://cf.shopee.tw/file/tw-11134207-7qul2-lhbihudpp1yk44_tn")</f>
        <v/>
      </c>
      <c r="D1325" t="inlineStr">
        <is>
          <t>N16 暗夜綠</t>
        </is>
      </c>
      <c r="E1325" t="inlineStr">
        <is>
          <t>204325705515</t>
        </is>
      </c>
      <c r="F1325">
        <f>IMAGE("https://cf.shopee.tw/file/tw-11134207-7qul1-lhbi4vdvk0mk71_tn")</f>
        <v/>
      </c>
    </row>
    <row r="1326">
      <c r="A1326" t="inlineStr">
        <is>
          <t>22469306622</t>
        </is>
      </c>
      <c r="B1326" t="inlineStr">
        <is>
          <t>隔日到貨🔥 韓風ins 手機氣囊 純色 方形 滴膠 莫蘭迪色 伸縮折疊手機架 適合各手機 氣囊 黏貼式 支架</t>
        </is>
      </c>
      <c r="C1326">
        <f>IMAGE("https://cf.shopee.tw/file/tw-11134207-7qul2-lhbihudpp1yk44_tn")</f>
        <v/>
      </c>
      <c r="D1326" t="inlineStr">
        <is>
          <t>N17 淺綠色</t>
        </is>
      </c>
      <c r="E1326" t="inlineStr">
        <is>
          <t>204325705520</t>
        </is>
      </c>
      <c r="F1326">
        <f>IMAGE("https://cf.shopee.tw/file/tw-11134207-7quky-lhbig5v298o972_tn")</f>
        <v/>
      </c>
    </row>
    <row r="1327">
      <c r="A1327" t="inlineStr">
        <is>
          <t>22501643420</t>
        </is>
      </c>
      <c r="B1327" t="inlineStr">
        <is>
          <t>隔日到貨🔥 iPhone 手機殼 17 16 15 14 13 12 11 pro Max X XR SE 保護殼 軟殼</t>
        </is>
      </c>
      <c r="C1327">
        <f>IMAGE("https://cf.shopee.tw/file/sg-11134201-22100-amfqdz1a59iv5f_tn")</f>
        <v/>
      </c>
      <c r="D1327" t="inlineStr">
        <is>
          <t>草莓藍花,7 / 8 / SE2 / SE3</t>
        </is>
      </c>
      <c r="E1327" t="inlineStr">
        <is>
          <t>29227453698</t>
        </is>
      </c>
      <c r="F1327">
        <f>IMAGE("https://cf.shopee.tw/file/sg-11134201-22100-19wlj8tptyivfa_tn")</f>
        <v/>
      </c>
    </row>
    <row r="1328">
      <c r="A1328" t="inlineStr">
        <is>
          <t>22501643420</t>
        </is>
      </c>
      <c r="B1328" t="inlineStr">
        <is>
          <t>隔日到貨🔥 iPhone 手機殼 17 16 15 14 13 12 11 pro Max X XR SE 保護殼 軟殼</t>
        </is>
      </c>
      <c r="C1328">
        <f>IMAGE("https://cf.shopee.tw/file/sg-11134201-22100-amfqdz1a59iv5f_tn")</f>
        <v/>
      </c>
      <c r="D1328" t="inlineStr">
        <is>
          <t>草莓藍花,7Plus / 8Plus</t>
        </is>
      </c>
      <c r="E1328" t="inlineStr">
        <is>
          <t>29227453699</t>
        </is>
      </c>
      <c r="F1328">
        <f>IMAGE("https://cf.shopee.tw/file/sg-11134201-22100-19wlj8tptyivfa_tn")</f>
        <v/>
      </c>
    </row>
    <row r="1329">
      <c r="A1329" t="inlineStr">
        <is>
          <t>22501643420</t>
        </is>
      </c>
      <c r="B1329" t="inlineStr">
        <is>
          <t>隔日到貨🔥 iPhone 手機殼 17 16 15 14 13 12 11 pro Max X XR SE 保護殼 軟殼</t>
        </is>
      </c>
      <c r="C1329">
        <f>IMAGE("https://cf.shopee.tw/file/sg-11134201-22100-amfqdz1a59iv5f_tn")</f>
        <v/>
      </c>
      <c r="D1329" t="inlineStr">
        <is>
          <t>草莓藍花,X / XS</t>
        </is>
      </c>
      <c r="E1329" t="inlineStr">
        <is>
          <t>29227453700</t>
        </is>
      </c>
      <c r="F1329">
        <f>IMAGE("https://cf.shopee.tw/file/sg-11134201-22100-19wlj8tptyivfa_tn")</f>
        <v/>
      </c>
    </row>
    <row r="1330">
      <c r="A1330" t="inlineStr">
        <is>
          <t>22501643420</t>
        </is>
      </c>
      <c r="B1330" t="inlineStr">
        <is>
          <t>隔日到貨🔥 iPhone 手機殼 17 16 15 14 13 12 11 pro Max X XR SE 保護殼 軟殼</t>
        </is>
      </c>
      <c r="C1330">
        <f>IMAGE("https://cf.shopee.tw/file/sg-11134201-22100-amfqdz1a59iv5f_tn")</f>
        <v/>
      </c>
      <c r="D1330" t="inlineStr">
        <is>
          <t>草莓藍花,XR</t>
        </is>
      </c>
      <c r="E1330" t="inlineStr">
        <is>
          <t>230075709671</t>
        </is>
      </c>
      <c r="F1330">
        <f>IMAGE("https://cf.shopee.tw/file/sg-11134201-22100-19wlj8tptyivfa_tn")</f>
        <v/>
      </c>
    </row>
    <row r="1331">
      <c r="A1331" t="inlineStr">
        <is>
          <t>22501643420</t>
        </is>
      </c>
      <c r="B1331" t="inlineStr">
        <is>
          <t>隔日到貨🔥 iPhone 手機殼 17 16 15 14 13 12 11 pro Max X XR SE 保護殼 軟殼</t>
        </is>
      </c>
      <c r="C1331">
        <f>IMAGE("https://cf.shopee.tw/file/sg-11134201-22100-amfqdz1a59iv5f_tn")</f>
        <v/>
      </c>
      <c r="D1331" t="inlineStr">
        <is>
          <t>草莓藍花,XS Max</t>
        </is>
      </c>
      <c r="E1331" t="inlineStr">
        <is>
          <t>168745819848</t>
        </is>
      </c>
      <c r="F1331">
        <f>IMAGE("https://cf.shopee.tw/file/sg-11134201-22100-19wlj8tptyivfa_tn")</f>
        <v/>
      </c>
    </row>
    <row r="1332">
      <c r="A1332" t="inlineStr">
        <is>
          <t>22501643420</t>
        </is>
      </c>
      <c r="B1332" t="inlineStr">
        <is>
          <t>隔日到貨🔥 iPhone 手機殼 17 16 15 14 13 12 11 pro Max X XR SE 保護殼 軟殼</t>
        </is>
      </c>
      <c r="C1332">
        <f>IMAGE("https://cf.shopee.tw/file/sg-11134201-22100-amfqdz1a59iv5f_tn")</f>
        <v/>
      </c>
      <c r="D1332" t="inlineStr">
        <is>
          <t>草莓藍花,11</t>
        </is>
      </c>
      <c r="E1332" t="inlineStr">
        <is>
          <t>230075709675</t>
        </is>
      </c>
      <c r="F1332">
        <f>IMAGE("https://cf.shopee.tw/file/sg-11134201-22100-19wlj8tptyivfa_tn")</f>
        <v/>
      </c>
    </row>
    <row r="1333">
      <c r="A1333" t="inlineStr">
        <is>
          <t>22501643420</t>
        </is>
      </c>
      <c r="B1333" t="inlineStr">
        <is>
          <t>隔日到貨🔥 iPhone 手機殼 17 16 15 14 13 12 11 pro Max X XR SE 保護殼 軟殼</t>
        </is>
      </c>
      <c r="C1333">
        <f>IMAGE("https://cf.shopee.tw/file/sg-11134201-22100-amfqdz1a59iv5f_tn")</f>
        <v/>
      </c>
      <c r="D1333" t="inlineStr">
        <is>
          <t>草莓藍花,11 pro</t>
        </is>
      </c>
      <c r="E1333" t="inlineStr">
        <is>
          <t>230075709676</t>
        </is>
      </c>
      <c r="F1333">
        <f>IMAGE("https://cf.shopee.tw/file/sg-11134201-22100-19wlj8tptyivfa_tn")</f>
        <v/>
      </c>
    </row>
    <row r="1334">
      <c r="A1334" t="inlineStr">
        <is>
          <t>22501643420</t>
        </is>
      </c>
      <c r="B1334" t="inlineStr">
        <is>
          <t>隔日到貨🔥 iPhone 手機殼 17 16 15 14 13 12 11 pro Max X XR SE 保護殼 軟殼</t>
        </is>
      </c>
      <c r="C1334">
        <f>IMAGE("https://cf.shopee.tw/file/sg-11134201-22100-amfqdz1a59iv5f_tn")</f>
        <v/>
      </c>
      <c r="D1334" t="inlineStr">
        <is>
          <t>草莓藍花,11 proMax</t>
        </is>
      </c>
      <c r="E1334" t="inlineStr">
        <is>
          <t>29227453701</t>
        </is>
      </c>
      <c r="F1334">
        <f>IMAGE("https://cf.shopee.tw/file/sg-11134201-22100-19wlj8tptyivfa_tn")</f>
        <v/>
      </c>
    </row>
    <row r="1335">
      <c r="A1335" t="inlineStr">
        <is>
          <t>22501643420</t>
        </is>
      </c>
      <c r="B1335" t="inlineStr">
        <is>
          <t>隔日到貨🔥 iPhone 手機殼 17 16 15 14 13 12 11 pro Max X XR SE 保護殼 軟殼</t>
        </is>
      </c>
      <c r="C1335">
        <f>IMAGE("https://cf.shopee.tw/file/sg-11134201-22100-amfqdz1a59iv5f_tn")</f>
        <v/>
      </c>
      <c r="D1335" t="inlineStr">
        <is>
          <t>草莓藍花,12</t>
        </is>
      </c>
      <c r="E1335" t="inlineStr">
        <is>
          <t>230075709672</t>
        </is>
      </c>
      <c r="F1335">
        <f>IMAGE("https://cf.shopee.tw/file/sg-11134201-22100-19wlj8tptyivfa_tn")</f>
        <v/>
      </c>
    </row>
    <row r="1336">
      <c r="A1336" t="inlineStr">
        <is>
          <t>22501643420</t>
        </is>
      </c>
      <c r="B1336" t="inlineStr">
        <is>
          <t>隔日到貨🔥 iPhone 手機殼 17 16 15 14 13 12 11 pro Max X XR SE 保護殼 軟殼</t>
        </is>
      </c>
      <c r="C1336">
        <f>IMAGE("https://cf.shopee.tw/file/sg-11134201-22100-amfqdz1a59iv5f_tn")</f>
        <v/>
      </c>
      <c r="D1336" t="inlineStr">
        <is>
          <t>草莓藍花,12 pro</t>
        </is>
      </c>
      <c r="E1336" t="inlineStr">
        <is>
          <t>230075709677</t>
        </is>
      </c>
      <c r="F1336">
        <f>IMAGE("https://cf.shopee.tw/file/sg-11134201-22100-19wlj8tptyivfa_tn")</f>
        <v/>
      </c>
    </row>
    <row r="1337">
      <c r="A1337" t="inlineStr">
        <is>
          <t>22501643420</t>
        </is>
      </c>
      <c r="B1337" t="inlineStr">
        <is>
          <t>隔日到貨🔥 iPhone 手機殼 17 16 15 14 13 12 11 pro Max X XR SE 保護殼 軟殼</t>
        </is>
      </c>
      <c r="C1337">
        <f>IMAGE("https://cf.shopee.tw/file/sg-11134201-22100-amfqdz1a59iv5f_tn")</f>
        <v/>
      </c>
      <c r="D1337" t="inlineStr">
        <is>
          <t>草莓藍花,12 proMax</t>
        </is>
      </c>
      <c r="E1337" t="inlineStr">
        <is>
          <t>230075709673</t>
        </is>
      </c>
      <c r="F1337">
        <f>IMAGE("https://cf.shopee.tw/file/sg-11134201-22100-19wlj8tptyivfa_tn")</f>
        <v/>
      </c>
    </row>
    <row r="1338">
      <c r="A1338" t="inlineStr">
        <is>
          <t>22501643420</t>
        </is>
      </c>
      <c r="B1338" t="inlineStr">
        <is>
          <t>隔日到貨🔥 iPhone 手機殼 17 16 15 14 13 12 11 pro Max X XR SE 保護殼 軟殼</t>
        </is>
      </c>
      <c r="C1338">
        <f>IMAGE("https://cf.shopee.tw/file/sg-11134201-22100-amfqdz1a59iv5f_tn")</f>
        <v/>
      </c>
      <c r="D1338" t="inlineStr">
        <is>
          <t>草莓藍花,12 mini</t>
        </is>
      </c>
      <c r="E1338" t="inlineStr">
        <is>
          <t>168745819849</t>
        </is>
      </c>
      <c r="F1338">
        <f>IMAGE("https://cf.shopee.tw/file/sg-11134201-22100-19wlj8tptyivfa_tn")</f>
        <v/>
      </c>
    </row>
    <row r="1339">
      <c r="A1339" t="inlineStr">
        <is>
          <t>22501643420</t>
        </is>
      </c>
      <c r="B1339" t="inlineStr">
        <is>
          <t>隔日到貨🔥 iPhone 手機殼 17 16 15 14 13 12 11 pro Max X XR SE 保護殼 軟殼</t>
        </is>
      </c>
      <c r="C1339">
        <f>IMAGE("https://cf.shopee.tw/file/sg-11134201-22100-amfqdz1a59iv5f_tn")</f>
        <v/>
      </c>
      <c r="D1339" t="inlineStr">
        <is>
          <t>草莓藍花,13</t>
        </is>
      </c>
      <c r="E1339" t="inlineStr">
        <is>
          <t>230075709678</t>
        </is>
      </c>
      <c r="F1339">
        <f>IMAGE("https://cf.shopee.tw/file/sg-11134201-22100-19wlj8tptyivfa_tn")</f>
        <v/>
      </c>
    </row>
    <row r="1340">
      <c r="A1340" t="inlineStr">
        <is>
          <t>22501643420</t>
        </is>
      </c>
      <c r="B1340" t="inlineStr">
        <is>
          <t>隔日到貨🔥 iPhone 手機殼 17 16 15 14 13 12 11 pro Max X XR SE 保護殼 軟殼</t>
        </is>
      </c>
      <c r="C1340">
        <f>IMAGE("https://cf.shopee.tw/file/sg-11134201-22100-amfqdz1a59iv5f_tn")</f>
        <v/>
      </c>
      <c r="D1340" t="inlineStr">
        <is>
          <t>草莓藍花,13 pro</t>
        </is>
      </c>
      <c r="E1340" t="inlineStr">
        <is>
          <t>29227453702</t>
        </is>
      </c>
      <c r="F1340">
        <f>IMAGE("https://cf.shopee.tw/file/sg-11134201-22100-19wlj8tptyivfa_tn")</f>
        <v/>
      </c>
    </row>
    <row r="1341">
      <c r="A1341" t="inlineStr">
        <is>
          <t>22501643420</t>
        </is>
      </c>
      <c r="B1341" t="inlineStr">
        <is>
          <t>隔日到貨🔥 iPhone 手機殼 17 16 15 14 13 12 11 pro Max X XR SE 保護殼 軟殼</t>
        </is>
      </c>
      <c r="C1341">
        <f>IMAGE("https://cf.shopee.tw/file/sg-11134201-22100-amfqdz1a59iv5f_tn")</f>
        <v/>
      </c>
      <c r="D1341" t="inlineStr">
        <is>
          <t>草莓藍花,13 proMax</t>
        </is>
      </c>
      <c r="E1341" t="inlineStr">
        <is>
          <t>230075709679</t>
        </is>
      </c>
      <c r="F1341">
        <f>IMAGE("https://cf.shopee.tw/file/sg-11134201-22100-19wlj8tptyivfa_tn")</f>
        <v/>
      </c>
    </row>
    <row r="1342">
      <c r="A1342" t="inlineStr">
        <is>
          <t>22501643420</t>
        </is>
      </c>
      <c r="B1342" t="inlineStr">
        <is>
          <t>隔日到貨🔥 iPhone 手機殼 17 16 15 14 13 12 11 pro Max X XR SE 保護殼 軟殼</t>
        </is>
      </c>
      <c r="C1342">
        <f>IMAGE("https://cf.shopee.tw/file/sg-11134201-22100-amfqdz1a59iv5f_tn")</f>
        <v/>
      </c>
      <c r="D1342" t="inlineStr">
        <is>
          <t>草莓藍花,13 mini</t>
        </is>
      </c>
      <c r="E1342" t="inlineStr">
        <is>
          <t>221537581599</t>
        </is>
      </c>
      <c r="F1342">
        <f>IMAGE("https://cf.shopee.tw/file/sg-11134201-22100-19wlj8tptyivfa_tn")</f>
        <v/>
      </c>
    </row>
    <row r="1343">
      <c r="A1343" t="inlineStr">
        <is>
          <t>22501643420</t>
        </is>
      </c>
      <c r="B1343" t="inlineStr">
        <is>
          <t>隔日到貨🔥 iPhone 手機殼 17 16 15 14 13 12 11 pro Max X XR SE 保護殼 軟殼</t>
        </is>
      </c>
      <c r="C1343">
        <f>IMAGE("https://cf.shopee.tw/file/sg-11134201-22100-amfqdz1a59iv5f_tn")</f>
        <v/>
      </c>
      <c r="D1343" t="inlineStr">
        <is>
          <t>草莓藍花,14</t>
        </is>
      </c>
      <c r="E1343" t="inlineStr">
        <is>
          <t>29227453695</t>
        </is>
      </c>
      <c r="F1343">
        <f>IMAGE("https://cf.shopee.tw/file/sg-11134201-22100-19wlj8tptyivfa_tn")</f>
        <v/>
      </c>
    </row>
    <row r="1344">
      <c r="A1344" t="inlineStr">
        <is>
          <t>22501643420</t>
        </is>
      </c>
      <c r="B1344" t="inlineStr">
        <is>
          <t>隔日到貨🔥 iPhone 手機殼 17 16 15 14 13 12 11 pro Max X XR SE 保護殼 軟殼</t>
        </is>
      </c>
      <c r="C1344">
        <f>IMAGE("https://cf.shopee.tw/file/sg-11134201-22100-amfqdz1a59iv5f_tn")</f>
        <v/>
      </c>
      <c r="D1344" t="inlineStr">
        <is>
          <t>草莓藍花,14 pro</t>
        </is>
      </c>
      <c r="E1344" t="inlineStr">
        <is>
          <t>230075709674</t>
        </is>
      </c>
      <c r="F1344">
        <f>IMAGE("https://cf.shopee.tw/file/sg-11134201-22100-19wlj8tptyivfa_tn")</f>
        <v/>
      </c>
    </row>
    <row r="1345">
      <c r="A1345" t="inlineStr">
        <is>
          <t>22501643420</t>
        </is>
      </c>
      <c r="B1345" t="inlineStr">
        <is>
          <t>隔日到貨🔥 iPhone 手機殼 17 16 15 14 13 12 11 pro Max X XR SE 保護殼 軟殼</t>
        </is>
      </c>
      <c r="C1345">
        <f>IMAGE("https://cf.shopee.tw/file/sg-11134201-22100-amfqdz1a59iv5f_tn")</f>
        <v/>
      </c>
      <c r="D1345" t="inlineStr">
        <is>
          <t>草莓藍花,14 proMax</t>
        </is>
      </c>
      <c r="E1345" t="inlineStr">
        <is>
          <t>29227453697</t>
        </is>
      </c>
      <c r="F1345">
        <f>IMAGE("https://cf.shopee.tw/file/sg-11134201-22100-19wlj8tptyivfa_tn")</f>
        <v/>
      </c>
    </row>
    <row r="1346">
      <c r="A1346" t="inlineStr">
        <is>
          <t>22501643420</t>
        </is>
      </c>
      <c r="B1346" t="inlineStr">
        <is>
          <t>隔日到貨🔥 iPhone 手機殼 17 16 15 14 13 12 11 pro Max X XR SE 保護殼 軟殼</t>
        </is>
      </c>
      <c r="C1346">
        <f>IMAGE("https://cf.shopee.tw/file/sg-11134201-22100-amfqdz1a59iv5f_tn")</f>
        <v/>
      </c>
      <c r="D1346" t="inlineStr">
        <is>
          <t>草莓藍花,14 Plus</t>
        </is>
      </c>
      <c r="E1346" t="inlineStr">
        <is>
          <t>29227453696</t>
        </is>
      </c>
      <c r="F1346">
        <f>IMAGE("https://cf.shopee.tw/file/sg-11134201-22100-19wlj8tptyivfa_tn")</f>
        <v/>
      </c>
    </row>
    <row r="1347">
      <c r="A1347" t="inlineStr">
        <is>
          <t>22501643420</t>
        </is>
      </c>
      <c r="B1347" t="inlineStr">
        <is>
          <t>隔日到貨🔥 iPhone 手機殼 17 16 15 14 13 12 11 pro Max X XR SE 保護殼 軟殼</t>
        </is>
      </c>
      <c r="C1347">
        <f>IMAGE("https://cf.shopee.tw/file/sg-11134201-22100-amfqdz1a59iv5f_tn")</f>
        <v/>
      </c>
      <c r="D1347" t="inlineStr">
        <is>
          <t>草莓藍花,15</t>
        </is>
      </c>
      <c r="E1347" t="inlineStr">
        <is>
          <t>207035271304</t>
        </is>
      </c>
      <c r="F1347">
        <f>IMAGE("https://cf.shopee.tw/file/sg-11134201-22100-19wlj8tptyivfa_tn")</f>
        <v/>
      </c>
    </row>
    <row r="1348">
      <c r="A1348" t="inlineStr">
        <is>
          <t>22501643420</t>
        </is>
      </c>
      <c r="B1348" t="inlineStr">
        <is>
          <t>隔日到貨🔥 iPhone 手機殼 17 16 15 14 13 12 11 pro Max X XR SE 保護殼 軟殼</t>
        </is>
      </c>
      <c r="C1348">
        <f>IMAGE("https://cf.shopee.tw/file/sg-11134201-22100-amfqdz1a59iv5f_tn")</f>
        <v/>
      </c>
      <c r="D1348" t="inlineStr">
        <is>
          <t>草莓藍花,15 pro</t>
        </is>
      </c>
      <c r="E1348" t="inlineStr">
        <is>
          <t>207035271303</t>
        </is>
      </c>
      <c r="F1348">
        <f>IMAGE("https://cf.shopee.tw/file/sg-11134201-22100-19wlj8tptyivfa_tn")</f>
        <v/>
      </c>
    </row>
    <row r="1349">
      <c r="A1349" t="inlineStr">
        <is>
          <t>22501643420</t>
        </is>
      </c>
      <c r="B1349" t="inlineStr">
        <is>
          <t>隔日到貨🔥 iPhone 手機殼 17 16 15 14 13 12 11 pro Max X XR SE 保護殼 軟殼</t>
        </is>
      </c>
      <c r="C1349">
        <f>IMAGE("https://cf.shopee.tw/file/sg-11134201-22100-amfqdz1a59iv5f_tn")</f>
        <v/>
      </c>
      <c r="D1349" t="inlineStr">
        <is>
          <t>草莓藍花,15 proMax</t>
        </is>
      </c>
      <c r="E1349" t="inlineStr">
        <is>
          <t>207035271305</t>
        </is>
      </c>
      <c r="F1349">
        <f>IMAGE("https://cf.shopee.tw/file/sg-11134201-22100-19wlj8tptyivfa_tn")</f>
        <v/>
      </c>
    </row>
    <row r="1350">
      <c r="A1350" t="inlineStr">
        <is>
          <t>22501643420</t>
        </is>
      </c>
      <c r="B1350" t="inlineStr">
        <is>
          <t>隔日到貨🔥 iPhone 手機殼 17 16 15 14 13 12 11 pro Max X XR SE 保護殼 軟殼</t>
        </is>
      </c>
      <c r="C1350">
        <f>IMAGE("https://cf.shopee.tw/file/sg-11134201-22100-amfqdz1a59iv5f_tn")</f>
        <v/>
      </c>
      <c r="D1350" t="inlineStr">
        <is>
          <t>草莓藍花,15 Plus</t>
        </is>
      </c>
      <c r="E1350" t="inlineStr">
        <is>
          <t>207035271302</t>
        </is>
      </c>
      <c r="F1350">
        <f>IMAGE("https://cf.shopee.tw/file/sg-11134201-22100-19wlj8tptyivfa_tn")</f>
        <v/>
      </c>
    </row>
    <row r="1351">
      <c r="A1351" t="inlineStr">
        <is>
          <t>22501643420</t>
        </is>
      </c>
      <c r="B1351" t="inlineStr">
        <is>
          <t>隔日到貨🔥 iPhone 手機殼 17 16 15 14 13 12 11 pro Max X XR SE 保護殼 軟殼</t>
        </is>
      </c>
      <c r="C1351">
        <f>IMAGE("https://cf.shopee.tw/file/sg-11134201-22100-amfqdz1a59iv5f_tn")</f>
        <v/>
      </c>
      <c r="D1351" t="inlineStr">
        <is>
          <t>草莓藍花,16</t>
        </is>
      </c>
      <c r="E1351" t="inlineStr">
        <is>
          <t>168425324276</t>
        </is>
      </c>
      <c r="F1351">
        <f>IMAGE("https://cf.shopee.tw/file/sg-11134201-22100-19wlj8tptyivfa_tn")</f>
        <v/>
      </c>
    </row>
    <row r="1352">
      <c r="A1352" t="inlineStr">
        <is>
          <t>22501643420</t>
        </is>
      </c>
      <c r="B1352" t="inlineStr">
        <is>
          <t>隔日到貨🔥 iPhone 手機殼 17 16 15 14 13 12 11 pro Max X XR SE 保護殼 軟殼</t>
        </is>
      </c>
      <c r="C1352">
        <f>IMAGE("https://cf.shopee.tw/file/sg-11134201-22100-amfqdz1a59iv5f_tn")</f>
        <v/>
      </c>
      <c r="D1352" t="inlineStr">
        <is>
          <t>草莓藍花,16 pro</t>
        </is>
      </c>
      <c r="E1352" t="inlineStr">
        <is>
          <t>168425324277</t>
        </is>
      </c>
      <c r="F1352">
        <f>IMAGE("https://cf.shopee.tw/file/sg-11134201-22100-19wlj8tptyivfa_tn")</f>
        <v/>
      </c>
    </row>
    <row r="1353">
      <c r="A1353" t="inlineStr">
        <is>
          <t>22501643420</t>
        </is>
      </c>
      <c r="B1353" t="inlineStr">
        <is>
          <t>隔日到貨🔥 iPhone 手機殼 17 16 15 14 13 12 11 pro Max X XR SE 保護殼 軟殼</t>
        </is>
      </c>
      <c r="C1353">
        <f>IMAGE("https://cf.shopee.tw/file/sg-11134201-22100-amfqdz1a59iv5f_tn")</f>
        <v/>
      </c>
      <c r="D1353" t="inlineStr">
        <is>
          <t>草莓藍花,16 pro Max</t>
        </is>
      </c>
      <c r="E1353" t="inlineStr">
        <is>
          <t>168425324278</t>
        </is>
      </c>
      <c r="F1353">
        <f>IMAGE("https://cf.shopee.tw/file/sg-11134201-22100-19wlj8tptyivfa_tn")</f>
        <v/>
      </c>
    </row>
    <row r="1354">
      <c r="A1354" t="inlineStr">
        <is>
          <t>22501643420</t>
        </is>
      </c>
      <c r="B1354" t="inlineStr">
        <is>
          <t>隔日到貨🔥 iPhone 手機殼 17 16 15 14 13 12 11 pro Max X XR SE 保護殼 軟殼</t>
        </is>
      </c>
      <c r="C1354">
        <f>IMAGE("https://cf.shopee.tw/file/sg-11134201-22100-amfqdz1a59iv5f_tn")</f>
        <v/>
      </c>
      <c r="D1354" t="inlineStr">
        <is>
          <t>草莓藍花,16 Plus</t>
        </is>
      </c>
      <c r="E1354" t="inlineStr">
        <is>
          <t>168425324279</t>
        </is>
      </c>
      <c r="F1354">
        <f>IMAGE("https://cf.shopee.tw/file/sg-11134201-22100-19wlj8tptyivfa_tn")</f>
        <v/>
      </c>
    </row>
    <row r="1355">
      <c r="A1355" t="inlineStr">
        <is>
          <t>22501643420</t>
        </is>
      </c>
      <c r="B1355" t="inlineStr">
        <is>
          <t>隔日到貨🔥 iPhone 手機殼 17 16 15 14 13 12 11 pro Max X XR SE 保護殼 軟殼</t>
        </is>
      </c>
      <c r="C1355">
        <f>IMAGE("https://cf.shopee.tw/file/sg-11134201-22100-amfqdz1a59iv5f_tn")</f>
        <v/>
      </c>
      <c r="D1355" t="inlineStr">
        <is>
          <t>草莓藍花,17</t>
        </is>
      </c>
      <c r="E1355" t="inlineStr">
        <is>
          <t>271980719545</t>
        </is>
      </c>
      <c r="F1355">
        <f>IMAGE("https://cf.shopee.tw/file/sg-11134201-22100-19wlj8tptyivfa_tn")</f>
        <v/>
      </c>
    </row>
    <row r="1356">
      <c r="A1356" t="inlineStr">
        <is>
          <t>22501643420</t>
        </is>
      </c>
      <c r="B1356" t="inlineStr">
        <is>
          <t>隔日到貨🔥 iPhone 手機殼 17 16 15 14 13 12 11 pro Max X XR SE 保護殼 軟殼</t>
        </is>
      </c>
      <c r="C1356">
        <f>IMAGE("https://cf.shopee.tw/file/sg-11134201-22100-amfqdz1a59iv5f_tn")</f>
        <v/>
      </c>
      <c r="D1356" t="inlineStr">
        <is>
          <t>草莓藍花,17 pro</t>
        </is>
      </c>
      <c r="E1356" t="inlineStr">
        <is>
          <t>271980719546</t>
        </is>
      </c>
      <c r="F1356">
        <f>IMAGE("https://cf.shopee.tw/file/sg-11134201-22100-19wlj8tptyivfa_tn")</f>
        <v/>
      </c>
    </row>
    <row r="1357">
      <c r="A1357" t="inlineStr">
        <is>
          <t>22501643420</t>
        </is>
      </c>
      <c r="B1357" t="inlineStr">
        <is>
          <t>隔日到貨🔥 iPhone 手機殼 17 16 15 14 13 12 11 pro Max X XR SE 保護殼 軟殼</t>
        </is>
      </c>
      <c r="C1357">
        <f>IMAGE("https://cf.shopee.tw/file/sg-11134201-22100-amfqdz1a59iv5f_tn")</f>
        <v/>
      </c>
      <c r="D1357" t="inlineStr">
        <is>
          <t>草莓藍花,17 pro Max</t>
        </is>
      </c>
      <c r="E1357" t="inlineStr">
        <is>
          <t>271980719547</t>
        </is>
      </c>
      <c r="F1357">
        <f>IMAGE("https://cf.shopee.tw/file/sg-11134201-22100-19wlj8tptyivfa_tn")</f>
        <v/>
      </c>
    </row>
    <row r="1358">
      <c r="A1358" t="inlineStr">
        <is>
          <t>22501643420</t>
        </is>
      </c>
      <c r="B1358" t="inlineStr">
        <is>
          <t>隔日到貨🔥 iPhone 手機殼 17 16 15 14 13 12 11 pro Max X XR SE 保護殼 軟殼</t>
        </is>
      </c>
      <c r="C1358">
        <f>IMAGE("https://cf.shopee.tw/file/sg-11134201-22100-amfqdz1a59iv5f_tn")</f>
        <v/>
      </c>
      <c r="D1358" t="inlineStr">
        <is>
          <t>草莓藍花,17 Air</t>
        </is>
      </c>
      <c r="E1358" t="inlineStr">
        <is>
          <t>271980719548</t>
        </is>
      </c>
      <c r="F1358">
        <f>IMAGE("https://cf.shopee.tw/file/sg-11134201-22100-19wlj8tptyivfa_tn")</f>
        <v/>
      </c>
    </row>
    <row r="1359">
      <c r="A1359" t="inlineStr">
        <is>
          <t>21070740292</t>
        </is>
      </c>
      <c r="B1359" t="inlineStr">
        <is>
          <t>隔日到貨🔥 棋盤格長襪 S14 長襪 棉襪 中筒襪 襪子 白長襪 襪子女 女生襪子 女襪 情侶襪 女長襪</t>
        </is>
      </c>
      <c r="C1359">
        <f>IMAGE("https://cf.shopee.tw/file/sg-11134201-23010-r1ukh94gj1lv77_tn")</f>
        <v/>
      </c>
      <c r="D1359" t="inlineStr">
        <is>
          <t>純藍</t>
        </is>
      </c>
      <c r="E1359" t="inlineStr">
        <is>
          <t>183690984113</t>
        </is>
      </c>
      <c r="F1359">
        <f>IMAGE("https://cf.shopee.tw/file/sg-11134201-23010-mb8adhykj1lv86_tn")</f>
        <v/>
      </c>
    </row>
    <row r="1360">
      <c r="A1360" t="inlineStr">
        <is>
          <t>21070740292</t>
        </is>
      </c>
      <c r="B1360" t="inlineStr">
        <is>
          <t>隔日到貨🔥 棋盤格長襪 S14 長襪 棉襪 中筒襪 襪子 白長襪 襪子女 女生襪子 女襪 情侶襪 女長襪</t>
        </is>
      </c>
      <c r="C1360">
        <f>IMAGE("https://cf.shopee.tw/file/sg-11134201-23010-r1ukh94gj1lv77_tn")</f>
        <v/>
      </c>
      <c r="D1360" t="inlineStr">
        <is>
          <t>綠C</t>
        </is>
      </c>
      <c r="E1360" t="inlineStr">
        <is>
          <t>183690984114</t>
        </is>
      </c>
      <c r="F1360">
        <f>IMAGE("https://cf.shopee.tw/file/sg-11134201-23010-1ni0vl0oj1lv4f_tn")</f>
        <v/>
      </c>
    </row>
    <row r="1361">
      <c r="A1361" t="inlineStr">
        <is>
          <t>21070740292</t>
        </is>
      </c>
      <c r="B1361" t="inlineStr">
        <is>
          <t>隔日到貨🔥 棋盤格長襪 S14 長襪 棉襪 中筒襪 襪子 白長襪 襪子女 女生襪子 女襪 情侶襪 女長襪</t>
        </is>
      </c>
      <c r="C1361">
        <f>IMAGE("https://cf.shopee.tw/file/sg-11134201-23010-r1ukh94gj1lv77_tn")</f>
        <v/>
      </c>
      <c r="D1361" t="inlineStr">
        <is>
          <t>綠杠</t>
        </is>
      </c>
      <c r="E1361" t="inlineStr">
        <is>
          <t>183690984115</t>
        </is>
      </c>
      <c r="F1361">
        <f>IMAGE("https://cf.shopee.tw/file/sg-11134201-23010-g7af64kpj1lvb6_tn")</f>
        <v/>
      </c>
    </row>
    <row r="1362">
      <c r="A1362" t="inlineStr">
        <is>
          <t>21070740292</t>
        </is>
      </c>
      <c r="B1362" t="inlineStr">
        <is>
          <t>隔日到貨🔥 棋盤格長襪 S14 長襪 棉襪 中筒襪 襪子 白長襪 襪子女 女生襪子 女襪 情侶襪 女長襪</t>
        </is>
      </c>
      <c r="C1362">
        <f>IMAGE("https://cf.shopee.tw/file/sg-11134201-23010-r1ukh94gj1lv77_tn")</f>
        <v/>
      </c>
      <c r="D1362" t="inlineStr">
        <is>
          <t>純綠</t>
        </is>
      </c>
      <c r="E1362" t="inlineStr">
        <is>
          <t>183690984116</t>
        </is>
      </c>
      <c r="F1362">
        <f>IMAGE("https://cf.shopee.tw/file/sg-11134201-23010-5wk9adppj1lvec_tn")</f>
        <v/>
      </c>
    </row>
    <row r="1363">
      <c r="A1363" t="inlineStr">
        <is>
          <t>21070740292</t>
        </is>
      </c>
      <c r="B1363" t="inlineStr">
        <is>
          <t>隔日到貨🔥 棋盤格長襪 S14 長襪 棉襪 中筒襪 襪子 白長襪 襪子女 女生襪子 女襪 情侶襪 女長襪</t>
        </is>
      </c>
      <c r="C1363">
        <f>IMAGE("https://cf.shopee.tw/file/sg-11134201-23010-r1ukh94gj1lv77_tn")</f>
        <v/>
      </c>
      <c r="D1363" t="inlineStr">
        <is>
          <t>綠格</t>
        </is>
      </c>
      <c r="E1363" t="inlineStr">
        <is>
          <t>183690984109</t>
        </is>
      </c>
      <c r="F1363">
        <f>IMAGE("https://cf.shopee.tw/file/sg-11134201-23010-9j1x5ntpj1lv62_tn")</f>
        <v/>
      </c>
    </row>
    <row r="1364">
      <c r="A1364" t="inlineStr">
        <is>
          <t>21070740292</t>
        </is>
      </c>
      <c r="B1364" t="inlineStr">
        <is>
          <t>隔日到貨🔥 棋盤格長襪 S14 長襪 棉襪 中筒襪 襪子 白長襪 襪子女 女生襪子 女襪 情侶襪 女長襪</t>
        </is>
      </c>
      <c r="C1364">
        <f>IMAGE("https://cf.shopee.tw/file/sg-11134201-23010-r1ukh94gj1lv77_tn")</f>
        <v/>
      </c>
      <c r="D1364" t="inlineStr">
        <is>
          <t>藍杠</t>
        </is>
      </c>
      <c r="E1364" t="inlineStr">
        <is>
          <t>183690984110</t>
        </is>
      </c>
      <c r="F1364">
        <f>IMAGE("https://cf.shopee.tw/file/sg-11134201-23010-r4l7h0xpj1lv0b_tn")</f>
        <v/>
      </c>
    </row>
    <row r="1365">
      <c r="A1365" t="inlineStr">
        <is>
          <t>21070740292</t>
        </is>
      </c>
      <c r="B1365" t="inlineStr">
        <is>
          <t>隔日到貨🔥 棋盤格長襪 S14 長襪 棉襪 中筒襪 襪子 白長襪 襪子女 女生襪子 女襪 情侶襪 女長襪</t>
        </is>
      </c>
      <c r="C1365">
        <f>IMAGE("https://cf.shopee.tw/file/sg-11134201-23010-r1ukh94gj1lv77_tn")</f>
        <v/>
      </c>
      <c r="D1365" t="inlineStr">
        <is>
          <t>藍格</t>
        </is>
      </c>
      <c r="E1365" t="inlineStr">
        <is>
          <t>183690984111</t>
        </is>
      </c>
      <c r="F1365">
        <f>IMAGE("https://cf.shopee.tw/file/sg-11134201-23010-3vbunz4pj1lve8_tn")</f>
        <v/>
      </c>
    </row>
    <row r="1366">
      <c r="A1366" t="inlineStr">
        <is>
          <t>21070740292</t>
        </is>
      </c>
      <c r="B1366" t="inlineStr">
        <is>
          <t>隔日到貨🔥 棋盤格長襪 S14 長襪 棉襪 中筒襪 襪子 白長襪 襪子女 女生襪子 女襪 情侶襪 女長襪</t>
        </is>
      </c>
      <c r="C1366">
        <f>IMAGE("https://cf.shopee.tw/file/sg-11134201-23010-r1ukh94gj1lv77_tn")</f>
        <v/>
      </c>
      <c r="D1366" t="inlineStr">
        <is>
          <t>藍C</t>
        </is>
      </c>
      <c r="E1366" t="inlineStr">
        <is>
          <t>183690984112</t>
        </is>
      </c>
      <c r="F1366">
        <f>IMAGE("https://cf.shopee.tw/file/sg-11134201-23010-qixk5j8pj1lve1_tn")</f>
        <v/>
      </c>
    </row>
    <row r="1367">
      <c r="A1367" t="inlineStr">
        <is>
          <t>42457463402</t>
        </is>
      </c>
      <c r="B1367" t="inlineStr">
        <is>
          <t>隔日到貨🔥 iPhone 手機殼 17 16 15 14 13 12 11 XS XR SE 透明殼 保護殼 軟殼</t>
        </is>
      </c>
      <c r="C1367">
        <f>IMAGE("https://cf.shopee.tw/file/tw-11134207-7ra0s-mbtmxfr9xkdede_tn")</f>
        <v/>
      </c>
      <c r="D1367" t="inlineStr">
        <is>
          <t>黑蝴蝶結(單殼),7/8/SE2/SE3</t>
        </is>
      </c>
      <c r="E1367" t="inlineStr">
        <is>
          <t>285633392023</t>
        </is>
      </c>
      <c r="F1367">
        <f>IMAGE("https://cf.shopee.tw/file/tw-11134207-7ra0u-mbtmxfr9yyxuf2_tn")</f>
        <v/>
      </c>
    </row>
    <row r="1368">
      <c r="A1368" t="inlineStr">
        <is>
          <t>42457463402</t>
        </is>
      </c>
      <c r="B1368" t="inlineStr">
        <is>
          <t>隔日到貨🔥 iPhone 手機殼 17 16 15 14 13 12 11 XS XR SE 透明殼 保護殼 軟殼</t>
        </is>
      </c>
      <c r="C1368">
        <f>IMAGE("https://cf.shopee.tw/file/tw-11134207-7ra0s-mbtmxfr9xkdede_tn")</f>
        <v/>
      </c>
      <c r="D1368" t="inlineStr">
        <is>
          <t>黑蝴蝶結(單殼),7 Plus / 8 Plus</t>
        </is>
      </c>
      <c r="E1368" t="inlineStr">
        <is>
          <t>285633392024</t>
        </is>
      </c>
      <c r="F1368">
        <f>IMAGE("https://cf.shopee.tw/file/tw-11134207-7ra0u-mbtmxfr9yyxuf2_tn")</f>
        <v/>
      </c>
    </row>
    <row r="1369">
      <c r="A1369" t="inlineStr">
        <is>
          <t>42457463402</t>
        </is>
      </c>
      <c r="B1369" t="inlineStr">
        <is>
          <t>隔日到貨🔥 iPhone 手機殼 17 16 15 14 13 12 11 XS XR SE 透明殼 保護殼 軟殼</t>
        </is>
      </c>
      <c r="C1369">
        <f>IMAGE("https://cf.shopee.tw/file/tw-11134207-7ra0s-mbtmxfr9xkdede_tn")</f>
        <v/>
      </c>
      <c r="D1369" t="inlineStr">
        <is>
          <t>黑蝴蝶結(單殼),X / XS</t>
        </is>
      </c>
      <c r="E1369" t="inlineStr">
        <is>
          <t>285633392025</t>
        </is>
      </c>
      <c r="F1369">
        <f>IMAGE("https://cf.shopee.tw/file/tw-11134207-7ra0u-mbtmxfr9yyxuf2_tn")</f>
        <v/>
      </c>
    </row>
    <row r="1370">
      <c r="A1370" t="inlineStr">
        <is>
          <t>42457463402</t>
        </is>
      </c>
      <c r="B1370" t="inlineStr">
        <is>
          <t>隔日到貨🔥 iPhone 手機殼 17 16 15 14 13 12 11 XS XR SE 透明殼 保護殼 軟殼</t>
        </is>
      </c>
      <c r="C1370">
        <f>IMAGE("https://cf.shopee.tw/file/tw-11134207-7ra0s-mbtmxfr9xkdede_tn")</f>
        <v/>
      </c>
      <c r="D1370" t="inlineStr">
        <is>
          <t>黑蝴蝶結(單殼),XR</t>
        </is>
      </c>
      <c r="E1370" t="inlineStr">
        <is>
          <t>285633392026</t>
        </is>
      </c>
      <c r="F1370">
        <f>IMAGE("https://cf.shopee.tw/file/tw-11134207-7ra0u-mbtmxfr9yyxuf2_tn")</f>
        <v/>
      </c>
    </row>
    <row r="1371">
      <c r="A1371" t="inlineStr">
        <is>
          <t>42457463402</t>
        </is>
      </c>
      <c r="B1371" t="inlineStr">
        <is>
          <t>隔日到貨🔥 iPhone 手機殼 17 16 15 14 13 12 11 XS XR SE 透明殼 保護殼 軟殼</t>
        </is>
      </c>
      <c r="C1371">
        <f>IMAGE("https://cf.shopee.tw/file/tw-11134207-7ra0s-mbtmxfr9xkdede_tn")</f>
        <v/>
      </c>
      <c r="D1371" t="inlineStr">
        <is>
          <t>黑蝴蝶結(單殼),XS Max</t>
        </is>
      </c>
      <c r="E1371" t="inlineStr">
        <is>
          <t>285633392027</t>
        </is>
      </c>
      <c r="F1371">
        <f>IMAGE("https://cf.shopee.tw/file/tw-11134207-7ra0u-mbtmxfr9yyxuf2_tn")</f>
        <v/>
      </c>
    </row>
    <row r="1372">
      <c r="A1372" t="inlineStr">
        <is>
          <t>42457463402</t>
        </is>
      </c>
      <c r="B1372" t="inlineStr">
        <is>
          <t>隔日到貨🔥 iPhone 手機殼 17 16 15 14 13 12 11 XS XR SE 透明殼 保護殼 軟殼</t>
        </is>
      </c>
      <c r="C1372">
        <f>IMAGE("https://cf.shopee.tw/file/tw-11134207-7ra0s-mbtmxfr9xkdede_tn")</f>
        <v/>
      </c>
      <c r="D1372" t="inlineStr">
        <is>
          <t>黑蝴蝶結(單殼),11</t>
        </is>
      </c>
      <c r="E1372" t="inlineStr">
        <is>
          <t>285633392028</t>
        </is>
      </c>
      <c r="F1372">
        <f>IMAGE("https://cf.shopee.tw/file/tw-11134207-7ra0u-mbtmxfr9yyxuf2_tn")</f>
        <v/>
      </c>
    </row>
    <row r="1373">
      <c r="A1373" t="inlineStr">
        <is>
          <t>42457463402</t>
        </is>
      </c>
      <c r="B1373" t="inlineStr">
        <is>
          <t>隔日到貨🔥 iPhone 手機殼 17 16 15 14 13 12 11 XS XR SE 透明殼 保護殼 軟殼</t>
        </is>
      </c>
      <c r="C1373">
        <f>IMAGE("https://cf.shopee.tw/file/tw-11134207-7ra0s-mbtmxfr9xkdede_tn")</f>
        <v/>
      </c>
      <c r="D1373" t="inlineStr">
        <is>
          <t>黑蝴蝶結(單殼),11 pro</t>
        </is>
      </c>
      <c r="E1373" t="inlineStr">
        <is>
          <t>285633392029</t>
        </is>
      </c>
      <c r="F1373">
        <f>IMAGE("https://cf.shopee.tw/file/tw-11134207-7ra0u-mbtmxfr9yyxuf2_tn")</f>
        <v/>
      </c>
    </row>
    <row r="1374">
      <c r="A1374" t="inlineStr">
        <is>
          <t>42457463402</t>
        </is>
      </c>
      <c r="B1374" t="inlineStr">
        <is>
          <t>隔日到貨🔥 iPhone 手機殼 17 16 15 14 13 12 11 XS XR SE 透明殼 保護殼 軟殼</t>
        </is>
      </c>
      <c r="C1374">
        <f>IMAGE("https://cf.shopee.tw/file/tw-11134207-7ra0s-mbtmxfr9xkdede_tn")</f>
        <v/>
      </c>
      <c r="D1374" t="inlineStr">
        <is>
          <t>黑蝴蝶結(單殼),11 pro Max</t>
        </is>
      </c>
      <c r="E1374" t="inlineStr">
        <is>
          <t>285633392030</t>
        </is>
      </c>
      <c r="F1374">
        <f>IMAGE("https://cf.shopee.tw/file/tw-11134207-7ra0u-mbtmxfr9yyxuf2_tn")</f>
        <v/>
      </c>
    </row>
    <row r="1375">
      <c r="A1375" t="inlineStr">
        <is>
          <t>42457463402</t>
        </is>
      </c>
      <c r="B1375" t="inlineStr">
        <is>
          <t>隔日到貨🔥 iPhone 手機殼 17 16 15 14 13 12 11 XS XR SE 透明殼 保護殼 軟殼</t>
        </is>
      </c>
      <c r="C1375">
        <f>IMAGE("https://cf.shopee.tw/file/tw-11134207-7ra0s-mbtmxfr9xkdede_tn")</f>
        <v/>
      </c>
      <c r="D1375" t="inlineStr">
        <is>
          <t>黑蝴蝶結(單殼),12</t>
        </is>
      </c>
      <c r="E1375" t="inlineStr">
        <is>
          <t>285633392031</t>
        </is>
      </c>
      <c r="F1375">
        <f>IMAGE("https://cf.shopee.tw/file/tw-11134207-7ra0u-mbtmxfr9yyxuf2_tn")</f>
        <v/>
      </c>
    </row>
    <row r="1376">
      <c r="A1376" t="inlineStr">
        <is>
          <t>42457463402</t>
        </is>
      </c>
      <c r="B1376" t="inlineStr">
        <is>
          <t>隔日到貨🔥 iPhone 手機殼 17 16 15 14 13 12 11 XS XR SE 透明殼 保護殼 軟殼</t>
        </is>
      </c>
      <c r="C1376">
        <f>IMAGE("https://cf.shopee.tw/file/tw-11134207-7ra0s-mbtmxfr9xkdede_tn")</f>
        <v/>
      </c>
      <c r="D1376" t="inlineStr">
        <is>
          <t>黑蝴蝶結(單殼),12 pro</t>
        </is>
      </c>
      <c r="E1376" t="inlineStr">
        <is>
          <t>285633392032</t>
        </is>
      </c>
      <c r="F1376">
        <f>IMAGE("https://cf.shopee.tw/file/tw-11134207-7ra0u-mbtmxfr9yyxuf2_tn")</f>
        <v/>
      </c>
    </row>
    <row r="1377">
      <c r="A1377" t="inlineStr">
        <is>
          <t>42457463402</t>
        </is>
      </c>
      <c r="B1377" t="inlineStr">
        <is>
          <t>隔日到貨🔥 iPhone 手機殼 17 16 15 14 13 12 11 XS XR SE 透明殼 保護殼 軟殼</t>
        </is>
      </c>
      <c r="C1377">
        <f>IMAGE("https://cf.shopee.tw/file/tw-11134207-7ra0s-mbtmxfr9xkdede_tn")</f>
        <v/>
      </c>
      <c r="D1377" t="inlineStr">
        <is>
          <t>黑蝴蝶結(單殼),12 pro Max</t>
        </is>
      </c>
      <c r="E1377" t="inlineStr">
        <is>
          <t>285633392033</t>
        </is>
      </c>
      <c r="F1377">
        <f>IMAGE("https://cf.shopee.tw/file/tw-11134207-7ra0u-mbtmxfr9yyxuf2_tn")</f>
        <v/>
      </c>
    </row>
    <row r="1378">
      <c r="A1378" t="inlineStr">
        <is>
          <t>42457463402</t>
        </is>
      </c>
      <c r="B1378" t="inlineStr">
        <is>
          <t>隔日到貨🔥 iPhone 手機殼 17 16 15 14 13 12 11 XS XR SE 透明殼 保護殼 軟殼</t>
        </is>
      </c>
      <c r="C1378">
        <f>IMAGE("https://cf.shopee.tw/file/tw-11134207-7ra0s-mbtmxfr9xkdede_tn")</f>
        <v/>
      </c>
      <c r="D1378" t="inlineStr">
        <is>
          <t>黑蝴蝶結(單殼),12 mini</t>
        </is>
      </c>
      <c r="E1378" t="inlineStr">
        <is>
          <t>285633392049</t>
        </is>
      </c>
      <c r="F1378">
        <f>IMAGE("https://cf.shopee.tw/file/tw-11134207-7ra0u-mbtmxfr9yyxuf2_tn")</f>
        <v/>
      </c>
    </row>
    <row r="1379">
      <c r="A1379" t="inlineStr">
        <is>
          <t>42457463402</t>
        </is>
      </c>
      <c r="B1379" t="inlineStr">
        <is>
          <t>隔日到貨🔥 iPhone 手機殼 17 16 15 14 13 12 11 XS XR SE 透明殼 保護殼 軟殼</t>
        </is>
      </c>
      <c r="C1379">
        <f>IMAGE("https://cf.shopee.tw/file/tw-11134207-7ra0s-mbtmxfr9xkdede_tn")</f>
        <v/>
      </c>
      <c r="D1379" t="inlineStr">
        <is>
          <t>黑蝴蝶結(單殼),13</t>
        </is>
      </c>
      <c r="E1379" t="inlineStr">
        <is>
          <t>285633392034</t>
        </is>
      </c>
      <c r="F1379">
        <f>IMAGE("https://cf.shopee.tw/file/tw-11134207-7ra0u-mbtmxfr9yyxuf2_tn")</f>
        <v/>
      </c>
    </row>
    <row r="1380">
      <c r="A1380" t="inlineStr">
        <is>
          <t>42457463402</t>
        </is>
      </c>
      <c r="B1380" t="inlineStr">
        <is>
          <t>隔日到貨🔥 iPhone 手機殼 17 16 15 14 13 12 11 XS XR SE 透明殼 保護殼 軟殼</t>
        </is>
      </c>
      <c r="C1380">
        <f>IMAGE("https://cf.shopee.tw/file/tw-11134207-7ra0s-mbtmxfr9xkdede_tn")</f>
        <v/>
      </c>
      <c r="D1380" t="inlineStr">
        <is>
          <t>黑蝴蝶結(單殼),13 pro</t>
        </is>
      </c>
      <c r="E1380" t="inlineStr">
        <is>
          <t>285633392035</t>
        </is>
      </c>
      <c r="F1380">
        <f>IMAGE("https://cf.shopee.tw/file/tw-11134207-7ra0u-mbtmxfr9yyxuf2_tn")</f>
        <v/>
      </c>
    </row>
    <row r="1381">
      <c r="A1381" t="inlineStr">
        <is>
          <t>42457463402</t>
        </is>
      </c>
      <c r="B1381" t="inlineStr">
        <is>
          <t>隔日到貨🔥 iPhone 手機殼 17 16 15 14 13 12 11 XS XR SE 透明殼 保護殼 軟殼</t>
        </is>
      </c>
      <c r="C1381">
        <f>IMAGE("https://cf.shopee.tw/file/tw-11134207-7ra0s-mbtmxfr9xkdede_tn")</f>
        <v/>
      </c>
      <c r="D1381" t="inlineStr">
        <is>
          <t>黑蝴蝶結(單殼),13 pro Max</t>
        </is>
      </c>
      <c r="E1381" t="inlineStr">
        <is>
          <t>285633392036</t>
        </is>
      </c>
      <c r="F1381">
        <f>IMAGE("https://cf.shopee.tw/file/tw-11134207-7ra0u-mbtmxfr9yyxuf2_tn")</f>
        <v/>
      </c>
    </row>
    <row r="1382">
      <c r="A1382" t="inlineStr">
        <is>
          <t>42457463402</t>
        </is>
      </c>
      <c r="B1382" t="inlineStr">
        <is>
          <t>隔日到貨🔥 iPhone 手機殼 17 16 15 14 13 12 11 XS XR SE 透明殼 保護殼 軟殼</t>
        </is>
      </c>
      <c r="C1382">
        <f>IMAGE("https://cf.shopee.tw/file/tw-11134207-7ra0s-mbtmxfr9xkdede_tn")</f>
        <v/>
      </c>
      <c r="D1382" t="inlineStr">
        <is>
          <t>黑蝴蝶結(單殼),13 mini</t>
        </is>
      </c>
      <c r="E1382" t="inlineStr">
        <is>
          <t>285633392050</t>
        </is>
      </c>
      <c r="F1382">
        <f>IMAGE("https://cf.shopee.tw/file/tw-11134207-7ra0u-mbtmxfr9yyxuf2_tn")</f>
        <v/>
      </c>
    </row>
    <row r="1383">
      <c r="A1383" t="inlineStr">
        <is>
          <t>42457463402</t>
        </is>
      </c>
      <c r="B1383" t="inlineStr">
        <is>
          <t>隔日到貨🔥 iPhone 手機殼 17 16 15 14 13 12 11 XS XR SE 透明殼 保護殼 軟殼</t>
        </is>
      </c>
      <c r="C1383">
        <f>IMAGE("https://cf.shopee.tw/file/tw-11134207-7ra0s-mbtmxfr9xkdede_tn")</f>
        <v/>
      </c>
      <c r="D1383" t="inlineStr">
        <is>
          <t>黑蝴蝶結(單殼),14</t>
        </is>
      </c>
      <c r="E1383" t="inlineStr">
        <is>
          <t>285633392037</t>
        </is>
      </c>
      <c r="F1383">
        <f>IMAGE("https://cf.shopee.tw/file/tw-11134207-7ra0u-mbtmxfr9yyxuf2_tn")</f>
        <v/>
      </c>
    </row>
    <row r="1384">
      <c r="A1384" t="inlineStr">
        <is>
          <t>42457463402</t>
        </is>
      </c>
      <c r="B1384" t="inlineStr">
        <is>
          <t>隔日到貨🔥 iPhone 手機殼 17 16 15 14 13 12 11 XS XR SE 透明殼 保護殼 軟殼</t>
        </is>
      </c>
      <c r="C1384">
        <f>IMAGE("https://cf.shopee.tw/file/tw-11134207-7ra0s-mbtmxfr9xkdede_tn")</f>
        <v/>
      </c>
      <c r="D1384" t="inlineStr">
        <is>
          <t>黑蝴蝶結(單殼),14 pro</t>
        </is>
      </c>
      <c r="E1384" t="inlineStr">
        <is>
          <t>285633392038</t>
        </is>
      </c>
      <c r="F1384">
        <f>IMAGE("https://cf.shopee.tw/file/tw-11134207-7ra0u-mbtmxfr9yyxuf2_tn")</f>
        <v/>
      </c>
    </row>
    <row r="1385">
      <c r="A1385" t="inlineStr">
        <is>
          <t>42457463402</t>
        </is>
      </c>
      <c r="B1385" t="inlineStr">
        <is>
          <t>隔日到貨🔥 iPhone 手機殼 17 16 15 14 13 12 11 XS XR SE 透明殼 保護殼 軟殼</t>
        </is>
      </c>
      <c r="C1385">
        <f>IMAGE("https://cf.shopee.tw/file/tw-11134207-7ra0s-mbtmxfr9xkdede_tn")</f>
        <v/>
      </c>
      <c r="D1385" t="inlineStr">
        <is>
          <t>黑蝴蝶結(單殼),14 pro Max</t>
        </is>
      </c>
      <c r="E1385" t="inlineStr">
        <is>
          <t>285633392039</t>
        </is>
      </c>
      <c r="F1385">
        <f>IMAGE("https://cf.shopee.tw/file/tw-11134207-7ra0u-mbtmxfr9yyxuf2_tn")</f>
        <v/>
      </c>
    </row>
    <row r="1386">
      <c r="A1386" t="inlineStr">
        <is>
          <t>42457463402</t>
        </is>
      </c>
      <c r="B1386" t="inlineStr">
        <is>
          <t>隔日到貨🔥 iPhone 手機殼 17 16 15 14 13 12 11 XS XR SE 透明殼 保護殼 軟殼</t>
        </is>
      </c>
      <c r="C1386">
        <f>IMAGE("https://cf.shopee.tw/file/tw-11134207-7ra0s-mbtmxfr9xkdede_tn")</f>
        <v/>
      </c>
      <c r="D1386" t="inlineStr">
        <is>
          <t>黑蝴蝶結(單殼),14 Plus</t>
        </is>
      </c>
      <c r="E1386" t="inlineStr"/>
      <c r="F1386">
        <f>IMAGE("https://cf.shopee.tw/file/tw-11134207-7ra0u-mbtmxfr9yyxuf2_tn")</f>
        <v/>
      </c>
    </row>
    <row r="1387">
      <c r="A1387" t="inlineStr">
        <is>
          <t>42457463402</t>
        </is>
      </c>
      <c r="B1387" t="inlineStr">
        <is>
          <t>隔日到貨🔥 iPhone 手機殼 17 16 15 14 13 12 11 XS XR SE 透明殼 保護殼 軟殼</t>
        </is>
      </c>
      <c r="C1387">
        <f>IMAGE("https://cf.shopee.tw/file/tw-11134207-7ra0s-mbtmxfr9xkdede_tn")</f>
        <v/>
      </c>
      <c r="D1387" t="inlineStr">
        <is>
          <t>黑蝴蝶結(單殼),15</t>
        </is>
      </c>
      <c r="E1387" t="inlineStr">
        <is>
          <t>285633392041</t>
        </is>
      </c>
      <c r="F1387">
        <f>IMAGE("https://cf.shopee.tw/file/tw-11134207-7ra0u-mbtmxfr9yyxuf2_tn")</f>
        <v/>
      </c>
    </row>
    <row r="1388">
      <c r="A1388" t="inlineStr">
        <is>
          <t>42457463402</t>
        </is>
      </c>
      <c r="B1388" t="inlineStr">
        <is>
          <t>隔日到貨🔥 iPhone 手機殼 17 16 15 14 13 12 11 XS XR SE 透明殼 保護殼 軟殼</t>
        </is>
      </c>
      <c r="C1388">
        <f>IMAGE("https://cf.shopee.tw/file/tw-11134207-7ra0s-mbtmxfr9xkdede_tn")</f>
        <v/>
      </c>
      <c r="D1388" t="inlineStr">
        <is>
          <t>黑蝴蝶結(單殼),15 pro</t>
        </is>
      </c>
      <c r="E1388" t="inlineStr">
        <is>
          <t>285633392042</t>
        </is>
      </c>
      <c r="F1388">
        <f>IMAGE("https://cf.shopee.tw/file/tw-11134207-7ra0u-mbtmxfr9yyxuf2_tn")</f>
        <v/>
      </c>
    </row>
    <row r="1389">
      <c r="A1389" t="inlineStr">
        <is>
          <t>42457463402</t>
        </is>
      </c>
      <c r="B1389" t="inlineStr">
        <is>
          <t>隔日到貨🔥 iPhone 手機殼 17 16 15 14 13 12 11 XS XR SE 透明殼 保護殼 軟殼</t>
        </is>
      </c>
      <c r="C1389">
        <f>IMAGE("https://cf.shopee.tw/file/tw-11134207-7ra0s-mbtmxfr9xkdede_tn")</f>
        <v/>
      </c>
      <c r="D1389" t="inlineStr">
        <is>
          <t>黑蝴蝶結(單殼),15 pro Max</t>
        </is>
      </c>
      <c r="E1389" t="inlineStr">
        <is>
          <t>285633392043</t>
        </is>
      </c>
      <c r="F1389">
        <f>IMAGE("https://cf.shopee.tw/file/tw-11134207-7ra0u-mbtmxfr9yyxuf2_tn")</f>
        <v/>
      </c>
    </row>
    <row r="1390">
      <c r="A1390" t="inlineStr">
        <is>
          <t>42457463402</t>
        </is>
      </c>
      <c r="B1390" t="inlineStr">
        <is>
          <t>隔日到貨🔥 iPhone 手機殼 17 16 15 14 13 12 11 XS XR SE 透明殼 保護殼 軟殼</t>
        </is>
      </c>
      <c r="C1390">
        <f>IMAGE("https://cf.shopee.tw/file/tw-11134207-7ra0s-mbtmxfr9xkdede_tn")</f>
        <v/>
      </c>
      <c r="D1390" t="inlineStr">
        <is>
          <t>黑蝴蝶結(單殼),15 Plus</t>
        </is>
      </c>
      <c r="E1390" t="inlineStr">
        <is>
          <t>285633392044</t>
        </is>
      </c>
      <c r="F1390">
        <f>IMAGE("https://cf.shopee.tw/file/tw-11134207-7ra0u-mbtmxfr9yyxuf2_tn")</f>
        <v/>
      </c>
    </row>
    <row r="1391">
      <c r="A1391" t="inlineStr">
        <is>
          <t>42457463402</t>
        </is>
      </c>
      <c r="B1391" t="inlineStr">
        <is>
          <t>隔日到貨🔥 iPhone 手機殼 17 16 15 14 13 12 11 XS XR SE 透明殼 保護殼 軟殼</t>
        </is>
      </c>
      <c r="C1391">
        <f>IMAGE("https://cf.shopee.tw/file/tw-11134207-7ra0s-mbtmxfr9xkdede_tn")</f>
        <v/>
      </c>
      <c r="D1391" t="inlineStr">
        <is>
          <t>黑蝴蝶結(單殼),16</t>
        </is>
      </c>
      <c r="E1391" t="inlineStr">
        <is>
          <t>285633392045</t>
        </is>
      </c>
      <c r="F1391">
        <f>IMAGE("https://cf.shopee.tw/file/tw-11134207-7ra0u-mbtmxfr9yyxuf2_tn")</f>
        <v/>
      </c>
    </row>
    <row r="1392">
      <c r="A1392" t="inlineStr">
        <is>
          <t>42457463402</t>
        </is>
      </c>
      <c r="B1392" t="inlineStr">
        <is>
          <t>隔日到貨🔥 iPhone 手機殼 17 16 15 14 13 12 11 XS XR SE 透明殼 保護殼 軟殼</t>
        </is>
      </c>
      <c r="C1392">
        <f>IMAGE("https://cf.shopee.tw/file/tw-11134207-7ra0s-mbtmxfr9xkdede_tn")</f>
        <v/>
      </c>
      <c r="D1392" t="inlineStr">
        <is>
          <t>黑蝴蝶結(單殼),16 pro</t>
        </is>
      </c>
      <c r="E1392" t="inlineStr">
        <is>
          <t>285633392046</t>
        </is>
      </c>
      <c r="F1392">
        <f>IMAGE("https://cf.shopee.tw/file/tw-11134207-7ra0u-mbtmxfr9yyxuf2_tn")</f>
        <v/>
      </c>
    </row>
    <row r="1393">
      <c r="A1393" t="inlineStr">
        <is>
          <t>42457463402</t>
        </is>
      </c>
      <c r="B1393" t="inlineStr">
        <is>
          <t>隔日到貨🔥 iPhone 手機殼 17 16 15 14 13 12 11 XS XR SE 透明殼 保護殼 軟殼</t>
        </is>
      </c>
      <c r="C1393">
        <f>IMAGE("https://cf.shopee.tw/file/tw-11134207-7ra0s-mbtmxfr9xkdede_tn")</f>
        <v/>
      </c>
      <c r="D1393" t="inlineStr">
        <is>
          <t>黑蝴蝶結(單殼),16 pro Max</t>
        </is>
      </c>
      <c r="E1393" t="inlineStr">
        <is>
          <t>285633392047</t>
        </is>
      </c>
      <c r="F1393">
        <f>IMAGE("https://cf.shopee.tw/file/tw-11134207-7ra0u-mbtmxfr9yyxuf2_tn")</f>
        <v/>
      </c>
    </row>
    <row r="1394">
      <c r="A1394" t="inlineStr">
        <is>
          <t>42457463402</t>
        </is>
      </c>
      <c r="B1394" t="inlineStr">
        <is>
          <t>隔日到貨🔥 iPhone 手機殼 17 16 15 14 13 12 11 XS XR SE 透明殼 保護殼 軟殼</t>
        </is>
      </c>
      <c r="C1394">
        <f>IMAGE("https://cf.shopee.tw/file/tw-11134207-7ra0s-mbtmxfr9xkdede_tn")</f>
        <v/>
      </c>
      <c r="D1394" t="inlineStr">
        <is>
          <t>黑蝴蝶結(單殼),16 Plus</t>
        </is>
      </c>
      <c r="E1394" t="inlineStr">
        <is>
          <t>285633392048</t>
        </is>
      </c>
      <c r="F1394">
        <f>IMAGE("https://cf.shopee.tw/file/tw-11134207-7ra0u-mbtmxfr9yyxuf2_tn")</f>
        <v/>
      </c>
    </row>
    <row r="1395">
      <c r="A1395" t="inlineStr">
        <is>
          <t>42457463402</t>
        </is>
      </c>
      <c r="B1395" t="inlineStr">
        <is>
          <t>隔日到貨🔥 iPhone 手機殼 17 16 15 14 13 12 11 XS XR SE 透明殼 保護殼 軟殼</t>
        </is>
      </c>
      <c r="C1395">
        <f>IMAGE("https://cf.shopee.tw/file/tw-11134207-7ra0s-mbtmxfr9xkdede_tn")</f>
        <v/>
      </c>
      <c r="D1395" t="inlineStr">
        <is>
          <t>黑蝴蝶結(單殼),加購黑愛心掛繩</t>
        </is>
      </c>
      <c r="E1395" t="inlineStr">
        <is>
          <t>206162773389</t>
        </is>
      </c>
      <c r="F1395">
        <f>IMAGE("https://cf.shopee.tw/file/tw-11134207-7ra0u-mbtmxfr9yyxuf2_tn")</f>
        <v/>
      </c>
    </row>
    <row r="1396">
      <c r="A1396" t="inlineStr">
        <is>
          <t>42457463402</t>
        </is>
      </c>
      <c r="B1396" t="inlineStr">
        <is>
          <t>隔日到貨🔥 iPhone 手機殼 17 16 15 14 13 12 11 XS XR SE 透明殼 保護殼 軟殼</t>
        </is>
      </c>
      <c r="C1396">
        <f>IMAGE("https://cf.shopee.tw/file/tw-11134207-7ra0s-mbtmxfr9xkdede_tn")</f>
        <v/>
      </c>
      <c r="D1396" t="inlineStr">
        <is>
          <t>黑蝴蝶結(單殼),17</t>
        </is>
      </c>
      <c r="E1396" t="inlineStr">
        <is>
          <t>355295222173</t>
        </is>
      </c>
      <c r="F1396">
        <f>IMAGE("https://cf.shopee.tw/file/tw-11134207-7ra0u-mbtmxfr9yyxuf2_tn")</f>
        <v/>
      </c>
    </row>
    <row r="1397">
      <c r="A1397" t="inlineStr">
        <is>
          <t>42457463402</t>
        </is>
      </c>
      <c r="B1397" t="inlineStr">
        <is>
          <t>隔日到貨🔥 iPhone 手機殼 17 16 15 14 13 12 11 XS XR SE 透明殼 保護殼 軟殼</t>
        </is>
      </c>
      <c r="C1397">
        <f>IMAGE("https://cf.shopee.tw/file/tw-11134207-7ra0s-mbtmxfr9xkdede_tn")</f>
        <v/>
      </c>
      <c r="D1397" t="inlineStr">
        <is>
          <t>黑蝴蝶結(單殼),17 Pro</t>
        </is>
      </c>
      <c r="E1397" t="inlineStr">
        <is>
          <t>355295222174</t>
        </is>
      </c>
      <c r="F1397">
        <f>IMAGE("https://cf.shopee.tw/file/tw-11134207-7ra0u-mbtmxfr9yyxuf2_tn")</f>
        <v/>
      </c>
    </row>
    <row r="1398">
      <c r="A1398" t="inlineStr">
        <is>
          <t>42457463402</t>
        </is>
      </c>
      <c r="B1398" t="inlineStr">
        <is>
          <t>隔日到貨🔥 iPhone 手機殼 17 16 15 14 13 12 11 XS XR SE 透明殼 保護殼 軟殼</t>
        </is>
      </c>
      <c r="C1398">
        <f>IMAGE("https://cf.shopee.tw/file/tw-11134207-7ra0s-mbtmxfr9xkdede_tn")</f>
        <v/>
      </c>
      <c r="D1398" t="inlineStr">
        <is>
          <t>黑蝴蝶結(單殼),17 Pro Max</t>
        </is>
      </c>
      <c r="E1398" t="inlineStr">
        <is>
          <t>355295222175</t>
        </is>
      </c>
      <c r="F1398">
        <f>IMAGE("https://cf.shopee.tw/file/tw-11134207-7ra0u-mbtmxfr9yyxuf2_tn")</f>
        <v/>
      </c>
    </row>
    <row r="1399">
      <c r="A1399" t="inlineStr">
        <is>
          <t>20574633103</t>
        </is>
      </c>
      <c r="B1399" t="inlineStr">
        <is>
          <t>隔日到貨🔥 手機掛繩 手機吊繩 夾片掛片 可頸掛斜背防丟 彈力手掛繩 掛繩 手腕繩 手機掛繩 手機吊繩 手機吊飾</t>
        </is>
      </c>
      <c r="C1399">
        <f>IMAGE("https://cf.shopee.tw/file/tw-11134207-23020-u9ni6qfa52nv9d_tn")</f>
        <v/>
      </c>
      <c r="D1399" t="inlineStr">
        <is>
          <t>深灰色掛繩+透明夾片</t>
        </is>
      </c>
      <c r="E1399" t="inlineStr">
        <is>
          <t>193946937922</t>
        </is>
      </c>
      <c r="F1399">
        <f>IMAGE("https://cf.shopee.tw/file/tw-11134207-23020-ke19hg8e52nv23_tn")</f>
        <v/>
      </c>
    </row>
    <row r="1400">
      <c r="A1400" t="inlineStr">
        <is>
          <t>20574633103</t>
        </is>
      </c>
      <c r="B1400" t="inlineStr">
        <is>
          <t>隔日到貨🔥 手機掛繩 手機吊繩 夾片掛片 可頸掛斜背防丟 彈力手掛繩 掛繩 手腕繩 手機掛繩 手機吊繩 手機吊飾</t>
        </is>
      </c>
      <c r="C1400">
        <f>IMAGE("https://cf.shopee.tw/file/tw-11134207-23020-u9ni6qfa52nv9d_tn")</f>
        <v/>
      </c>
      <c r="D1400" t="inlineStr">
        <is>
          <t>藏藍色掛繩+透明夾片</t>
        </is>
      </c>
      <c r="E1400" t="inlineStr">
        <is>
          <t>193946937911</t>
        </is>
      </c>
      <c r="F1400">
        <f>IMAGE("https://cf.shopee.tw/file/tw-11134207-23020-9o5dt9ff52nvf6_tn")</f>
        <v/>
      </c>
    </row>
    <row r="1401">
      <c r="A1401" t="inlineStr">
        <is>
          <t>20574633103</t>
        </is>
      </c>
      <c r="B1401" t="inlineStr">
        <is>
          <t>隔日到貨🔥 手機掛繩 手機吊繩 夾片掛片 可頸掛斜背防丟 彈力手掛繩 掛繩 手腕繩 手機掛繩 手機吊繩 手機吊飾</t>
        </is>
      </c>
      <c r="C1401">
        <f>IMAGE("https://cf.shopee.tw/file/tw-11134207-23020-u9ni6qfa52nv9d_tn")</f>
        <v/>
      </c>
      <c r="D1401" t="inlineStr">
        <is>
          <t>經典黑掛繩+透明夾片</t>
        </is>
      </c>
      <c r="E1401" t="inlineStr">
        <is>
          <t>193946937923</t>
        </is>
      </c>
      <c r="F1401">
        <f>IMAGE("https://cf.shopee.tw/file/tw-11134207-23020-sswh9kjf52nv20_tn")</f>
        <v/>
      </c>
    </row>
    <row r="1402">
      <c r="A1402" t="inlineStr">
        <is>
          <t>20574633103</t>
        </is>
      </c>
      <c r="B1402" t="inlineStr">
        <is>
          <t>隔日到貨🔥 手機掛繩 手機吊繩 夾片掛片 可頸掛斜背防丟 彈力手掛繩 掛繩 手腕繩 手機掛繩 手機吊繩 手機吊飾</t>
        </is>
      </c>
      <c r="C1402">
        <f>IMAGE("https://cf.shopee.tw/file/tw-11134207-23020-u9ni6qfa52nv9d_tn")</f>
        <v/>
      </c>
      <c r="D1402" t="inlineStr">
        <is>
          <t>寶藍色掛繩+透明夾片</t>
        </is>
      </c>
      <c r="E1402" t="inlineStr">
        <is>
          <t>193946937924</t>
        </is>
      </c>
      <c r="F1402">
        <f>IMAGE("https://cf.shopee.tw/file/tw-11134207-23020-kah8c8mf52nve7_tn")</f>
        <v/>
      </c>
    </row>
    <row r="1403">
      <c r="A1403" t="inlineStr">
        <is>
          <t>20574633103</t>
        </is>
      </c>
      <c r="B1403" t="inlineStr">
        <is>
          <t>隔日到貨🔥 手機掛繩 手機吊繩 夾片掛片 可頸掛斜背防丟 彈力手掛繩 掛繩 手腕繩 手機掛繩 手機吊繩 手機吊飾</t>
        </is>
      </c>
      <c r="C1403">
        <f>IMAGE("https://cf.shopee.tw/file/tw-11134207-23020-u9ni6qfa52nv9d_tn")</f>
        <v/>
      </c>
      <c r="D1403" t="inlineStr">
        <is>
          <t>中國紅掛繩+透明夾片</t>
        </is>
      </c>
      <c r="E1403" t="inlineStr"/>
      <c r="F1403">
        <f>IMAGE("https://cf.shopee.tw/file/tw-11134207-23020-kiv8oarf52nvc3_tn")</f>
        <v/>
      </c>
    </row>
    <row r="1404">
      <c r="A1404" t="inlineStr">
        <is>
          <t>20574633103</t>
        </is>
      </c>
      <c r="B1404" t="inlineStr">
        <is>
          <t>隔日到貨🔥 手機掛繩 手機吊繩 夾片掛片 可頸掛斜背防丟 彈力手掛繩 掛繩 手腕繩 手機掛繩 手機吊繩 手機吊飾</t>
        </is>
      </c>
      <c r="C1404">
        <f>IMAGE("https://cf.shopee.tw/file/tw-11134207-23020-u9ni6qfa52nv9d_tn")</f>
        <v/>
      </c>
      <c r="D1404" t="inlineStr">
        <is>
          <t>酒紅色掛繩+透明夾片</t>
        </is>
      </c>
      <c r="E1404" t="inlineStr">
        <is>
          <t>193946937918</t>
        </is>
      </c>
      <c r="F1404">
        <f>IMAGE("https://cf.shopee.tw/file/tw-11134207-23020-kat92ouf52nv6a_tn")</f>
        <v/>
      </c>
    </row>
    <row r="1405">
      <c r="A1405" t="inlineStr">
        <is>
          <t>20574633103</t>
        </is>
      </c>
      <c r="B1405" t="inlineStr">
        <is>
          <t>隔日到貨🔥 手機掛繩 手機吊繩 夾片掛片 可頸掛斜背防丟 彈力手掛繩 掛繩 手腕繩 手機掛繩 手機吊繩 手機吊飾</t>
        </is>
      </c>
      <c r="C1405">
        <f>IMAGE("https://cf.shopee.tw/file/tw-11134207-23020-u9ni6qfa52nv9d_tn")</f>
        <v/>
      </c>
      <c r="D1405" t="inlineStr">
        <is>
          <t>紫色夾片</t>
        </is>
      </c>
      <c r="E1405" t="inlineStr">
        <is>
          <t>193946937919</t>
        </is>
      </c>
      <c r="F1405">
        <f>IMAGE("https://cf.shopee.tw/file/tw-11134207-23020-17kcmwuw52nv28_tn")</f>
        <v/>
      </c>
    </row>
    <row r="1406">
      <c r="A1406" t="inlineStr">
        <is>
          <t>20574633103</t>
        </is>
      </c>
      <c r="B1406" t="inlineStr">
        <is>
          <t>隔日到貨🔥 手機掛繩 手機吊繩 夾片掛片 可頸掛斜背防丟 彈力手掛繩 掛繩 手腕繩 手機掛繩 手機吊繩 手機吊飾</t>
        </is>
      </c>
      <c r="C1406">
        <f>IMAGE("https://cf.shopee.tw/file/tw-11134207-23020-u9ni6qfa52nv9d_tn")</f>
        <v/>
      </c>
      <c r="D1406" t="inlineStr">
        <is>
          <t>透明夾片</t>
        </is>
      </c>
      <c r="E1406" t="inlineStr">
        <is>
          <t>193946937920</t>
        </is>
      </c>
      <c r="F1406">
        <f>IMAGE("https://cf.shopee.tw/file/tw-11134207-23020-gf3vwmyw52nv5c_tn")</f>
        <v/>
      </c>
    </row>
    <row r="1407">
      <c r="A1407" t="inlineStr">
        <is>
          <t>20574633103</t>
        </is>
      </c>
      <c r="B1407" t="inlineStr">
        <is>
          <t>隔日到貨🔥 手機掛繩 手機吊繩 夾片掛片 可頸掛斜背防丟 彈力手掛繩 掛繩 手腕繩 手機掛繩 手機吊繩 手機吊飾</t>
        </is>
      </c>
      <c r="C1407">
        <f>IMAGE("https://cf.shopee.tw/file/tw-11134207-23020-u9ni6qfa52nv9d_tn")</f>
        <v/>
      </c>
      <c r="D1407" t="inlineStr">
        <is>
          <t>白色夾片</t>
        </is>
      </c>
      <c r="E1407" t="inlineStr">
        <is>
          <t>193946937912</t>
        </is>
      </c>
      <c r="F1407">
        <f>IMAGE("https://cf.shopee.tw/file/tw-11134207-23020-sgzzma2w52nvf5_tn")</f>
        <v/>
      </c>
    </row>
    <row r="1408">
      <c r="A1408" t="inlineStr">
        <is>
          <t>20574633103</t>
        </is>
      </c>
      <c r="B1408" t="inlineStr">
        <is>
          <t>隔日到貨🔥 手機掛繩 手機吊繩 夾片掛片 可頸掛斜背防丟 彈力手掛繩 掛繩 手腕繩 手機掛繩 手機吊繩 手機吊飾</t>
        </is>
      </c>
      <c r="C1408">
        <f>IMAGE("https://cf.shopee.tw/file/tw-11134207-23020-u9ni6qfa52nv9d_tn")</f>
        <v/>
      </c>
      <c r="D1408" t="inlineStr">
        <is>
          <t>黑色夾片</t>
        </is>
      </c>
      <c r="E1408" t="inlineStr">
        <is>
          <t>193946937916</t>
        </is>
      </c>
      <c r="F1408">
        <f>IMAGE("https://cf.shopee.tw/file/tw-11134207-23020-9wyug54w52nv50_tn")</f>
        <v/>
      </c>
    </row>
    <row r="1409">
      <c r="A1409" t="inlineStr">
        <is>
          <t>20574633103</t>
        </is>
      </c>
      <c r="B1409" t="inlineStr">
        <is>
          <t>隔日到貨🔥 手機掛繩 手機吊繩 夾片掛片 可頸掛斜背防丟 彈力手掛繩 掛繩 手腕繩 手機掛繩 手機吊繩 手機吊飾</t>
        </is>
      </c>
      <c r="C1409">
        <f>IMAGE("https://cf.shopee.tw/file/tw-11134207-23020-u9ni6qfa52nv9d_tn")</f>
        <v/>
      </c>
      <c r="D1409" t="inlineStr">
        <is>
          <t>橙色夾片</t>
        </is>
      </c>
      <c r="E1409" t="inlineStr"/>
      <c r="F1409">
        <f>IMAGE("https://cf.shopee.tw/file/tw-11134207-23020-s5hist0w52nvd5_tn")</f>
        <v/>
      </c>
    </row>
    <row r="1410">
      <c r="A1410" t="inlineStr">
        <is>
          <t>20574633103</t>
        </is>
      </c>
      <c r="B1410" t="inlineStr">
        <is>
          <t>隔日到貨🔥 手機掛繩 手機吊繩 夾片掛片 可頸掛斜背防丟 彈力手掛繩 掛繩 手腕繩 手機掛繩 手機吊繩 手機吊飾</t>
        </is>
      </c>
      <c r="C1410">
        <f>IMAGE("https://cf.shopee.tw/file/tw-11134207-23020-u9ni6qfa52nv9d_tn")</f>
        <v/>
      </c>
      <c r="D1410" t="inlineStr">
        <is>
          <t>酒紅夾片</t>
        </is>
      </c>
      <c r="E1410" t="inlineStr"/>
      <c r="F1410">
        <f>IMAGE("https://cf.shopee.tw/file/tw-11134207-23020-5d6bq87w52nv1b_tn")</f>
        <v/>
      </c>
    </row>
    <row r="1411">
      <c r="A1411" t="inlineStr">
        <is>
          <t>20574633103</t>
        </is>
      </c>
      <c r="B1411" t="inlineStr">
        <is>
          <t>隔日到貨🔥 手機掛繩 手機吊繩 夾片掛片 可頸掛斜背防丟 彈力手掛繩 掛繩 手腕繩 手機掛繩 手機吊繩 手機吊飾</t>
        </is>
      </c>
      <c r="C1411">
        <f>IMAGE("https://cf.shopee.tw/file/tw-11134207-23020-u9ni6qfa52nv9d_tn")</f>
        <v/>
      </c>
      <c r="D1411" t="inlineStr">
        <is>
          <t>墨綠夾片</t>
        </is>
      </c>
      <c r="E1411" t="inlineStr"/>
      <c r="F1411">
        <f>IMAGE("https://cf.shopee.tw/file/tw-11134207-23020-oh0okfcx52nv2e_tn")</f>
        <v/>
      </c>
    </row>
    <row r="1412">
      <c r="A1412" t="inlineStr">
        <is>
          <t>20574633103</t>
        </is>
      </c>
      <c r="B1412" t="inlineStr">
        <is>
          <t>隔日到貨🔥 手機掛繩 手機吊繩 夾片掛片 可頸掛斜背防丟 彈力手掛繩 掛繩 手腕繩 手機掛繩 手機吊繩 手機吊飾</t>
        </is>
      </c>
      <c r="C1412">
        <f>IMAGE("https://cf.shopee.tw/file/tw-11134207-23020-u9ni6qfa52nv9d_tn")</f>
        <v/>
      </c>
      <c r="D1412" t="inlineStr">
        <is>
          <t>藍色夾片</t>
        </is>
      </c>
      <c r="E1412" t="inlineStr">
        <is>
          <t>193946937913</t>
        </is>
      </c>
      <c r="F1412">
        <f>IMAGE("https://cf.shopee.tw/file/tw-11134207-23020-cc264ifx52nv9e_tn")</f>
        <v/>
      </c>
    </row>
    <row r="1413">
      <c r="A1413" t="inlineStr">
        <is>
          <t>20574633103</t>
        </is>
      </c>
      <c r="B1413" t="inlineStr">
        <is>
          <t>隔日到貨🔥 手機掛繩 手機吊繩 夾片掛片 可頸掛斜背防丟 彈力手掛繩 掛繩 手腕繩 手機掛繩 手機吊繩 手機吊飾</t>
        </is>
      </c>
      <c r="C1413">
        <f>IMAGE("https://cf.shopee.tw/file/tw-11134207-23020-u9ni6qfa52nv9d_tn")</f>
        <v/>
      </c>
      <c r="D1413" t="inlineStr">
        <is>
          <t>暖黃夾片</t>
        </is>
      </c>
      <c r="E1413" t="inlineStr"/>
      <c r="F1413">
        <f>IMAGE("https://cf.shopee.tw/file/tw-11134207-23020-17oj7zhx52nv0c_tn")</f>
        <v/>
      </c>
    </row>
    <row r="1414">
      <c r="A1414" t="inlineStr">
        <is>
          <t>23125468767</t>
        </is>
      </c>
      <c r="B1414" t="inlineStr">
        <is>
          <t>隔日到貨🔥 ins 日系刺繡後跟狗狗短襪 S25 女船襪 淺口襪 襪子 短襪 韓風 女襪 純色襪 棉襪 後跟止滑</t>
        </is>
      </c>
      <c r="C1414">
        <f>IMAGE("https://cf.shopee.tw/file/tw-11134207-23030-2c60pa8y2vov93_tn")</f>
        <v/>
      </c>
      <c r="D1414" t="inlineStr">
        <is>
          <t>米色</t>
        </is>
      </c>
      <c r="E1414" t="inlineStr">
        <is>
          <t>183884062617</t>
        </is>
      </c>
      <c r="F1414">
        <f>IMAGE("https://cf.shopee.tw/file/tw-11134207-23020-7lmjjk8fionv01_tn")</f>
        <v/>
      </c>
    </row>
    <row r="1415">
      <c r="A1415" t="inlineStr">
        <is>
          <t>23125468767</t>
        </is>
      </c>
      <c r="B1415" t="inlineStr">
        <is>
          <t>隔日到貨🔥 ins 日系刺繡後跟狗狗短襪 S25 女船襪 淺口襪 襪子 短襪 韓風 女襪 純色襪 棉襪 後跟止滑</t>
        </is>
      </c>
      <c r="C1415">
        <f>IMAGE("https://cf.shopee.tw/file/tw-11134207-23030-2c60pa8y2vov93_tn")</f>
        <v/>
      </c>
      <c r="D1415" t="inlineStr">
        <is>
          <t>草綠</t>
        </is>
      </c>
      <c r="E1415" t="inlineStr">
        <is>
          <t>183884062618</t>
        </is>
      </c>
      <c r="F1415">
        <f>IMAGE("https://cf.shopee.tw/file/tw-11134207-23020-uwq9x1cfionv43_tn")</f>
        <v/>
      </c>
    </row>
    <row r="1416">
      <c r="A1416" t="inlineStr">
        <is>
          <t>23125468767</t>
        </is>
      </c>
      <c r="B1416" t="inlineStr">
        <is>
          <t>隔日到貨🔥 ins 日系刺繡後跟狗狗短襪 S25 女船襪 淺口襪 襪子 短襪 韓風 女襪 純色襪 棉襪 後跟止滑</t>
        </is>
      </c>
      <c r="C1416">
        <f>IMAGE("https://cf.shopee.tw/file/tw-11134207-23030-2c60pa8y2vov93_tn")</f>
        <v/>
      </c>
      <c r="D1416" t="inlineStr">
        <is>
          <t>粉色</t>
        </is>
      </c>
      <c r="E1416" t="inlineStr">
        <is>
          <t>183884062619</t>
        </is>
      </c>
      <c r="F1416">
        <f>IMAGE("https://cf.shopee.tw/file/tw-11134207-23020-qxktp2ffionv7d_tn")</f>
        <v/>
      </c>
    </row>
    <row r="1417">
      <c r="A1417" t="inlineStr">
        <is>
          <t>23125468767</t>
        </is>
      </c>
      <c r="B1417" t="inlineStr">
        <is>
          <t>隔日到貨🔥 ins 日系刺繡後跟狗狗短襪 S25 女船襪 淺口襪 襪子 短襪 韓風 女襪 純色襪 棉襪 後跟止滑</t>
        </is>
      </c>
      <c r="C1417">
        <f>IMAGE("https://cf.shopee.tw/file/tw-11134207-23030-2c60pa8y2vov93_tn")</f>
        <v/>
      </c>
      <c r="D1417" t="inlineStr">
        <is>
          <t>深咖</t>
        </is>
      </c>
      <c r="E1417" t="inlineStr">
        <is>
          <t>183884062614</t>
        </is>
      </c>
      <c r="F1417">
        <f>IMAGE("https://cf.shopee.tw/file/tw-11134207-23020-3mw5hzjfionv4f_tn")</f>
        <v/>
      </c>
    </row>
    <row r="1418">
      <c r="A1418" t="inlineStr">
        <is>
          <t>23125468767</t>
        </is>
      </c>
      <c r="B1418" t="inlineStr">
        <is>
          <t>隔日到貨🔥 ins 日系刺繡後跟狗狗短襪 S25 女船襪 淺口襪 襪子 短襪 韓風 女襪 純色襪 棉襪 後跟止滑</t>
        </is>
      </c>
      <c r="C1418">
        <f>IMAGE("https://cf.shopee.tw/file/tw-11134207-23030-2c60pa8y2vov93_tn")</f>
        <v/>
      </c>
      <c r="D1418" t="inlineStr">
        <is>
          <t>藍色</t>
        </is>
      </c>
      <c r="E1418" t="inlineStr">
        <is>
          <t>183884062615</t>
        </is>
      </c>
      <c r="F1418">
        <f>IMAGE("https://cf.shopee.tw/file/tw-11134207-23020-qxsrxwmfionv7d_tn")</f>
        <v/>
      </c>
    </row>
    <row r="1419">
      <c r="A1419" t="inlineStr">
        <is>
          <t>23125468767</t>
        </is>
      </c>
      <c r="B1419" t="inlineStr">
        <is>
          <t>隔日到貨🔥 ins 日系刺繡後跟狗狗短襪 S25 女船襪 淺口襪 襪子 短襪 韓風 女襪 純色襪 棉襪 後跟止滑</t>
        </is>
      </c>
      <c r="C1419">
        <f>IMAGE("https://cf.shopee.tw/file/tw-11134207-23030-2c60pa8y2vov93_tn")</f>
        <v/>
      </c>
      <c r="D1419" t="inlineStr">
        <is>
          <t>薑黃</t>
        </is>
      </c>
      <c r="E1419" t="inlineStr">
        <is>
          <t>183884062616</t>
        </is>
      </c>
      <c r="F1419">
        <f>IMAGE("https://cf.shopee.tw/file/tw-11134207-23020-eo01g6pfionv18_tn")</f>
        <v/>
      </c>
    </row>
    <row r="1420">
      <c r="A1420" t="inlineStr">
        <is>
          <t>23125468767</t>
        </is>
      </c>
      <c r="B1420" t="inlineStr">
        <is>
          <t>隔日到貨🔥 ins 日系刺繡後跟狗狗短襪 S25 女船襪 淺口襪 襪子 短襪 韓風 女襪 純色襪 棉襪 後跟止滑</t>
        </is>
      </c>
      <c r="C1420">
        <f>IMAGE("https://cf.shopee.tw/file/tw-11134207-23030-2c60pa8y2vov93_tn")</f>
        <v/>
      </c>
      <c r="D1420" t="inlineStr">
        <is>
          <t>橘色</t>
        </is>
      </c>
      <c r="E1420" t="inlineStr">
        <is>
          <t>183884062620</t>
        </is>
      </c>
      <c r="F1420">
        <f>IMAGE("https://cf.shopee.tw/file/tw-11134207-23020-qlvx7xsfionv44_tn")</f>
        <v/>
      </c>
    </row>
    <row r="1421">
      <c r="A1421" t="inlineStr">
        <is>
          <t>23125468767</t>
        </is>
      </c>
      <c r="B1421" t="inlineStr">
        <is>
          <t>隔日到貨🔥 ins 日系刺繡後跟狗狗短襪 S25 女船襪 淺口襪 襪子 短襪 韓風 女襪 純色襪 棉襪 後跟止滑</t>
        </is>
      </c>
      <c r="C1421">
        <f>IMAGE("https://cf.shopee.tw/file/tw-11134207-23030-2c60pa8y2vov93_tn")</f>
        <v/>
      </c>
      <c r="D1421" t="inlineStr">
        <is>
          <t>卡其</t>
        </is>
      </c>
      <c r="E1421" t="inlineStr">
        <is>
          <t>183884062621</t>
        </is>
      </c>
      <c r="F1421">
        <f>IMAGE("https://cf.shopee.tw/file/tw-11134207-23020-y8xwzl5fionv97_tn")</f>
        <v/>
      </c>
    </row>
    <row r="1422">
      <c r="A1422" t="inlineStr">
        <is>
          <t>23125468767</t>
        </is>
      </c>
      <c r="B1422" t="inlineStr">
        <is>
          <t>隔日到貨🔥 ins 日系刺繡後跟狗狗短襪 S25 女船襪 淺口襪 襪子 短襪 韓風 女襪 純色襪 棉襪 後跟止滑</t>
        </is>
      </c>
      <c r="C1422">
        <f>IMAGE("https://cf.shopee.tw/file/tw-11134207-23030-2c60pa8y2vov93_tn")</f>
        <v/>
      </c>
      <c r="D1422" t="inlineStr">
        <is>
          <t>白色</t>
        </is>
      </c>
      <c r="E1422" t="inlineStr">
        <is>
          <t>183884062622</t>
        </is>
      </c>
      <c r="F1422">
        <f>IMAGE("https://cf.shopee.tw/file/tw-11134207-23020-ib3tlw2fionv5c_tn")</f>
        <v/>
      </c>
    </row>
    <row r="1423">
      <c r="A1423" t="inlineStr">
        <is>
          <t>23125468767</t>
        </is>
      </c>
      <c r="B1423" t="inlineStr">
        <is>
          <t>隔日到貨🔥 ins 日系刺繡後跟狗狗短襪 S25 女船襪 淺口襪 襪子 短襪 韓風 女襪 純色襪 棉襪 後跟止滑</t>
        </is>
      </c>
      <c r="C1423">
        <f>IMAGE("https://cf.shopee.tw/file/tw-11134207-23030-2c60pa8y2vov93_tn")</f>
        <v/>
      </c>
      <c r="D1423" t="inlineStr">
        <is>
          <t>黑色</t>
        </is>
      </c>
      <c r="E1423" t="inlineStr">
        <is>
          <t>183884062623</t>
        </is>
      </c>
      <c r="F1423">
        <f>IMAGE("https://cf.shopee.tw/file/tw-11134207-23020-3qbnd00fionveb_tn")</f>
        <v/>
      </c>
    </row>
    <row r="1424">
      <c r="A1424" t="inlineStr">
        <is>
          <t>14048507445</t>
        </is>
      </c>
      <c r="B1424" t="inlineStr">
        <is>
          <t>隔日到貨🔥 ins風 手機氣囊 素色 多功能指環扣 伸縮折疊 立體氣囊 手機架 適合各手機 氣囊 黏貼式 懶人氣囊</t>
        </is>
      </c>
      <c r="C1424">
        <f>IMAGE("https://cf.shopee.tw/file/8e4ff6385480f0899c77706da850dde7_tn")</f>
        <v/>
      </c>
      <c r="D1424" t="inlineStr">
        <is>
          <t>淺綠色</t>
        </is>
      </c>
      <c r="E1424" t="inlineStr">
        <is>
          <t>38315763709</t>
        </is>
      </c>
      <c r="F1424">
        <f>IMAGE("https://cf.shopee.tw/file/d88661591f6a81ee31821823b87c1f5f_tn")</f>
        <v/>
      </c>
    </row>
    <row r="1425">
      <c r="A1425" t="inlineStr">
        <is>
          <t>14048507445</t>
        </is>
      </c>
      <c r="B1425" t="inlineStr">
        <is>
          <t>隔日到貨🔥 ins風 手機氣囊 素色 多功能指環扣 伸縮折疊 立體氣囊 手機架 適合各手機 氣囊 黏貼式 懶人氣囊</t>
        </is>
      </c>
      <c r="C1425">
        <f>IMAGE("https://cf.shopee.tw/file/8e4ff6385480f0899c77706da850dde7_tn")</f>
        <v/>
      </c>
      <c r="D1425" t="inlineStr">
        <is>
          <t>海藍色</t>
        </is>
      </c>
      <c r="E1425" t="inlineStr">
        <is>
          <t>38315763715</t>
        </is>
      </c>
      <c r="F1425">
        <f>IMAGE("https://cf.shopee.tw/file/98f7f9840ee3472ec9c35e33169993e9_tn")</f>
        <v/>
      </c>
    </row>
    <row r="1426">
      <c r="A1426" t="inlineStr">
        <is>
          <t>14048507445</t>
        </is>
      </c>
      <c r="B1426" t="inlineStr">
        <is>
          <t>隔日到貨🔥 ins風 手機氣囊 素色 多功能指環扣 伸縮折疊 立體氣囊 手機架 適合各手機 氣囊 黏貼式 懶人氣囊</t>
        </is>
      </c>
      <c r="C1426">
        <f>IMAGE("https://cf.shopee.tw/file/8e4ff6385480f0899c77706da850dde7_tn")</f>
        <v/>
      </c>
      <c r="D1426" t="inlineStr">
        <is>
          <t>灰色</t>
        </is>
      </c>
      <c r="E1426" t="inlineStr">
        <is>
          <t>38315763710</t>
        </is>
      </c>
      <c r="F1426">
        <f>IMAGE("https://cf.shopee.tw/file/19b2e6db23bfd7f3f21730f17ca2081b_tn")</f>
        <v/>
      </c>
    </row>
    <row r="1427">
      <c r="A1427" t="inlineStr">
        <is>
          <t>14048507445</t>
        </is>
      </c>
      <c r="B1427" t="inlineStr">
        <is>
          <t>隔日到貨🔥 ins風 手機氣囊 素色 多功能指環扣 伸縮折疊 立體氣囊 手機架 適合各手機 氣囊 黏貼式 懶人氣囊</t>
        </is>
      </c>
      <c r="C1427">
        <f>IMAGE("https://cf.shopee.tw/file/8e4ff6385480f0899c77706da850dde7_tn")</f>
        <v/>
      </c>
      <c r="D1427" t="inlineStr">
        <is>
          <t>珊瑚色</t>
        </is>
      </c>
      <c r="E1427" t="inlineStr">
        <is>
          <t>38315763711</t>
        </is>
      </c>
      <c r="F1427">
        <f>IMAGE("https://cf.shopee.tw/file/80458326164f7c5422e5c5a9d242565b_tn")</f>
        <v/>
      </c>
    </row>
    <row r="1428">
      <c r="A1428" t="inlineStr">
        <is>
          <t>14048507445</t>
        </is>
      </c>
      <c r="B1428" t="inlineStr">
        <is>
          <t>隔日到貨🔥 ins風 手機氣囊 素色 多功能指環扣 伸縮折疊 立體氣囊 手機架 適合各手機 氣囊 黏貼式 懶人氣囊</t>
        </is>
      </c>
      <c r="C1428">
        <f>IMAGE("https://cf.shopee.tw/file/8e4ff6385480f0899c77706da850dde7_tn")</f>
        <v/>
      </c>
      <c r="D1428" t="inlineStr">
        <is>
          <t>白色</t>
        </is>
      </c>
      <c r="E1428" t="inlineStr">
        <is>
          <t>38315763712</t>
        </is>
      </c>
      <c r="F1428">
        <f>IMAGE("https://cf.shopee.tw/file/00881d3f9f242197e5c5ed4716edb804_tn")</f>
        <v/>
      </c>
    </row>
    <row r="1429">
      <c r="A1429" t="inlineStr">
        <is>
          <t>14048507445</t>
        </is>
      </c>
      <c r="B1429" t="inlineStr">
        <is>
          <t>隔日到貨🔥 ins風 手機氣囊 素色 多功能指環扣 伸縮折疊 立體氣囊 手機架 適合各手機 氣囊 黏貼式 懶人氣囊</t>
        </is>
      </c>
      <c r="C1429">
        <f>IMAGE("https://cf.shopee.tw/file/8e4ff6385480f0899c77706da850dde7_tn")</f>
        <v/>
      </c>
      <c r="D1429" t="inlineStr">
        <is>
          <t>薰衣草灰</t>
        </is>
      </c>
      <c r="E1429" t="inlineStr">
        <is>
          <t>38315763713</t>
        </is>
      </c>
      <c r="F1429">
        <f>IMAGE("https://cf.shopee.tw/file/454b2eca0737e6c8980d616cfbbf750a_tn")</f>
        <v/>
      </c>
    </row>
    <row r="1430">
      <c r="A1430" t="inlineStr">
        <is>
          <t>14048507445</t>
        </is>
      </c>
      <c r="B1430" t="inlineStr">
        <is>
          <t>隔日到貨🔥 ins風 手機氣囊 素色 多功能指環扣 伸縮折疊 立體氣囊 手機架 適合各手機 氣囊 黏貼式 懶人氣囊</t>
        </is>
      </c>
      <c r="C1430">
        <f>IMAGE("https://cf.shopee.tw/file/8e4ff6385480f0899c77706da850dde7_tn")</f>
        <v/>
      </c>
      <c r="D1430" t="inlineStr">
        <is>
          <t>暗夜綠</t>
        </is>
      </c>
      <c r="E1430" t="inlineStr">
        <is>
          <t>38315763714</t>
        </is>
      </c>
      <c r="F1430">
        <f>IMAGE("https://cf.shopee.tw/file/2c778721586d4f1537cbb137f5727f29_tn")</f>
        <v/>
      </c>
    </row>
    <row r="1431">
      <c r="A1431" t="inlineStr">
        <is>
          <t>14048507445</t>
        </is>
      </c>
      <c r="B1431" t="inlineStr">
        <is>
          <t>隔日到貨🔥 ins風 手機氣囊 素色 多功能指環扣 伸縮折疊 立體氣囊 手機架 適合各手機 氣囊 黏貼式 懶人氣囊</t>
        </is>
      </c>
      <c r="C1431">
        <f>IMAGE("https://cf.shopee.tw/file/8e4ff6385480f0899c77706da850dde7_tn")</f>
        <v/>
      </c>
      <c r="D1431" t="inlineStr">
        <is>
          <t>黑色</t>
        </is>
      </c>
      <c r="E1431" t="inlineStr">
        <is>
          <t>38315763707</t>
        </is>
      </c>
      <c r="F1431">
        <f>IMAGE("https://cf.shopee.tw/file/6ac42b2fd0fc503df489c5840afb3591_tn")</f>
        <v/>
      </c>
    </row>
    <row r="1432">
      <c r="A1432" t="inlineStr">
        <is>
          <t>14048507445</t>
        </is>
      </c>
      <c r="B1432" t="inlineStr">
        <is>
          <t>隔日到貨🔥 ins風 手機氣囊 素色 多功能指環扣 伸縮折疊 立體氣囊 手機架 適合各手機 氣囊 黏貼式 懶人氣囊</t>
        </is>
      </c>
      <c r="C1432">
        <f>IMAGE("https://cf.shopee.tw/file/8e4ff6385480f0899c77706da850dde7_tn")</f>
        <v/>
      </c>
      <c r="D1432" t="inlineStr">
        <is>
          <t>淺粉色</t>
        </is>
      </c>
      <c r="E1432" t="inlineStr">
        <is>
          <t>38315763708</t>
        </is>
      </c>
      <c r="F1432">
        <f>IMAGE("https://cf.shopee.tw/file/96f4c3cce6b1351a13674485c43801f3_tn")</f>
        <v/>
      </c>
    </row>
    <row r="1433">
      <c r="A1433" t="inlineStr">
        <is>
          <t>20373719873</t>
        </is>
      </c>
      <c r="B1433" t="inlineStr">
        <is>
          <t>隔日到貨🔥 韓版寬邊奶茶色系髮箍 髮飾 髮箍 頭飾 飾品 配件</t>
        </is>
      </c>
      <c r="C1433">
        <f>IMAGE("https://cf.shopee.tw/file/tw-11134207-23020-yv5xvo5mkonv51_tn")</f>
        <v/>
      </c>
      <c r="D1433" t="inlineStr">
        <is>
          <t>黑色</t>
        </is>
      </c>
      <c r="E1433" t="inlineStr">
        <is>
          <t>59258811613</t>
        </is>
      </c>
      <c r="F1433">
        <f>IMAGE("https://cf.shopee.tw/file/tw-11134207-23020-70cg6nspkonv0c_tn")</f>
        <v/>
      </c>
    </row>
    <row r="1434">
      <c r="A1434" t="inlineStr">
        <is>
          <t>20373719873</t>
        </is>
      </c>
      <c r="B1434" t="inlineStr">
        <is>
          <t>隔日到貨🔥 韓版寬邊奶茶色系髮箍 髮飾 髮箍 頭飾 飾品 配件</t>
        </is>
      </c>
      <c r="C1434">
        <f>IMAGE("https://cf.shopee.tw/file/tw-11134207-23020-yv5xvo5mkonv51_tn")</f>
        <v/>
      </c>
      <c r="D1434" t="inlineStr">
        <is>
          <t>米白色</t>
        </is>
      </c>
      <c r="E1434" t="inlineStr">
        <is>
          <t>59258811614</t>
        </is>
      </c>
      <c r="F1434">
        <f>IMAGE("https://cf.shopee.tw/file/tw-11134207-23020-mm24ymvpkonvf6_tn")</f>
        <v/>
      </c>
    </row>
    <row r="1435">
      <c r="A1435" t="inlineStr">
        <is>
          <t>20373719873</t>
        </is>
      </c>
      <c r="B1435" t="inlineStr">
        <is>
          <t>隔日到貨🔥 韓版寬邊奶茶色系髮箍 髮飾 髮箍 頭飾 飾品 配件</t>
        </is>
      </c>
      <c r="C1435">
        <f>IMAGE("https://cf.shopee.tw/file/tw-11134207-23020-yv5xvo5mkonv51_tn")</f>
        <v/>
      </c>
      <c r="D1435" t="inlineStr">
        <is>
          <t>奶茶色</t>
        </is>
      </c>
      <c r="E1435" t="inlineStr">
        <is>
          <t>59258811610</t>
        </is>
      </c>
      <c r="F1435">
        <f>IMAGE("https://cf.shopee.tw/file/tw-11134207-23020-3q8f0hzpkonv7a_tn")</f>
        <v/>
      </c>
    </row>
    <row r="1436">
      <c r="A1436" t="inlineStr">
        <is>
          <t>20373719873</t>
        </is>
      </c>
      <c r="B1436" t="inlineStr">
        <is>
          <t>隔日到貨🔥 韓版寬邊奶茶色系髮箍 髮飾 髮箍 頭飾 飾品 配件</t>
        </is>
      </c>
      <c r="C1436">
        <f>IMAGE("https://cf.shopee.tw/file/tw-11134207-23020-yv5xvo5mkonv51_tn")</f>
        <v/>
      </c>
      <c r="D1436" t="inlineStr">
        <is>
          <t>淺咖</t>
        </is>
      </c>
      <c r="E1436" t="inlineStr">
        <is>
          <t>59258811611</t>
        </is>
      </c>
      <c r="F1436">
        <f>IMAGE("https://cf.shopee.tw/file/tw-11134207-23020-e138er4pkonv26_tn")</f>
        <v/>
      </c>
    </row>
    <row r="1437">
      <c r="A1437" t="inlineStr">
        <is>
          <t>20373719873</t>
        </is>
      </c>
      <c r="B1437" t="inlineStr">
        <is>
          <t>隔日到貨🔥 韓版寬邊奶茶色系髮箍 髮飾 髮箍 頭飾 飾品 配件</t>
        </is>
      </c>
      <c r="C1437">
        <f>IMAGE("https://cf.shopee.tw/file/tw-11134207-23020-yv5xvo5mkonv51_tn")</f>
        <v/>
      </c>
      <c r="D1437" t="inlineStr">
        <is>
          <t>深咖</t>
        </is>
      </c>
      <c r="E1437" t="inlineStr">
        <is>
          <t>59258811612</t>
        </is>
      </c>
      <c r="F1437">
        <f>IMAGE("https://cf.shopee.tw/file/tw-11134207-23020-m3621z8pkonvf4_tn")</f>
        <v/>
      </c>
    </row>
    <row r="1438">
      <c r="A1438" t="inlineStr">
        <is>
          <t>20373719873</t>
        </is>
      </c>
      <c r="B1438" t="inlineStr">
        <is>
          <t>隔日到貨🔥 韓版寬邊奶茶色系髮箍 髮飾 髮箍 頭飾 飾品 配件</t>
        </is>
      </c>
      <c r="C1438">
        <f>IMAGE("https://cf.shopee.tw/file/tw-11134207-23020-yv5xvo5mkonv51_tn")</f>
        <v/>
      </c>
      <c r="D1438" t="inlineStr">
        <is>
          <t>粉色</t>
        </is>
      </c>
      <c r="E1438" t="inlineStr">
        <is>
          <t>79318265022</t>
        </is>
      </c>
      <c r="F1438">
        <f>IMAGE("https://cf.shopee.tw/file/tw-11134207-7qul6-li1mm8cprj666c_tn")</f>
        <v/>
      </c>
    </row>
    <row r="1439">
      <c r="A1439" t="inlineStr">
        <is>
          <t>20373719873</t>
        </is>
      </c>
      <c r="B1439" t="inlineStr">
        <is>
          <t>隔日到貨🔥 韓版寬邊奶茶色系髮箍 髮飾 髮箍 頭飾 飾品 配件</t>
        </is>
      </c>
      <c r="C1439">
        <f>IMAGE("https://cf.shopee.tw/file/tw-11134207-23020-yv5xvo5mkonv51_tn")</f>
        <v/>
      </c>
      <c r="D1439" t="inlineStr">
        <is>
          <t>藍色</t>
        </is>
      </c>
      <c r="E1439" t="inlineStr">
        <is>
          <t>79318265020</t>
        </is>
      </c>
      <c r="F1439">
        <f>IMAGE("https://cf.shopee.tw/file/tw-11134207-7qul2-li1mm8cpsxqmc7_tn")</f>
        <v/>
      </c>
    </row>
    <row r="1440">
      <c r="A1440" t="inlineStr">
        <is>
          <t>20373719873</t>
        </is>
      </c>
      <c r="B1440" t="inlineStr">
        <is>
          <t>隔日到貨🔥 韓版寬邊奶茶色系髮箍 髮飾 髮箍 頭飾 飾品 配件</t>
        </is>
      </c>
      <c r="C1440">
        <f>IMAGE("https://cf.shopee.tw/file/tw-11134207-23020-yv5xvo5mkonv51_tn")</f>
        <v/>
      </c>
      <c r="D1440" t="inlineStr">
        <is>
          <t>綠色</t>
        </is>
      </c>
      <c r="E1440" t="inlineStr"/>
      <c r="F1440">
        <f>IMAGE("https://cf.shopee.tw/file/tw-11134207-7qul0-li1mmead2vv273_tn")</f>
        <v/>
      </c>
    </row>
    <row r="1441">
      <c r="A1441" t="inlineStr">
        <is>
          <t>20373719873</t>
        </is>
      </c>
      <c r="B1441" t="inlineStr">
        <is>
          <t>隔日到貨🔥 韓版寬邊奶茶色系髮箍 髮飾 髮箍 頭飾 飾品 配件</t>
        </is>
      </c>
      <c r="C1441">
        <f>IMAGE("https://cf.shopee.tw/file/tw-11134207-23020-yv5xvo5mkonv51_tn")</f>
        <v/>
      </c>
      <c r="D1441" t="inlineStr">
        <is>
          <t>紫色</t>
        </is>
      </c>
      <c r="E1441" t="inlineStr">
        <is>
          <t>79318265021</t>
        </is>
      </c>
      <c r="F1441">
        <f>IMAGE("https://cf.shopee.tw/file/tw-11134207-7qukx-li1mmead4afiba_tn")</f>
        <v/>
      </c>
    </row>
    <row r="1442">
      <c r="A1442" t="inlineStr">
        <is>
          <t>22129349819</t>
        </is>
      </c>
      <c r="B1442" t="inlineStr">
        <is>
          <t>隔日到貨🔥 iPhone 手機殼 17 16 15 14 13 12 11 XS XR SE 保護殼 軟殼 手機殼 蘋果</t>
        </is>
      </c>
      <c r="C1442">
        <f>IMAGE("https://cf.shopee.tw/file/tw-11134207-23030-swjmapla29nv99_tn")</f>
        <v/>
      </c>
      <c r="D1442" t="inlineStr">
        <is>
          <t>黃碎花,11 pro Max</t>
        </is>
      </c>
      <c r="E1442" t="inlineStr"/>
      <c r="F1442">
        <f>IMAGE("https://cf.shopee.tw/file/tw-11134207-23030-50twrsuc29nv6f_tn")</f>
        <v/>
      </c>
    </row>
    <row r="1443">
      <c r="A1443" t="inlineStr">
        <is>
          <t>22129349819</t>
        </is>
      </c>
      <c r="B1443" t="inlineStr">
        <is>
          <t>隔日到貨🔥 iPhone 手機殼 17 16 15 14 13 12 11 XS XR SE 保護殼 軟殼 手機殼 蘋果</t>
        </is>
      </c>
      <c r="C1443">
        <f>IMAGE("https://cf.shopee.tw/file/tw-11134207-23030-swjmapla29nv99_tn")</f>
        <v/>
      </c>
      <c r="D1443" t="inlineStr">
        <is>
          <t>黃碎花,7/8/SE2/SE3</t>
        </is>
      </c>
      <c r="E1443" t="inlineStr"/>
      <c r="F1443">
        <f>IMAGE("https://cf.shopee.tw/file/tw-11134207-23030-50twrsuc29nv6f_tn")</f>
        <v/>
      </c>
    </row>
    <row r="1444">
      <c r="A1444" t="inlineStr">
        <is>
          <t>22129349819</t>
        </is>
      </c>
      <c r="B1444" t="inlineStr">
        <is>
          <t>隔日到貨🔥 iPhone 手機殼 17 16 15 14 13 12 11 XS XR SE 保護殼 軟殼 手機殼 蘋果</t>
        </is>
      </c>
      <c r="C1444">
        <f>IMAGE("https://cf.shopee.tw/file/tw-11134207-23030-swjmapla29nv99_tn")</f>
        <v/>
      </c>
      <c r="D1444" t="inlineStr">
        <is>
          <t>黃碎花,7Plus / 8Plus</t>
        </is>
      </c>
      <c r="E1444" t="inlineStr">
        <is>
          <t>231138522362</t>
        </is>
      </c>
      <c r="F1444">
        <f>IMAGE("https://cf.shopee.tw/file/tw-11134207-23030-50twrsuc29nv6f_tn")</f>
        <v/>
      </c>
    </row>
    <row r="1445">
      <c r="A1445" t="inlineStr">
        <is>
          <t>22129349819</t>
        </is>
      </c>
      <c r="B1445" t="inlineStr">
        <is>
          <t>隔日到貨🔥 iPhone 手機殼 17 16 15 14 13 12 11 XS XR SE 保護殼 軟殼 手機殼 蘋果</t>
        </is>
      </c>
      <c r="C1445">
        <f>IMAGE("https://cf.shopee.tw/file/tw-11134207-23030-swjmapla29nv99_tn")</f>
        <v/>
      </c>
      <c r="D1445" t="inlineStr">
        <is>
          <t>黃碎花,X/XS</t>
        </is>
      </c>
      <c r="E1445" t="inlineStr">
        <is>
          <t>231138522361</t>
        </is>
      </c>
      <c r="F1445">
        <f>IMAGE("https://cf.shopee.tw/file/tw-11134207-23030-50twrsuc29nv6f_tn")</f>
        <v/>
      </c>
    </row>
    <row r="1446">
      <c r="A1446" t="inlineStr">
        <is>
          <t>22129349819</t>
        </is>
      </c>
      <c r="B1446" t="inlineStr">
        <is>
          <t>隔日到貨🔥 iPhone 手機殼 17 16 15 14 13 12 11 XS XR SE 保護殼 軟殼 手機殼 蘋果</t>
        </is>
      </c>
      <c r="C1446">
        <f>IMAGE("https://cf.shopee.tw/file/tw-11134207-23030-swjmapla29nv99_tn")</f>
        <v/>
      </c>
      <c r="D1446" t="inlineStr">
        <is>
          <t>黃碎花,XR</t>
        </is>
      </c>
      <c r="E1446" t="inlineStr">
        <is>
          <t>231138522357</t>
        </is>
      </c>
      <c r="F1446">
        <f>IMAGE("https://cf.shopee.tw/file/tw-11134207-23030-50twrsuc29nv6f_tn")</f>
        <v/>
      </c>
    </row>
    <row r="1447">
      <c r="A1447" t="inlineStr">
        <is>
          <t>22129349819</t>
        </is>
      </c>
      <c r="B1447" t="inlineStr">
        <is>
          <t>隔日到貨🔥 iPhone 手機殼 17 16 15 14 13 12 11 XS XR SE 保護殼 軟殼 手機殼 蘋果</t>
        </is>
      </c>
      <c r="C1447">
        <f>IMAGE("https://cf.shopee.tw/file/tw-11134207-23030-swjmapla29nv99_tn")</f>
        <v/>
      </c>
      <c r="D1447" t="inlineStr">
        <is>
          <t>黃碎花,XS Max</t>
        </is>
      </c>
      <c r="E1447" t="inlineStr">
        <is>
          <t>231138522358</t>
        </is>
      </c>
      <c r="F1447">
        <f>IMAGE("https://cf.shopee.tw/file/tw-11134207-23030-50twrsuc29nv6f_tn")</f>
        <v/>
      </c>
    </row>
    <row r="1448">
      <c r="A1448" t="inlineStr">
        <is>
          <t>22129349819</t>
        </is>
      </c>
      <c r="B1448" t="inlineStr">
        <is>
          <t>隔日到貨🔥 iPhone 手機殼 17 16 15 14 13 12 11 XS XR SE 保護殼 軟殼 手機殼 蘋果</t>
        </is>
      </c>
      <c r="C1448">
        <f>IMAGE("https://cf.shopee.tw/file/tw-11134207-23030-swjmapla29nv99_tn")</f>
        <v/>
      </c>
      <c r="D1448" t="inlineStr">
        <is>
          <t>黃碎花,11</t>
        </is>
      </c>
      <c r="E1448" t="inlineStr">
        <is>
          <t>231138522352</t>
        </is>
      </c>
      <c r="F1448">
        <f>IMAGE("https://cf.shopee.tw/file/tw-11134207-23030-50twrsuc29nv6f_tn")</f>
        <v/>
      </c>
    </row>
    <row r="1449">
      <c r="A1449" t="inlineStr">
        <is>
          <t>22129349819</t>
        </is>
      </c>
      <c r="B1449" t="inlineStr">
        <is>
          <t>隔日到貨🔥 iPhone 手機殼 17 16 15 14 13 12 11 XS XR SE 保護殼 軟殼 手機殼 蘋果</t>
        </is>
      </c>
      <c r="C1449">
        <f>IMAGE("https://cf.shopee.tw/file/tw-11134207-23030-swjmapla29nv99_tn")</f>
        <v/>
      </c>
      <c r="D1449" t="inlineStr">
        <is>
          <t>黃碎花,11 pro</t>
        </is>
      </c>
      <c r="E1449" t="inlineStr">
        <is>
          <t>231138522359</t>
        </is>
      </c>
      <c r="F1449">
        <f>IMAGE("https://cf.shopee.tw/file/tw-11134207-23030-50twrsuc29nv6f_tn")</f>
        <v/>
      </c>
    </row>
    <row r="1450">
      <c r="A1450" t="inlineStr">
        <is>
          <t>22129349819</t>
        </is>
      </c>
      <c r="B1450" t="inlineStr">
        <is>
          <t>隔日到貨🔥 iPhone 手機殼 17 16 15 14 13 12 11 XS XR SE 保護殼 軟殼 手機殼 蘋果</t>
        </is>
      </c>
      <c r="C1450">
        <f>IMAGE("https://cf.shopee.tw/file/tw-11134207-23030-swjmapla29nv99_tn")</f>
        <v/>
      </c>
      <c r="D1450" t="inlineStr">
        <is>
          <t>黃碎花,12</t>
        </is>
      </c>
      <c r="E1450" t="inlineStr">
        <is>
          <t>231138522356</t>
        </is>
      </c>
      <c r="F1450">
        <f>IMAGE("https://cf.shopee.tw/file/tw-11134207-23030-50twrsuc29nv6f_tn")</f>
        <v/>
      </c>
    </row>
    <row r="1451">
      <c r="A1451" t="inlineStr">
        <is>
          <t>22129349819</t>
        </is>
      </c>
      <c r="B1451" t="inlineStr">
        <is>
          <t>隔日到貨🔥 iPhone 手機殼 17 16 15 14 13 12 11 XS XR SE 保護殼 軟殼 手機殼 蘋果</t>
        </is>
      </c>
      <c r="C1451">
        <f>IMAGE("https://cf.shopee.tw/file/tw-11134207-23030-swjmapla29nv99_tn")</f>
        <v/>
      </c>
      <c r="D1451" t="inlineStr">
        <is>
          <t>黃碎花,12 pro</t>
        </is>
      </c>
      <c r="E1451" t="inlineStr">
        <is>
          <t>231138522360</t>
        </is>
      </c>
      <c r="F1451">
        <f>IMAGE("https://cf.shopee.tw/file/tw-11134207-23030-50twrsuc29nv6f_tn")</f>
        <v/>
      </c>
    </row>
    <row r="1452">
      <c r="A1452" t="inlineStr">
        <is>
          <t>22129349819</t>
        </is>
      </c>
      <c r="B1452" t="inlineStr">
        <is>
          <t>隔日到貨🔥 iPhone 手機殼 17 16 15 14 13 12 11 XS XR SE 保護殼 軟殼 手機殼 蘋果</t>
        </is>
      </c>
      <c r="C1452">
        <f>IMAGE("https://cf.shopee.tw/file/tw-11134207-23030-swjmapla29nv99_tn")</f>
        <v/>
      </c>
      <c r="D1452" t="inlineStr">
        <is>
          <t>黃碎花,12 pro Max</t>
        </is>
      </c>
      <c r="E1452" t="inlineStr">
        <is>
          <t>231138522364</t>
        </is>
      </c>
      <c r="F1452">
        <f>IMAGE("https://cf.shopee.tw/file/tw-11134207-23030-50twrsuc29nv6f_tn")</f>
        <v/>
      </c>
    </row>
    <row r="1453">
      <c r="A1453" t="inlineStr">
        <is>
          <t>22129349819</t>
        </is>
      </c>
      <c r="B1453" t="inlineStr">
        <is>
          <t>隔日到貨🔥 iPhone 手機殼 17 16 15 14 13 12 11 XS XR SE 保護殼 軟殼 手機殼 蘋果</t>
        </is>
      </c>
      <c r="C1453">
        <f>IMAGE("https://cf.shopee.tw/file/tw-11134207-23030-swjmapla29nv99_tn")</f>
        <v/>
      </c>
      <c r="D1453" t="inlineStr">
        <is>
          <t>黃碎花,12 mini</t>
        </is>
      </c>
      <c r="E1453" t="inlineStr">
        <is>
          <t>226022687191</t>
        </is>
      </c>
      <c r="F1453">
        <f>IMAGE("https://cf.shopee.tw/file/tw-11134207-23030-50twrsuc29nv6f_tn")</f>
        <v/>
      </c>
    </row>
    <row r="1454">
      <c r="A1454" t="inlineStr">
        <is>
          <t>22129349819</t>
        </is>
      </c>
      <c r="B1454" t="inlineStr">
        <is>
          <t>隔日到貨🔥 iPhone 手機殼 17 16 15 14 13 12 11 XS XR SE 保護殼 軟殼 手機殼 蘋果</t>
        </is>
      </c>
      <c r="C1454">
        <f>IMAGE("https://cf.shopee.tw/file/tw-11134207-23030-swjmapla29nv99_tn")</f>
        <v/>
      </c>
      <c r="D1454" t="inlineStr">
        <is>
          <t>黃碎花,13</t>
        </is>
      </c>
      <c r="E1454" t="inlineStr">
        <is>
          <t>231138522353</t>
        </is>
      </c>
      <c r="F1454">
        <f>IMAGE("https://cf.shopee.tw/file/tw-11134207-23030-50twrsuc29nv6f_tn")</f>
        <v/>
      </c>
    </row>
    <row r="1455">
      <c r="A1455" t="inlineStr">
        <is>
          <t>22129349819</t>
        </is>
      </c>
      <c r="B1455" t="inlineStr">
        <is>
          <t>隔日到貨🔥 iPhone 手機殼 17 16 15 14 13 12 11 XS XR SE 保護殼 軟殼 手機殼 蘋果</t>
        </is>
      </c>
      <c r="C1455">
        <f>IMAGE("https://cf.shopee.tw/file/tw-11134207-23030-swjmapla29nv99_tn")</f>
        <v/>
      </c>
      <c r="D1455" t="inlineStr">
        <is>
          <t>黃碎花,13 pro</t>
        </is>
      </c>
      <c r="E1455" t="inlineStr">
        <is>
          <t>231138522349</t>
        </is>
      </c>
      <c r="F1455">
        <f>IMAGE("https://cf.shopee.tw/file/tw-11134207-23030-50twrsuc29nv6f_tn")</f>
        <v/>
      </c>
    </row>
    <row r="1456">
      <c r="A1456" t="inlineStr">
        <is>
          <t>22129349819</t>
        </is>
      </c>
      <c r="B1456" t="inlineStr">
        <is>
          <t>隔日到貨🔥 iPhone 手機殼 17 16 15 14 13 12 11 XS XR SE 保護殼 軟殼 手機殼 蘋果</t>
        </is>
      </c>
      <c r="C1456">
        <f>IMAGE("https://cf.shopee.tw/file/tw-11134207-23030-swjmapla29nv99_tn")</f>
        <v/>
      </c>
      <c r="D1456" t="inlineStr">
        <is>
          <t>黃碎花,13 pro Max</t>
        </is>
      </c>
      <c r="E1456" t="inlineStr">
        <is>
          <t>231138522350</t>
        </is>
      </c>
      <c r="F1456">
        <f>IMAGE("https://cf.shopee.tw/file/tw-11134207-23030-50twrsuc29nv6f_tn")</f>
        <v/>
      </c>
    </row>
    <row r="1457">
      <c r="A1457" t="inlineStr">
        <is>
          <t>22129349819</t>
        </is>
      </c>
      <c r="B1457" t="inlineStr">
        <is>
          <t>隔日到貨🔥 iPhone 手機殼 17 16 15 14 13 12 11 XS XR SE 保護殼 軟殼 手機殼 蘋果</t>
        </is>
      </c>
      <c r="C1457">
        <f>IMAGE("https://cf.shopee.tw/file/tw-11134207-23030-swjmapla29nv99_tn")</f>
        <v/>
      </c>
      <c r="D1457" t="inlineStr">
        <is>
          <t>黃碎花,13 mini</t>
        </is>
      </c>
      <c r="E1457" t="inlineStr">
        <is>
          <t>221537613506</t>
        </is>
      </c>
      <c r="F1457">
        <f>IMAGE("https://cf.shopee.tw/file/tw-11134207-23030-50twrsuc29nv6f_tn")</f>
        <v/>
      </c>
    </row>
    <row r="1458">
      <c r="A1458" t="inlineStr">
        <is>
          <t>22129349819</t>
        </is>
      </c>
      <c r="B1458" t="inlineStr">
        <is>
          <t>隔日到貨🔥 iPhone 手機殼 17 16 15 14 13 12 11 XS XR SE 保護殼 軟殼 手機殼 蘋果</t>
        </is>
      </c>
      <c r="C1458">
        <f>IMAGE("https://cf.shopee.tw/file/tw-11134207-23030-swjmapla29nv99_tn")</f>
        <v/>
      </c>
      <c r="D1458" t="inlineStr">
        <is>
          <t>黃碎花,14</t>
        </is>
      </c>
      <c r="E1458" t="inlineStr">
        <is>
          <t>231138522354</t>
        </is>
      </c>
      <c r="F1458">
        <f>IMAGE("https://cf.shopee.tw/file/tw-11134207-23030-50twrsuc29nv6f_tn")</f>
        <v/>
      </c>
    </row>
    <row r="1459">
      <c r="A1459" t="inlineStr">
        <is>
          <t>22129349819</t>
        </is>
      </c>
      <c r="B1459" t="inlineStr">
        <is>
          <t>隔日到貨🔥 iPhone 手機殼 17 16 15 14 13 12 11 XS XR SE 保護殼 軟殼 手機殼 蘋果</t>
        </is>
      </c>
      <c r="C1459">
        <f>IMAGE("https://cf.shopee.tw/file/tw-11134207-23030-swjmapla29nv99_tn")</f>
        <v/>
      </c>
      <c r="D1459" t="inlineStr">
        <is>
          <t>黃碎花,14 pro</t>
        </is>
      </c>
      <c r="E1459" t="inlineStr">
        <is>
          <t>231138522351</t>
        </is>
      </c>
      <c r="F1459">
        <f>IMAGE("https://cf.shopee.tw/file/tw-11134207-23030-50twrsuc29nv6f_tn")</f>
        <v/>
      </c>
    </row>
    <row r="1460">
      <c r="A1460" t="inlineStr">
        <is>
          <t>22129349819</t>
        </is>
      </c>
      <c r="B1460" t="inlineStr">
        <is>
          <t>隔日到貨🔥 iPhone 手機殼 17 16 15 14 13 12 11 XS XR SE 保護殼 軟殼 手機殼 蘋果</t>
        </is>
      </c>
      <c r="C1460">
        <f>IMAGE("https://cf.shopee.tw/file/tw-11134207-23030-swjmapla29nv99_tn")</f>
        <v/>
      </c>
      <c r="D1460" t="inlineStr">
        <is>
          <t>黃碎花,14 pro Max</t>
        </is>
      </c>
      <c r="E1460" t="inlineStr">
        <is>
          <t>231138522355</t>
        </is>
      </c>
      <c r="F1460">
        <f>IMAGE("https://cf.shopee.tw/file/tw-11134207-23030-50twrsuc29nv6f_tn")</f>
        <v/>
      </c>
    </row>
    <row r="1461">
      <c r="A1461" t="inlineStr">
        <is>
          <t>22129349819</t>
        </is>
      </c>
      <c r="B1461" t="inlineStr">
        <is>
          <t>隔日到貨🔥 iPhone 手機殼 17 16 15 14 13 12 11 XS XR SE 保護殼 軟殼 手機殼 蘋果</t>
        </is>
      </c>
      <c r="C1461">
        <f>IMAGE("https://cf.shopee.tw/file/tw-11134207-23030-swjmapla29nv99_tn")</f>
        <v/>
      </c>
      <c r="D1461" t="inlineStr">
        <is>
          <t>黃碎花,14 Plus</t>
        </is>
      </c>
      <c r="E1461" t="inlineStr">
        <is>
          <t>231138522365</t>
        </is>
      </c>
      <c r="F1461">
        <f>IMAGE("https://cf.shopee.tw/file/tw-11134207-23030-50twrsuc29nv6f_tn")</f>
        <v/>
      </c>
    </row>
    <row r="1462">
      <c r="A1462" t="inlineStr">
        <is>
          <t>22129349819</t>
        </is>
      </c>
      <c r="B1462" t="inlineStr">
        <is>
          <t>隔日到貨🔥 iPhone 手機殼 17 16 15 14 13 12 11 XS XR SE 保護殼 軟殼 手機殼 蘋果</t>
        </is>
      </c>
      <c r="C1462">
        <f>IMAGE("https://cf.shopee.tw/file/tw-11134207-23030-swjmapla29nv99_tn")</f>
        <v/>
      </c>
      <c r="D1462" t="inlineStr">
        <is>
          <t>黃碎花,15</t>
        </is>
      </c>
      <c r="E1462" t="inlineStr">
        <is>
          <t>197035276498</t>
        </is>
      </c>
      <c r="F1462">
        <f>IMAGE("https://cf.shopee.tw/file/tw-11134207-23030-50twrsuc29nv6f_tn")</f>
        <v/>
      </c>
    </row>
    <row r="1463">
      <c r="A1463" t="inlineStr">
        <is>
          <t>22129349819</t>
        </is>
      </c>
      <c r="B1463" t="inlineStr">
        <is>
          <t>隔日到貨🔥 iPhone 手機殼 17 16 15 14 13 12 11 XS XR SE 保護殼 軟殼 手機殼 蘋果</t>
        </is>
      </c>
      <c r="C1463">
        <f>IMAGE("https://cf.shopee.tw/file/tw-11134207-23030-swjmapla29nv99_tn")</f>
        <v/>
      </c>
      <c r="D1463" t="inlineStr">
        <is>
          <t>黃碎花,15 pro</t>
        </is>
      </c>
      <c r="E1463" t="inlineStr">
        <is>
          <t>197035276497</t>
        </is>
      </c>
      <c r="F1463">
        <f>IMAGE("https://cf.shopee.tw/file/tw-11134207-23030-50twrsuc29nv6f_tn")</f>
        <v/>
      </c>
    </row>
    <row r="1464">
      <c r="A1464" t="inlineStr">
        <is>
          <t>22129349819</t>
        </is>
      </c>
      <c r="B1464" t="inlineStr">
        <is>
          <t>隔日到貨🔥 iPhone 手機殼 17 16 15 14 13 12 11 XS XR SE 保護殼 軟殼 手機殼 蘋果</t>
        </is>
      </c>
      <c r="C1464">
        <f>IMAGE("https://cf.shopee.tw/file/tw-11134207-23030-swjmapla29nv99_tn")</f>
        <v/>
      </c>
      <c r="D1464" t="inlineStr">
        <is>
          <t>黃碎花,15 pro Max</t>
        </is>
      </c>
      <c r="E1464" t="inlineStr">
        <is>
          <t>197035276499</t>
        </is>
      </c>
      <c r="F1464">
        <f>IMAGE("https://cf.shopee.tw/file/tw-11134207-23030-50twrsuc29nv6f_tn")</f>
        <v/>
      </c>
    </row>
    <row r="1465">
      <c r="A1465" t="inlineStr">
        <is>
          <t>22129349819</t>
        </is>
      </c>
      <c r="B1465" t="inlineStr">
        <is>
          <t>隔日到貨🔥 iPhone 手機殼 17 16 15 14 13 12 11 XS XR SE 保護殼 軟殼 手機殼 蘋果</t>
        </is>
      </c>
      <c r="C1465">
        <f>IMAGE("https://cf.shopee.tw/file/tw-11134207-23030-swjmapla29nv99_tn")</f>
        <v/>
      </c>
      <c r="D1465" t="inlineStr">
        <is>
          <t>黃碎花,15 Plus</t>
        </is>
      </c>
      <c r="E1465" t="inlineStr"/>
      <c r="F1465">
        <f>IMAGE("https://cf.shopee.tw/file/tw-11134207-23030-50twrsuc29nv6f_tn")</f>
        <v/>
      </c>
    </row>
    <row r="1466">
      <c r="A1466" t="inlineStr">
        <is>
          <t>22129349819</t>
        </is>
      </c>
      <c r="B1466" t="inlineStr">
        <is>
          <t>隔日到貨🔥 iPhone 手機殼 17 16 15 14 13 12 11 XS XR SE 保護殼 軟殼 手機殼 蘋果</t>
        </is>
      </c>
      <c r="C1466">
        <f>IMAGE("https://cf.shopee.tw/file/tw-11134207-23030-swjmapla29nv99_tn")</f>
        <v/>
      </c>
      <c r="D1466" t="inlineStr">
        <is>
          <t>黃碎花,16</t>
        </is>
      </c>
      <c r="E1466" t="inlineStr">
        <is>
          <t>233234662675</t>
        </is>
      </c>
      <c r="F1466">
        <f>IMAGE("https://cf.shopee.tw/file/tw-11134207-23030-50twrsuc29nv6f_tn")</f>
        <v/>
      </c>
    </row>
    <row r="1467">
      <c r="A1467" t="inlineStr">
        <is>
          <t>22129349819</t>
        </is>
      </c>
      <c r="B1467" t="inlineStr">
        <is>
          <t>隔日到貨🔥 iPhone 手機殼 17 16 15 14 13 12 11 XS XR SE 保護殼 軟殼 手機殼 蘋果</t>
        </is>
      </c>
      <c r="C1467">
        <f>IMAGE("https://cf.shopee.tw/file/tw-11134207-23030-swjmapla29nv99_tn")</f>
        <v/>
      </c>
      <c r="D1467" t="inlineStr">
        <is>
          <t>黃碎花,16 pro</t>
        </is>
      </c>
      <c r="E1467" t="inlineStr">
        <is>
          <t>233234662676</t>
        </is>
      </c>
      <c r="F1467">
        <f>IMAGE("https://cf.shopee.tw/file/tw-11134207-23030-50twrsuc29nv6f_tn")</f>
        <v/>
      </c>
    </row>
    <row r="1468">
      <c r="A1468" t="inlineStr">
        <is>
          <t>22129349819</t>
        </is>
      </c>
      <c r="B1468" t="inlineStr">
        <is>
          <t>隔日到貨🔥 iPhone 手機殼 17 16 15 14 13 12 11 XS XR SE 保護殼 軟殼 手機殼 蘋果</t>
        </is>
      </c>
      <c r="C1468">
        <f>IMAGE("https://cf.shopee.tw/file/tw-11134207-23030-swjmapla29nv99_tn")</f>
        <v/>
      </c>
      <c r="D1468" t="inlineStr">
        <is>
          <t>黃碎花,16 pro Max</t>
        </is>
      </c>
      <c r="E1468" t="inlineStr">
        <is>
          <t>233234662677</t>
        </is>
      </c>
      <c r="F1468">
        <f>IMAGE("https://cf.shopee.tw/file/tw-11134207-23030-50twrsuc29nv6f_tn")</f>
        <v/>
      </c>
    </row>
    <row r="1469">
      <c r="A1469" t="inlineStr">
        <is>
          <t>22129349819</t>
        </is>
      </c>
      <c r="B1469" t="inlineStr">
        <is>
          <t>隔日到貨🔥 iPhone 手機殼 17 16 15 14 13 12 11 XS XR SE 保護殼 軟殼 手機殼 蘋果</t>
        </is>
      </c>
      <c r="C1469">
        <f>IMAGE("https://cf.shopee.tw/file/tw-11134207-23030-swjmapla29nv99_tn")</f>
        <v/>
      </c>
      <c r="D1469" t="inlineStr">
        <is>
          <t>黃碎花,16 Plus</t>
        </is>
      </c>
      <c r="E1469" t="inlineStr">
        <is>
          <t>233234662678</t>
        </is>
      </c>
      <c r="F1469">
        <f>IMAGE("https://cf.shopee.tw/file/tw-11134207-23030-50twrsuc29nv6f_tn")</f>
        <v/>
      </c>
    </row>
    <row r="1470">
      <c r="A1470" t="inlineStr">
        <is>
          <t>22129349819</t>
        </is>
      </c>
      <c r="B1470" t="inlineStr">
        <is>
          <t>隔日到貨🔥 iPhone 手機殼 17 16 15 14 13 12 11 XS XR SE 保護殼 軟殼 手機殼 蘋果</t>
        </is>
      </c>
      <c r="C1470">
        <f>IMAGE("https://cf.shopee.tw/file/tw-11134207-23030-swjmapla29nv99_tn")</f>
        <v/>
      </c>
      <c r="D1470" t="inlineStr">
        <is>
          <t>黃碎花,17</t>
        </is>
      </c>
      <c r="E1470" t="inlineStr">
        <is>
          <t>206314431366</t>
        </is>
      </c>
      <c r="F1470">
        <f>IMAGE("https://cf.shopee.tw/file/tw-11134207-23030-50twrsuc29nv6f_tn")</f>
        <v/>
      </c>
    </row>
    <row r="1471">
      <c r="A1471" t="inlineStr">
        <is>
          <t>22129349819</t>
        </is>
      </c>
      <c r="B1471" t="inlineStr">
        <is>
          <t>隔日到貨🔥 iPhone 手機殼 17 16 15 14 13 12 11 XS XR SE 保護殼 軟殼 手機殼 蘋果</t>
        </is>
      </c>
      <c r="C1471">
        <f>IMAGE("https://cf.shopee.tw/file/tw-11134207-23030-swjmapla29nv99_tn")</f>
        <v/>
      </c>
      <c r="D1471" t="inlineStr">
        <is>
          <t>黃碎花,17 pro</t>
        </is>
      </c>
      <c r="E1471" t="inlineStr">
        <is>
          <t>206314431367</t>
        </is>
      </c>
      <c r="F1471">
        <f>IMAGE("https://cf.shopee.tw/file/tw-11134207-23030-50twrsuc29nv6f_tn")</f>
        <v/>
      </c>
    </row>
    <row r="1472">
      <c r="A1472" t="inlineStr">
        <is>
          <t>22129349819</t>
        </is>
      </c>
      <c r="B1472" t="inlineStr">
        <is>
          <t>隔日到貨🔥 iPhone 手機殼 17 16 15 14 13 12 11 XS XR SE 保護殼 軟殼 手機殼 蘋果</t>
        </is>
      </c>
      <c r="C1472">
        <f>IMAGE("https://cf.shopee.tw/file/tw-11134207-23030-swjmapla29nv99_tn")</f>
        <v/>
      </c>
      <c r="D1472" t="inlineStr">
        <is>
          <t>黃碎花,17 pro Max</t>
        </is>
      </c>
      <c r="E1472" t="inlineStr">
        <is>
          <t>206314431368</t>
        </is>
      </c>
      <c r="F1472">
        <f>IMAGE("https://cf.shopee.tw/file/tw-11134207-23030-50twrsuc29nv6f_tn")</f>
        <v/>
      </c>
    </row>
    <row r="1473">
      <c r="A1473" t="inlineStr">
        <is>
          <t>22129349819</t>
        </is>
      </c>
      <c r="B1473" t="inlineStr">
        <is>
          <t>隔日到貨🔥 iPhone 手機殼 17 16 15 14 13 12 11 XS XR SE 保護殼 軟殼 手機殼 蘋果</t>
        </is>
      </c>
      <c r="C1473">
        <f>IMAGE("https://cf.shopee.tw/file/tw-11134207-23030-swjmapla29nv99_tn")</f>
        <v/>
      </c>
      <c r="D1473" t="inlineStr">
        <is>
          <t>黃碎花,17 Air</t>
        </is>
      </c>
      <c r="E1473" t="inlineStr">
        <is>
          <t>206314431369</t>
        </is>
      </c>
      <c r="F1473">
        <f>IMAGE("https://cf.shopee.tw/file/tw-11134207-23030-50twrsuc29nv6f_tn")</f>
        <v/>
      </c>
    </row>
    <row r="1474">
      <c r="A1474" t="inlineStr">
        <is>
          <t>24530967554</t>
        </is>
      </c>
      <c r="B1474" t="inlineStr">
        <is>
          <t>隔日到貨🔥 ins韓風 手機殼吊飾 Airpods殼吊飾 手機殼掛飾 手機掛件 掛飾 手機吊飾 手機掛繩 掛繩</t>
        </is>
      </c>
      <c r="C1474">
        <f>IMAGE("https://cf.shopee.tw/file/tw-11134207-7r98r-lvhammu2eym12e_tn")</f>
        <v/>
      </c>
      <c r="D1474" t="inlineStr">
        <is>
          <t>小卡手提袋</t>
        </is>
      </c>
      <c r="E1474" t="inlineStr"/>
      <c r="F1474">
        <f>IMAGE("https://cf.shopee.tw/file/tw-11134207-7r98t-lvhb955knejy0b_tn")</f>
        <v/>
      </c>
    </row>
    <row r="1475">
      <c r="A1475" t="inlineStr">
        <is>
          <t>24530967554</t>
        </is>
      </c>
      <c r="B1475" t="inlineStr">
        <is>
          <t>隔日到貨🔥 ins韓風 手機殼吊飾 Airpods殼吊飾 手機殼掛飾 手機掛件 掛飾 手機吊飾 手機掛繩 掛繩</t>
        </is>
      </c>
      <c r="C1475">
        <f>IMAGE("https://cf.shopee.tw/file/tw-11134207-7r98r-lvhammu2eym12e_tn")</f>
        <v/>
      </c>
      <c r="D1475" t="inlineStr">
        <is>
          <t>可愛筆畫壓克力 - YSK0857</t>
        </is>
      </c>
      <c r="E1475" t="inlineStr">
        <is>
          <t>119167494895</t>
        </is>
      </c>
      <c r="F1475">
        <f>IMAGE("https://cf.shopee.tw/file/tw-11134207-7r98t-lvhammu2kkvtf3_tn")</f>
        <v/>
      </c>
    </row>
    <row r="1476">
      <c r="A1476" t="inlineStr">
        <is>
          <t>24530967554</t>
        </is>
      </c>
      <c r="B1476" t="inlineStr">
        <is>
          <t>隔日到貨🔥 ins韓風 手機殼吊飾 Airpods殼吊飾 手機殼掛飾 手機掛件 掛飾 手機吊飾 手機掛繩 掛繩</t>
        </is>
      </c>
      <c r="C1476">
        <f>IMAGE("https://cf.shopee.tw/file/tw-11134207-7r98r-lvhammu2eym12e_tn")</f>
        <v/>
      </c>
      <c r="D1476" t="inlineStr">
        <is>
          <t>可愛筆畫壓克力 - YSK0854</t>
        </is>
      </c>
      <c r="E1476" t="inlineStr">
        <is>
          <t>119167494896</t>
        </is>
      </c>
      <c r="F1476">
        <f>IMAGE("https://cf.shopee.tw/file/tw-11134207-7r98x-lvhammu46661ac_tn")</f>
        <v/>
      </c>
    </row>
    <row r="1477">
      <c r="A1477" t="inlineStr">
        <is>
          <t>24530967554</t>
        </is>
      </c>
      <c r="B1477" t="inlineStr">
        <is>
          <t>隔日到貨🔥 ins韓風 手機殼吊飾 Airpods殼吊飾 手機殼掛飾 手機掛件 掛飾 手機吊飾 手機掛繩 掛繩</t>
        </is>
      </c>
      <c r="C1477">
        <f>IMAGE("https://cf.shopee.tw/file/tw-11134207-7r98r-lvhammu2eym12e_tn")</f>
        <v/>
      </c>
      <c r="D1477" t="inlineStr">
        <is>
          <t>可愛筆畫壓克力 - YSK0853</t>
        </is>
      </c>
      <c r="E1477" t="inlineStr">
        <is>
          <t>119167494897</t>
        </is>
      </c>
      <c r="F1477">
        <f>IMAGE("https://cf.shopee.tw/file/tw-11134207-7r98z-lvhammu3qpx543_tn")</f>
        <v/>
      </c>
    </row>
    <row r="1478">
      <c r="A1478" t="inlineStr">
        <is>
          <t>24530967554</t>
        </is>
      </c>
      <c r="B1478" t="inlineStr">
        <is>
          <t>隔日到貨🔥 ins韓風 手機殼吊飾 Airpods殼吊飾 手機殼掛飾 手機掛件 掛飾 手機吊飾 手機掛繩 掛繩</t>
        </is>
      </c>
      <c r="C1478">
        <f>IMAGE("https://cf.shopee.tw/file/tw-11134207-7r98r-lvhammu2eym12e_tn")</f>
        <v/>
      </c>
      <c r="D1478" t="inlineStr">
        <is>
          <t>可愛筆畫壓克力 - YSK0855</t>
        </is>
      </c>
      <c r="E1478" t="inlineStr">
        <is>
          <t>119167494898</t>
        </is>
      </c>
      <c r="F1478">
        <f>IMAGE("https://cf.shopee.tw/file/tw-11134207-7r98q-lvhammu2vtke3d_tn")</f>
        <v/>
      </c>
    </row>
    <row r="1479">
      <c r="A1479" t="inlineStr">
        <is>
          <t>24530967554</t>
        </is>
      </c>
      <c r="B1479" t="inlineStr">
        <is>
          <t>隔日到貨🔥 ins韓風 手機殼吊飾 Airpods殼吊飾 手機殼掛飾 手機掛件 掛飾 手機吊飾 手機掛繩 掛繩</t>
        </is>
      </c>
      <c r="C1479">
        <f>IMAGE("https://cf.shopee.tw/file/tw-11134207-7r98r-lvhammu2eym12e_tn")</f>
        <v/>
      </c>
      <c r="D1479" t="inlineStr">
        <is>
          <t>可愛筆畫壓克力 - YSK0856</t>
        </is>
      </c>
      <c r="E1479" t="inlineStr">
        <is>
          <t>119167494899</t>
        </is>
      </c>
      <c r="F1479">
        <f>IMAGE("https://cf.shopee.tw/file/tw-11134207-7r98v-lvhammu2gdbi18_tn")</f>
        <v/>
      </c>
    </row>
    <row r="1480">
      <c r="A1480" t="inlineStr">
        <is>
          <t>24530967554</t>
        </is>
      </c>
      <c r="B1480" t="inlineStr">
        <is>
          <t>隔日到貨🔥 ins韓風 手機殼吊飾 Airpods殼吊飾 手機殼掛飾 手機掛件 掛飾 手機吊飾 手機掛繩 掛繩</t>
        </is>
      </c>
      <c r="C1480">
        <f>IMAGE("https://cf.shopee.tw/file/tw-11134207-7r98r-lvhammu2eym12e_tn")</f>
        <v/>
      </c>
      <c r="D1480" t="inlineStr">
        <is>
          <t>可愛筆畫壓克力 - YSK0852</t>
        </is>
      </c>
      <c r="E1480" t="inlineStr">
        <is>
          <t>119167494900</t>
        </is>
      </c>
      <c r="F1480">
        <f>IMAGE("https://cf.shopee.tw/file/tw-11134207-7r98v-lvhammucfypabe_tn")</f>
        <v/>
      </c>
    </row>
    <row r="1481">
      <c r="A1481" t="inlineStr">
        <is>
          <t>24530967554</t>
        </is>
      </c>
      <c r="B1481" t="inlineStr">
        <is>
          <t>隔日到貨🔥 ins韓風 手機殼吊飾 Airpods殼吊飾 手機殼掛飾 手機掛件 掛飾 手機吊飾 手機掛繩 掛繩</t>
        </is>
      </c>
      <c r="C1481">
        <f>IMAGE("https://cf.shopee.tw/file/tw-11134207-7r98r-lvhammu2eym12e_tn")</f>
        <v/>
      </c>
      <c r="D1481" t="inlineStr">
        <is>
          <t>可愛筆畫壓克力 - YSK0851</t>
        </is>
      </c>
      <c r="E1481" t="inlineStr">
        <is>
          <t>119167494901</t>
        </is>
      </c>
      <c r="F1481">
        <f>IMAGE("https://cf.shopee.tw/file/tw-11134207-7r98t-lvhb4icyp0mmd0_tn")</f>
        <v/>
      </c>
    </row>
    <row r="1482">
      <c r="A1482" t="inlineStr">
        <is>
          <t>24530967554</t>
        </is>
      </c>
      <c r="B1482" t="inlineStr">
        <is>
          <t>隔日到貨🔥 ins韓風 手機殼吊飾 Airpods殼吊飾 手機殼掛飾 手機掛件 掛飾 手機吊飾 手機掛繩 掛繩</t>
        </is>
      </c>
      <c r="C1482">
        <f>IMAGE("https://cf.shopee.tw/file/tw-11134207-7r98r-lvhammu2eym12e_tn")</f>
        <v/>
      </c>
      <c r="D1482" t="inlineStr">
        <is>
          <t>可愛筆畫壓克力 - YSK0858</t>
        </is>
      </c>
      <c r="E1482" t="inlineStr">
        <is>
          <t>119167494902</t>
        </is>
      </c>
      <c r="F1482">
        <f>IMAGE("https://cf.shopee.tw/file/tw-11134207-7r98o-lvhb4icyqf723f_tn")</f>
        <v/>
      </c>
    </row>
    <row r="1483">
      <c r="A1483" t="inlineStr">
        <is>
          <t>24530967554</t>
        </is>
      </c>
      <c r="B1483" t="inlineStr">
        <is>
          <t>隔日到貨🔥 ins韓風 手機殼吊飾 Airpods殼吊飾 手機殼掛飾 手機掛件 掛飾 手機吊飾 手機掛繩 掛繩</t>
        </is>
      </c>
      <c r="C1483">
        <f>IMAGE("https://cf.shopee.tw/file/tw-11134207-7r98r-lvhammu2eym12e_tn")</f>
        <v/>
      </c>
      <c r="D1483" t="inlineStr">
        <is>
          <t>小卡罐頭</t>
        </is>
      </c>
      <c r="E1483" t="inlineStr">
        <is>
          <t>119167494903</t>
        </is>
      </c>
      <c r="F1483">
        <f>IMAGE("https://cf.shopee.tw/file/tw-11134207-7r98t-lvhb7f0xj1wucf_tn")</f>
        <v/>
      </c>
    </row>
    <row r="1484">
      <c r="A1484" t="inlineStr">
        <is>
          <t>24530967554</t>
        </is>
      </c>
      <c r="B1484" t="inlineStr">
        <is>
          <t>隔日到貨🔥 ins韓風 手機殼吊飾 Airpods殼吊飾 手機殼掛飾 手機掛件 掛飾 手機吊飾 手機掛繩 掛繩</t>
        </is>
      </c>
      <c r="C1484">
        <f>IMAGE("https://cf.shopee.tw/file/tw-11134207-7r98r-lvhammu2eym12e_tn")</f>
        <v/>
      </c>
      <c r="D1484" t="inlineStr">
        <is>
          <t>小卡背奶茶</t>
        </is>
      </c>
      <c r="E1484" t="inlineStr">
        <is>
          <t>119167494904</t>
        </is>
      </c>
      <c r="F1484">
        <f>IMAGE("https://cf.shopee.tw/file/tw-11134207-7r98r-lvhb7f0xkgha1c_tn")</f>
        <v/>
      </c>
    </row>
    <row r="1485">
      <c r="A1485" t="inlineStr">
        <is>
          <t>24530967554</t>
        </is>
      </c>
      <c r="B1485" t="inlineStr">
        <is>
          <t>隔日到貨🔥 ins韓風 手機殼吊飾 Airpods殼吊飾 手機殼掛飾 手機掛件 掛飾 手機吊飾 手機掛繩 掛繩</t>
        </is>
      </c>
      <c r="C1485">
        <f>IMAGE("https://cf.shopee.tw/file/tw-11134207-7r98r-lvhammu2eym12e_tn")</f>
        <v/>
      </c>
      <c r="D1485" t="inlineStr">
        <is>
          <t>小卡和朋友</t>
        </is>
      </c>
      <c r="E1485" t="inlineStr"/>
      <c r="F1485">
        <f>IMAGE("https://cf.shopee.tw/file/tw-11134207-7r98q-lvhb7tuhu8vi4d_tn")</f>
        <v/>
      </c>
    </row>
    <row r="1486">
      <c r="A1486" t="inlineStr">
        <is>
          <t>24530967554</t>
        </is>
      </c>
      <c r="B1486" t="inlineStr">
        <is>
          <t>隔日到貨🔥 ins韓風 手機殼吊飾 Airpods殼吊飾 手機殼掛飾 手機掛件 掛飾 手機吊飾 手機掛繩 掛繩</t>
        </is>
      </c>
      <c r="C1486">
        <f>IMAGE("https://cf.shopee.tw/file/tw-11134207-7r98r-lvhammu2eym12e_tn")</f>
        <v/>
      </c>
      <c r="D1486" t="inlineStr">
        <is>
          <t>小卡和鳥</t>
        </is>
      </c>
      <c r="E1486" t="inlineStr"/>
      <c r="F1486">
        <f>IMAGE("https://cf.shopee.tw/file/tw-11134207-7r98v-lvhb7tuhvnfy7f_tn")</f>
        <v/>
      </c>
    </row>
    <row r="1487">
      <c r="A1487" t="inlineStr">
        <is>
          <t>24530967554</t>
        </is>
      </c>
      <c r="B1487" t="inlineStr">
        <is>
          <t>隔日到貨🔥 ins韓風 手機殼吊飾 Airpods殼吊飾 手機殼掛飾 手機掛件 掛飾 手機吊飾 手機掛繩 掛繩</t>
        </is>
      </c>
      <c r="C1487">
        <f>IMAGE("https://cf.shopee.tw/file/tw-11134207-7r98r-lvhammu2eym12e_tn")</f>
        <v/>
      </c>
      <c r="D1487" t="inlineStr">
        <is>
          <t>小卡櫃子</t>
        </is>
      </c>
      <c r="E1487" t="inlineStr">
        <is>
          <t>119167494907</t>
        </is>
      </c>
      <c r="F1487">
        <f>IMAGE("https://cf.shopee.tw/file/tw-11134207-7r990-lvhb837m4wvi2c_tn")</f>
        <v/>
      </c>
    </row>
    <row r="1488">
      <c r="A1488" t="inlineStr">
        <is>
          <t>24530967554</t>
        </is>
      </c>
      <c r="B1488" t="inlineStr">
        <is>
          <t>隔日到貨🔥 ins韓風 手機殼吊飾 Airpods殼吊飾 手機殼掛飾 手機掛件 掛飾 手機吊飾 手機掛繩 掛繩</t>
        </is>
      </c>
      <c r="C1488">
        <f>IMAGE("https://cf.shopee.tw/file/tw-11134207-7r98r-lvhammu2eym12e_tn")</f>
        <v/>
      </c>
      <c r="D1488" t="inlineStr">
        <is>
          <t>小卡照鏡子</t>
        </is>
      </c>
      <c r="E1488" t="inlineStr">
        <is>
          <t>119167494908</t>
        </is>
      </c>
      <c r="F1488">
        <f>IMAGE("https://cf.shopee.tw/file/tw-11134207-7r991-lvhb955klzzi2e_tn")</f>
        <v/>
      </c>
    </row>
    <row r="1489">
      <c r="A1489" t="inlineStr">
        <is>
          <t>24530967554</t>
        </is>
      </c>
      <c r="B1489" t="inlineStr">
        <is>
          <t>隔日到貨🔥 ins韓風 手機殼吊飾 Airpods殼吊飾 手機殼掛飾 手機掛件 掛飾 手機吊飾 手機掛繩 掛繩</t>
        </is>
      </c>
      <c r="C1489">
        <f>IMAGE("https://cf.shopee.tw/file/tw-11134207-7r98r-lvhammu2eym12e_tn")</f>
        <v/>
      </c>
      <c r="D1489" t="inlineStr">
        <is>
          <t>花朵愛心笑臉 - 桔紅色</t>
        </is>
      </c>
      <c r="E1489" t="inlineStr">
        <is>
          <t>119167494913</t>
        </is>
      </c>
      <c r="F1489">
        <f>IMAGE("https://cf.shopee.tw/file/tw-11134207-7r98o-lvhbe4bigp66a5_tn")</f>
        <v/>
      </c>
    </row>
    <row r="1490">
      <c r="A1490" t="inlineStr">
        <is>
          <t>24530967554</t>
        </is>
      </c>
      <c r="B1490" t="inlineStr">
        <is>
          <t>隔日到貨🔥 ins韓風 手機殼吊飾 Airpods殼吊飾 手機殼掛飾 手機掛件 掛飾 手機吊飾 手機掛繩 掛繩</t>
        </is>
      </c>
      <c r="C1490">
        <f>IMAGE("https://cf.shopee.tw/file/tw-11134207-7r98r-lvhammu2eym12e_tn")</f>
        <v/>
      </c>
      <c r="D1490" t="inlineStr">
        <is>
          <t>花朵愛心笑臉 - 綠色</t>
        </is>
      </c>
      <c r="E1490" t="inlineStr">
        <is>
          <t>119167494914</t>
        </is>
      </c>
      <c r="F1490">
        <f>IMAGE("https://cf.shopee.tw/file/tw-11134207-7r98r-lvhbe4bifalqef_tn")</f>
        <v/>
      </c>
    </row>
    <row r="1491">
      <c r="A1491" t="inlineStr">
        <is>
          <t>24530967554</t>
        </is>
      </c>
      <c r="B1491" t="inlineStr">
        <is>
          <t>隔日到貨🔥 ins韓風 手機殼吊飾 Airpods殼吊飾 手機殼掛飾 手機掛件 掛飾 手機吊飾 手機掛繩 掛繩</t>
        </is>
      </c>
      <c r="C1491">
        <f>IMAGE("https://cf.shopee.tw/file/tw-11134207-7r98r-lvhammu2eym12e_tn")</f>
        <v/>
      </c>
      <c r="D1491" t="inlineStr">
        <is>
          <t>花朵愛心笑臉 - 粉紅色</t>
        </is>
      </c>
      <c r="E1491" t="inlineStr">
        <is>
          <t>127927805431</t>
        </is>
      </c>
      <c r="F1491">
        <f>IMAGE("https://cf.shopee.tw/file/tw-11134207-7r990-lvhbdwojn2rd5e_tn")</f>
        <v/>
      </c>
    </row>
    <row r="1492">
      <c r="A1492" t="inlineStr">
        <is>
          <t>24530967554</t>
        </is>
      </c>
      <c r="B1492" t="inlineStr">
        <is>
          <t>隔日到貨🔥 ins韓風 手機殼吊飾 Airpods殼吊飾 手機殼掛飾 手機掛件 掛飾 手機吊飾 手機掛繩 掛繩</t>
        </is>
      </c>
      <c r="C1492">
        <f>IMAGE("https://cf.shopee.tw/file/tw-11134207-7r98r-lvhammu2eym12e_tn")</f>
        <v/>
      </c>
      <c r="D1492" t="inlineStr">
        <is>
          <t>花朵愛心笑臉 - 白色</t>
        </is>
      </c>
      <c r="E1492" t="inlineStr">
        <is>
          <t>127927805432</t>
        </is>
      </c>
      <c r="F1492">
        <f>IMAGE("https://cf.shopee.tw/file/tw-11134207-7r98p-lvhberamswha20_tn")</f>
        <v/>
      </c>
    </row>
    <row r="1493">
      <c r="A1493" t="inlineStr">
        <is>
          <t>24530967554</t>
        </is>
      </c>
      <c r="B1493" t="inlineStr">
        <is>
          <t>隔日到貨🔥 ins韓風 手機殼吊飾 Airpods殼吊飾 手機殼掛飾 手機掛件 掛飾 手機吊飾 手機掛繩 掛繩</t>
        </is>
      </c>
      <c r="C1493">
        <f>IMAGE("https://cf.shopee.tw/file/tw-11134207-7r98r-lvhammu2eym12e_tn")</f>
        <v/>
      </c>
      <c r="D1493" t="inlineStr">
        <is>
          <t>花朵愛心笑臉 - 天藍色</t>
        </is>
      </c>
      <c r="E1493" t="inlineStr">
        <is>
          <t>127927805433</t>
        </is>
      </c>
      <c r="F1493">
        <f>IMAGE("https://cf.shopee.tw/file/tw-11134207-7r98s-lvhberamub1q9f_tn")</f>
        <v/>
      </c>
    </row>
    <row r="1494">
      <c r="A1494" t="inlineStr">
        <is>
          <t>24530967554</t>
        </is>
      </c>
      <c r="B1494" t="inlineStr">
        <is>
          <t>隔日到貨🔥 ins韓風 手機殼吊飾 Airpods殼吊飾 手機殼掛飾 手機掛件 掛飾 手機吊飾 手機掛繩 掛繩</t>
        </is>
      </c>
      <c r="C1494">
        <f>IMAGE("https://cf.shopee.tw/file/tw-11134207-7r98r-lvhammu2eym12e_tn")</f>
        <v/>
      </c>
      <c r="D1494" t="inlineStr">
        <is>
          <t>花朵愛心笑臉 - 紫色</t>
        </is>
      </c>
      <c r="E1494" t="inlineStr">
        <is>
          <t>127927805434</t>
        </is>
      </c>
      <c r="F1494">
        <f>IMAGE("https://cf.shopee.tw/file/tw-11134207-7r98r-lvhbexczxcjddf_tn")</f>
        <v/>
      </c>
    </row>
    <row r="1495">
      <c r="A1495" t="inlineStr">
        <is>
          <t>24530967554</t>
        </is>
      </c>
      <c r="B1495" t="inlineStr">
        <is>
          <t>隔日到貨🔥 ins韓風 手機殼吊飾 Airpods殼吊飾 手機殼掛飾 手機掛件 掛飾 手機吊飾 手機掛繩 掛繩</t>
        </is>
      </c>
      <c r="C1495">
        <f>IMAGE("https://cf.shopee.tw/file/tw-11134207-7r98r-lvhammu2eym12e_tn")</f>
        <v/>
      </c>
      <c r="D1495" t="inlineStr">
        <is>
          <t>黑色幽靈</t>
        </is>
      </c>
      <c r="E1495" t="inlineStr">
        <is>
          <t>119167494911</t>
        </is>
      </c>
      <c r="F1495">
        <f>IMAGE("https://cf.shopee.tw/file/tw-11134207-7r98w-lvhbdr0bxx2xbf_tn")</f>
        <v/>
      </c>
    </row>
    <row r="1496">
      <c r="A1496" t="inlineStr">
        <is>
          <t>24530967554</t>
        </is>
      </c>
      <c r="B1496" t="inlineStr">
        <is>
          <t>隔日到貨🔥 ins韓風 手機殼吊飾 Airpods殼吊飾 手機殼掛飾 手機掛件 掛飾 手機吊飾 手機掛繩 掛繩</t>
        </is>
      </c>
      <c r="C1496">
        <f>IMAGE("https://cf.shopee.tw/file/tw-11134207-7r98r-lvhammu2eym12e_tn")</f>
        <v/>
      </c>
      <c r="D1496" t="inlineStr">
        <is>
          <t>白色幽靈</t>
        </is>
      </c>
      <c r="E1496" t="inlineStr">
        <is>
          <t>119167494910</t>
        </is>
      </c>
      <c r="F1496">
        <f>IMAGE("https://cf.shopee.tw/file/tw-11134207-7r98p-lvhbdr0bwiih26_tn")</f>
        <v/>
      </c>
    </row>
    <row r="1497">
      <c r="A1497" t="inlineStr">
        <is>
          <t>24530967554</t>
        </is>
      </c>
      <c r="B1497" t="inlineStr">
        <is>
          <t>隔日到貨🔥 ins韓風 手機殼吊飾 Airpods殼吊飾 手機殼掛飾 手機掛件 掛飾 手機吊飾 手機掛繩 掛繩</t>
        </is>
      </c>
      <c r="C1497">
        <f>IMAGE("https://cf.shopee.tw/file/tw-11134207-7r98r-lvhammu2eym12e_tn")</f>
        <v/>
      </c>
      <c r="D1497" t="inlineStr">
        <is>
          <t>粉色幽靈</t>
        </is>
      </c>
      <c r="E1497" t="inlineStr">
        <is>
          <t>119167494912</t>
        </is>
      </c>
      <c r="F1497">
        <f>IMAGE("https://cf.shopee.tw/file/tw-11134207-7r991-lvhbdwojlo6x5b_tn")</f>
        <v/>
      </c>
    </row>
    <row r="1498">
      <c r="A1498" t="inlineStr">
        <is>
          <t>18396514233</t>
        </is>
      </c>
      <c r="B1498" t="inlineStr">
        <is>
          <t>隔日到貨🔥 iPhone 立體珍珠 手機殼 17 16 15 14 13 12 11 pro 保護殼 鏡面殼 蘋果</t>
        </is>
      </c>
      <c r="C1498">
        <f>IMAGE("https://cf.shopee.tw/file/tw-11134207-7r98p-luqc17tpl3hyb2_tn")</f>
        <v/>
      </c>
      <c r="D1498" t="inlineStr">
        <is>
          <t>鏡面珍珠結,11</t>
        </is>
      </c>
      <c r="E1498" t="inlineStr">
        <is>
          <t>245742439192</t>
        </is>
      </c>
      <c r="F1498">
        <f>IMAGE("https://cf.shopee.tw/file/tw-11134207-7r98p-luqc17tpmi8bfc_tn")</f>
        <v/>
      </c>
    </row>
    <row r="1499">
      <c r="A1499" t="inlineStr">
        <is>
          <t>18396514233</t>
        </is>
      </c>
      <c r="B1499" t="inlineStr">
        <is>
          <t>隔日到貨🔥 iPhone 立體珍珠 手機殼 17 16 15 14 13 12 11 pro 保護殼 鏡面殼 蘋果</t>
        </is>
      </c>
      <c r="C1499">
        <f>IMAGE("https://cf.shopee.tw/file/tw-11134207-7r98p-luqc17tpl3hyb2_tn")</f>
        <v/>
      </c>
      <c r="D1499" t="inlineStr">
        <is>
          <t>鏡面珍珠結,11 Pro Max</t>
        </is>
      </c>
      <c r="E1499" t="inlineStr">
        <is>
          <t>245742439193</t>
        </is>
      </c>
      <c r="F1499">
        <f>IMAGE("https://cf.shopee.tw/file/tw-11134207-7r98p-luqc17tpmi8bfc_tn")</f>
        <v/>
      </c>
    </row>
    <row r="1500">
      <c r="A1500" t="inlineStr">
        <is>
          <t>18396514233</t>
        </is>
      </c>
      <c r="B1500" t="inlineStr">
        <is>
          <t>隔日到貨🔥 iPhone 立體珍珠 手機殼 17 16 15 14 13 12 11 pro 保護殼 鏡面殼 蘋果</t>
        </is>
      </c>
      <c r="C1500">
        <f>IMAGE("https://cf.shopee.tw/file/tw-11134207-7r98p-luqc17tpl3hyb2_tn")</f>
        <v/>
      </c>
      <c r="D1500" t="inlineStr">
        <is>
          <t>鏡面珍珠結,12 / 12 Pro</t>
        </is>
      </c>
      <c r="E1500" t="inlineStr">
        <is>
          <t>245742439194</t>
        </is>
      </c>
      <c r="F1500">
        <f>IMAGE("https://cf.shopee.tw/file/tw-11134207-7r98p-luqc17tpmi8bfc_tn")</f>
        <v/>
      </c>
    </row>
    <row r="1501">
      <c r="A1501" t="inlineStr">
        <is>
          <t>18396514233</t>
        </is>
      </c>
      <c r="B1501" t="inlineStr">
        <is>
          <t>隔日到貨🔥 iPhone 立體珍珠 手機殼 17 16 15 14 13 12 11 pro 保護殼 鏡面殼 蘋果</t>
        </is>
      </c>
      <c r="C1501">
        <f>IMAGE("https://cf.shopee.tw/file/tw-11134207-7r98p-luqc17tpl3hyb2_tn")</f>
        <v/>
      </c>
      <c r="D1501" t="inlineStr">
        <is>
          <t>鏡面珍珠結,12 Pro Max</t>
        </is>
      </c>
      <c r="E1501" t="inlineStr">
        <is>
          <t>245742439195</t>
        </is>
      </c>
      <c r="F1501">
        <f>IMAGE("https://cf.shopee.tw/file/tw-11134207-7r98p-luqc17tpmi8bfc_tn")</f>
        <v/>
      </c>
    </row>
    <row r="1502">
      <c r="A1502" t="inlineStr">
        <is>
          <t>18396514233</t>
        </is>
      </c>
      <c r="B1502" t="inlineStr">
        <is>
          <t>隔日到貨🔥 iPhone 立體珍珠 手機殼 17 16 15 14 13 12 11 pro 保護殼 鏡面殼 蘋果</t>
        </is>
      </c>
      <c r="C1502">
        <f>IMAGE("https://cf.shopee.tw/file/tw-11134207-7r98p-luqc17tpl3hyb2_tn")</f>
        <v/>
      </c>
      <c r="D1502" t="inlineStr">
        <is>
          <t>鏡面珍珠結,13/14</t>
        </is>
      </c>
      <c r="E1502" t="inlineStr">
        <is>
          <t>245742439196</t>
        </is>
      </c>
      <c r="F1502">
        <f>IMAGE("https://cf.shopee.tw/file/tw-11134207-7r98p-luqc17tpmi8bfc_tn")</f>
        <v/>
      </c>
    </row>
    <row r="1503">
      <c r="A1503" t="inlineStr">
        <is>
          <t>18396514233</t>
        </is>
      </c>
      <c r="B1503" t="inlineStr">
        <is>
          <t>隔日到貨🔥 iPhone 立體珍珠 手機殼 17 16 15 14 13 12 11 pro 保護殼 鏡面殼 蘋果</t>
        </is>
      </c>
      <c r="C1503">
        <f>IMAGE("https://cf.shopee.tw/file/tw-11134207-7r98p-luqc17tpl3hyb2_tn")</f>
        <v/>
      </c>
      <c r="D1503" t="inlineStr">
        <is>
          <t>鏡面珍珠結,13 Pro</t>
        </is>
      </c>
      <c r="E1503" t="inlineStr">
        <is>
          <t>245742439197</t>
        </is>
      </c>
      <c r="F1503">
        <f>IMAGE("https://cf.shopee.tw/file/tw-11134207-7r98p-luqc17tpmi8bfc_tn")</f>
        <v/>
      </c>
    </row>
    <row r="1504">
      <c r="A1504" t="inlineStr">
        <is>
          <t>18396514233</t>
        </is>
      </c>
      <c r="B1504" t="inlineStr">
        <is>
          <t>隔日到貨🔥 iPhone 立體珍珠 手機殼 17 16 15 14 13 12 11 pro 保護殼 鏡面殼 蘋果</t>
        </is>
      </c>
      <c r="C1504">
        <f>IMAGE("https://cf.shopee.tw/file/tw-11134207-7r98p-luqc17tpl3hyb2_tn")</f>
        <v/>
      </c>
      <c r="D1504" t="inlineStr">
        <is>
          <t>鏡面珍珠結,13 Pro Max</t>
        </is>
      </c>
      <c r="E1504" t="inlineStr">
        <is>
          <t>245742439198</t>
        </is>
      </c>
      <c r="F1504">
        <f>IMAGE("https://cf.shopee.tw/file/tw-11134207-7r98p-luqc17tpmi8bfc_tn")</f>
        <v/>
      </c>
    </row>
    <row r="1505">
      <c r="A1505" t="inlineStr">
        <is>
          <t>18396514233</t>
        </is>
      </c>
      <c r="B1505" t="inlineStr">
        <is>
          <t>隔日到貨🔥 iPhone 立體珍珠 手機殼 17 16 15 14 13 12 11 pro 保護殼 鏡面殼 蘋果</t>
        </is>
      </c>
      <c r="C1505">
        <f>IMAGE("https://cf.shopee.tw/file/tw-11134207-7r98p-luqc17tpl3hyb2_tn")</f>
        <v/>
      </c>
      <c r="D1505" t="inlineStr">
        <is>
          <t>鏡面珍珠結,14 Pro</t>
        </is>
      </c>
      <c r="E1505" t="inlineStr">
        <is>
          <t>245742439200</t>
        </is>
      </c>
      <c r="F1505">
        <f>IMAGE("https://cf.shopee.tw/file/tw-11134207-7r98p-luqc17tpmi8bfc_tn")</f>
        <v/>
      </c>
    </row>
    <row r="1506">
      <c r="A1506" t="inlineStr">
        <is>
          <t>18396514233</t>
        </is>
      </c>
      <c r="B1506" t="inlineStr">
        <is>
          <t>隔日到貨🔥 iPhone 立體珍珠 手機殼 17 16 15 14 13 12 11 pro 保護殼 鏡面殼 蘋果</t>
        </is>
      </c>
      <c r="C1506">
        <f>IMAGE("https://cf.shopee.tw/file/tw-11134207-7r98p-luqc17tpl3hyb2_tn")</f>
        <v/>
      </c>
      <c r="D1506" t="inlineStr">
        <is>
          <t>鏡面珍珠結,14Plus/15Plus</t>
        </is>
      </c>
      <c r="E1506" t="inlineStr">
        <is>
          <t>226285358707</t>
        </is>
      </c>
      <c r="F1506">
        <f>IMAGE("https://cf.shopee.tw/file/tw-11134207-7r98p-luqc17tpmi8bfc_tn")</f>
        <v/>
      </c>
    </row>
    <row r="1507">
      <c r="A1507" t="inlineStr">
        <is>
          <t>18396514233</t>
        </is>
      </c>
      <c r="B1507" t="inlineStr">
        <is>
          <t>隔日到貨🔥 iPhone 立體珍珠 手機殼 17 16 15 14 13 12 11 pro 保護殼 鏡面殼 蘋果</t>
        </is>
      </c>
      <c r="C1507">
        <f>IMAGE("https://cf.shopee.tw/file/tw-11134207-7r98p-luqc17tpl3hyb2_tn")</f>
        <v/>
      </c>
      <c r="D1507" t="inlineStr">
        <is>
          <t>鏡面珍珠結,14 Pro Max</t>
        </is>
      </c>
      <c r="E1507" t="inlineStr">
        <is>
          <t>245742439201</t>
        </is>
      </c>
      <c r="F1507">
        <f>IMAGE("https://cf.shopee.tw/file/tw-11134207-7r98p-luqc17tpmi8bfc_tn")</f>
        <v/>
      </c>
    </row>
    <row r="1508">
      <c r="A1508" t="inlineStr">
        <is>
          <t>18396514233</t>
        </is>
      </c>
      <c r="B1508" t="inlineStr">
        <is>
          <t>隔日到貨🔥 iPhone 立體珍珠 手機殼 17 16 15 14 13 12 11 pro 保護殼 鏡面殼 蘋果</t>
        </is>
      </c>
      <c r="C1508">
        <f>IMAGE("https://cf.shopee.tw/file/tw-11134207-7r98p-luqc17tpl3hyb2_tn")</f>
        <v/>
      </c>
      <c r="D1508" t="inlineStr">
        <is>
          <t>鏡面珍珠結,15</t>
        </is>
      </c>
      <c r="E1508" t="inlineStr">
        <is>
          <t>245742439202</t>
        </is>
      </c>
      <c r="F1508">
        <f>IMAGE("https://cf.shopee.tw/file/tw-11134207-7r98p-luqc17tpmi8bfc_tn")</f>
        <v/>
      </c>
    </row>
    <row r="1509">
      <c r="A1509" t="inlineStr">
        <is>
          <t>18396514233</t>
        </is>
      </c>
      <c r="B1509" t="inlineStr">
        <is>
          <t>隔日到貨🔥 iPhone 立體珍珠 手機殼 17 16 15 14 13 12 11 pro 保護殼 鏡面殼 蘋果</t>
        </is>
      </c>
      <c r="C1509">
        <f>IMAGE("https://cf.shopee.tw/file/tw-11134207-7r98p-luqc17tpl3hyb2_tn")</f>
        <v/>
      </c>
      <c r="D1509" t="inlineStr">
        <is>
          <t>鏡面珍珠結,15 Pro</t>
        </is>
      </c>
      <c r="E1509" t="inlineStr">
        <is>
          <t>245742439203</t>
        </is>
      </c>
      <c r="F1509">
        <f>IMAGE("https://cf.shopee.tw/file/tw-11134207-7r98p-luqc17tpmi8bfc_tn")</f>
        <v/>
      </c>
    </row>
    <row r="1510">
      <c r="A1510" t="inlineStr">
        <is>
          <t>18396514233</t>
        </is>
      </c>
      <c r="B1510" t="inlineStr">
        <is>
          <t>隔日到貨🔥 iPhone 立體珍珠 手機殼 17 16 15 14 13 12 11 pro 保護殼 鏡面殼 蘋果</t>
        </is>
      </c>
      <c r="C1510">
        <f>IMAGE("https://cf.shopee.tw/file/tw-11134207-7r98p-luqc17tpl3hyb2_tn")</f>
        <v/>
      </c>
      <c r="D1510" t="inlineStr">
        <is>
          <t>鏡面珍珠結,15 Pro Max</t>
        </is>
      </c>
      <c r="E1510" t="inlineStr">
        <is>
          <t>226285358706</t>
        </is>
      </c>
      <c r="F1510">
        <f>IMAGE("https://cf.shopee.tw/file/tw-11134207-7r98p-luqc17tpmi8bfc_tn")</f>
        <v/>
      </c>
    </row>
    <row r="1511">
      <c r="A1511" t="inlineStr">
        <is>
          <t>18396514233</t>
        </is>
      </c>
      <c r="B1511" t="inlineStr">
        <is>
          <t>隔日到貨🔥 iPhone 立體珍珠 手機殼 17 16 15 14 13 12 11 pro 保護殼 鏡面殼 蘋果</t>
        </is>
      </c>
      <c r="C1511">
        <f>IMAGE("https://cf.shopee.tw/file/tw-11134207-7r98p-luqc17tpl3hyb2_tn")</f>
        <v/>
      </c>
      <c r="D1511" t="inlineStr">
        <is>
          <t>鏡面珍珠結,16</t>
        </is>
      </c>
      <c r="E1511" t="inlineStr">
        <is>
          <t>251619745857</t>
        </is>
      </c>
      <c r="F1511">
        <f>IMAGE("https://cf.shopee.tw/file/tw-11134207-7r98p-luqc17tpmi8bfc_tn")</f>
        <v/>
      </c>
    </row>
    <row r="1512">
      <c r="A1512" t="inlineStr">
        <is>
          <t>18396514233</t>
        </is>
      </c>
      <c r="B1512" t="inlineStr">
        <is>
          <t>隔日到貨🔥 iPhone 立體珍珠 手機殼 17 16 15 14 13 12 11 pro 保護殼 鏡面殼 蘋果</t>
        </is>
      </c>
      <c r="C1512">
        <f>IMAGE("https://cf.shopee.tw/file/tw-11134207-7r98p-luqc17tpl3hyb2_tn")</f>
        <v/>
      </c>
      <c r="D1512" t="inlineStr">
        <is>
          <t>鏡面珍珠結,16 Pro</t>
        </is>
      </c>
      <c r="E1512" t="inlineStr">
        <is>
          <t>251619745858</t>
        </is>
      </c>
      <c r="F1512">
        <f>IMAGE("https://cf.shopee.tw/file/tw-11134207-7r98p-luqc17tpmi8bfc_tn")</f>
        <v/>
      </c>
    </row>
    <row r="1513">
      <c r="A1513" t="inlineStr">
        <is>
          <t>18396514233</t>
        </is>
      </c>
      <c r="B1513" t="inlineStr">
        <is>
          <t>隔日到貨🔥 iPhone 立體珍珠 手機殼 17 16 15 14 13 12 11 pro 保護殼 鏡面殼 蘋果</t>
        </is>
      </c>
      <c r="C1513">
        <f>IMAGE("https://cf.shopee.tw/file/tw-11134207-7r98p-luqc17tpl3hyb2_tn")</f>
        <v/>
      </c>
      <c r="D1513" t="inlineStr">
        <is>
          <t>鏡面珍珠結,16 Pro Max</t>
        </is>
      </c>
      <c r="E1513" t="inlineStr">
        <is>
          <t>251619745859</t>
        </is>
      </c>
      <c r="F1513">
        <f>IMAGE("https://cf.shopee.tw/file/tw-11134207-7r98p-luqc17tpmi8bfc_tn")</f>
        <v/>
      </c>
    </row>
    <row r="1514">
      <c r="A1514" t="inlineStr">
        <is>
          <t>18396514233</t>
        </is>
      </c>
      <c r="B1514" t="inlineStr">
        <is>
          <t>隔日到貨🔥 iPhone 立體珍珠 手機殼 17 16 15 14 13 12 11 pro 保護殼 鏡面殼 蘋果</t>
        </is>
      </c>
      <c r="C1514">
        <f>IMAGE("https://cf.shopee.tw/file/tw-11134207-7r98p-luqc17tpl3hyb2_tn")</f>
        <v/>
      </c>
      <c r="D1514" t="inlineStr">
        <is>
          <t>鏡面珍珠結,16 Plus</t>
        </is>
      </c>
      <c r="E1514" t="inlineStr">
        <is>
          <t>226787424342</t>
        </is>
      </c>
      <c r="F1514">
        <f>IMAGE("https://cf.shopee.tw/file/tw-11134207-7r98p-luqc17tpmi8bfc_tn")</f>
        <v/>
      </c>
    </row>
    <row r="1515">
      <c r="A1515" t="inlineStr">
        <is>
          <t>18396514233</t>
        </is>
      </c>
      <c r="B1515" t="inlineStr">
        <is>
          <t>隔日到貨🔥 iPhone 立體珍珠 手機殼 17 16 15 14 13 12 11 pro 保護殼 鏡面殼 蘋果</t>
        </is>
      </c>
      <c r="C1515">
        <f>IMAGE("https://cf.shopee.tw/file/tw-11134207-7r98p-luqc17tpl3hyb2_tn")</f>
        <v/>
      </c>
      <c r="D1515" t="inlineStr">
        <is>
          <t>鏡面珍珠結,17</t>
        </is>
      </c>
      <c r="E1515" t="inlineStr">
        <is>
          <t>355088774929</t>
        </is>
      </c>
      <c r="F1515">
        <f>IMAGE("https://cf.shopee.tw/file/tw-11134207-7r98p-luqc17tpmi8bfc_tn")</f>
        <v/>
      </c>
    </row>
    <row r="1516">
      <c r="A1516" t="inlineStr">
        <is>
          <t>18396514233</t>
        </is>
      </c>
      <c r="B1516" t="inlineStr">
        <is>
          <t>隔日到貨🔥 iPhone 立體珍珠 手機殼 17 16 15 14 13 12 11 pro 保護殼 鏡面殼 蘋果</t>
        </is>
      </c>
      <c r="C1516">
        <f>IMAGE("https://cf.shopee.tw/file/tw-11134207-7r98p-luqc17tpl3hyb2_tn")</f>
        <v/>
      </c>
      <c r="D1516" t="inlineStr">
        <is>
          <t>鏡面珍珠結,17 Pro</t>
        </is>
      </c>
      <c r="E1516" t="inlineStr">
        <is>
          <t>355088774930</t>
        </is>
      </c>
      <c r="F1516">
        <f>IMAGE("https://cf.shopee.tw/file/tw-11134207-7r98p-luqc17tpmi8bfc_tn")</f>
        <v/>
      </c>
    </row>
    <row r="1517">
      <c r="A1517" t="inlineStr">
        <is>
          <t>18396514233</t>
        </is>
      </c>
      <c r="B1517" t="inlineStr">
        <is>
          <t>隔日到貨🔥 iPhone 立體珍珠 手機殼 17 16 15 14 13 12 11 pro 保護殼 鏡面殼 蘋果</t>
        </is>
      </c>
      <c r="C1517">
        <f>IMAGE("https://cf.shopee.tw/file/tw-11134207-7r98p-luqc17tpl3hyb2_tn")</f>
        <v/>
      </c>
      <c r="D1517" t="inlineStr">
        <is>
          <t>鏡面珍珠結,17 Pro Max</t>
        </is>
      </c>
      <c r="E1517" t="inlineStr">
        <is>
          <t>355088774931</t>
        </is>
      </c>
      <c r="F1517">
        <f>IMAGE("https://cf.shopee.tw/file/tw-11134207-7r98p-luqc17tpmi8bfc_tn")</f>
        <v/>
      </c>
    </row>
    <row r="1518">
      <c r="A1518" t="inlineStr">
        <is>
          <t>18396514233</t>
        </is>
      </c>
      <c r="B1518" t="inlineStr">
        <is>
          <t>隔日到貨🔥 iPhone 立體珍珠 手機殼 17 16 15 14 13 12 11 pro 保護殼 鏡面殼 蘋果</t>
        </is>
      </c>
      <c r="C1518">
        <f>IMAGE("https://cf.shopee.tw/file/tw-11134207-7r98p-luqc17tpl3hyb2_tn")</f>
        <v/>
      </c>
      <c r="D1518" t="inlineStr">
        <is>
          <t>鏡面珍珠結,17 Air</t>
        </is>
      </c>
      <c r="E1518" t="inlineStr">
        <is>
          <t>355088774932</t>
        </is>
      </c>
      <c r="F1518">
        <f>IMAGE("https://cf.shopee.tw/file/tw-11134207-7r98p-luqc17tpmi8bfc_tn")</f>
        <v/>
      </c>
    </row>
    <row r="1519">
      <c r="A1519" t="inlineStr">
        <is>
          <t>17697986037</t>
        </is>
      </c>
      <c r="B1519" t="inlineStr">
        <is>
          <t>隔日到貨🔥 浴廁必備 可愛動物牙刷架 創意卡通桌面筆筒 浴室置物架 桌面擺件 創意擺件 牙刷置物 牙刷收納 筆筒</t>
        </is>
      </c>
      <c r="C1519">
        <f>IMAGE("https://cf.shopee.tw/file/tw-11134207-7qul5-liot58mmvcxu66_tn")</f>
        <v/>
      </c>
      <c r="D1519" t="inlineStr">
        <is>
          <t>鯊魚</t>
        </is>
      </c>
      <c r="E1519" t="inlineStr">
        <is>
          <t>225365206395</t>
        </is>
      </c>
      <c r="F1519">
        <f>IMAGE("https://cf.shopee.tw/file/tw-11134207-7qul4-liot58mnq9fm08_tn")</f>
        <v/>
      </c>
    </row>
    <row r="1520">
      <c r="A1520" t="inlineStr">
        <is>
          <t>17697986037</t>
        </is>
      </c>
      <c r="B1520" t="inlineStr">
        <is>
          <t>隔日到貨🔥 浴廁必備 可愛動物牙刷架 創意卡通桌面筆筒 浴室置物架 桌面擺件 創意擺件 牙刷置物 牙刷收納 筆筒</t>
        </is>
      </c>
      <c r="C1520">
        <f>IMAGE("https://cf.shopee.tw/file/tw-11134207-7qul5-liot58mmvcxu66_tn")</f>
        <v/>
      </c>
      <c r="D1520" t="inlineStr">
        <is>
          <t>柯基</t>
        </is>
      </c>
      <c r="E1520" t="inlineStr">
        <is>
          <t>225365206396</t>
        </is>
      </c>
      <c r="F1520">
        <f>IMAGE("https://cf.shopee.tw/file/tw-11134207-7qukz-liot58mmwrlgc8_tn")</f>
        <v/>
      </c>
    </row>
    <row r="1521">
      <c r="A1521" t="inlineStr">
        <is>
          <t>17697986037</t>
        </is>
      </c>
      <c r="B1521" t="inlineStr">
        <is>
          <t>隔日到貨🔥 浴廁必備 可愛動物牙刷架 創意卡通桌面筆筒 浴室置物架 桌面擺件 創意擺件 牙刷置物 牙刷收納 筆筒</t>
        </is>
      </c>
      <c r="C1521">
        <f>IMAGE("https://cf.shopee.tw/file/tw-11134207-7qul5-liot58mmvcxu66_tn")</f>
        <v/>
      </c>
      <c r="D1521" t="inlineStr">
        <is>
          <t>河馬</t>
        </is>
      </c>
      <c r="E1521" t="inlineStr">
        <is>
          <t>225365206397</t>
        </is>
      </c>
      <c r="F1521">
        <f>IMAGE("https://cf.shopee.tw/file/tw-11134207-7quky-liot58mmwria88_tn")</f>
        <v/>
      </c>
    </row>
    <row r="1522">
      <c r="A1522" t="inlineStr">
        <is>
          <t>17697986037</t>
        </is>
      </c>
      <c r="B1522" t="inlineStr">
        <is>
          <t>隔日到貨🔥 浴廁必備 可愛動物牙刷架 創意卡通桌面筆筒 浴室置物架 桌面擺件 創意擺件 牙刷置物 牙刷收納 筆筒</t>
        </is>
      </c>
      <c r="C1522">
        <f>IMAGE("https://cf.shopee.tw/file/tw-11134207-7qul5-liot58mmvcxu66_tn")</f>
        <v/>
      </c>
      <c r="D1522" t="inlineStr">
        <is>
          <t>小雞</t>
        </is>
      </c>
      <c r="E1522" t="inlineStr">
        <is>
          <t>225365206398</t>
        </is>
      </c>
      <c r="F1522">
        <f>IMAGE("https://cf.shopee.tw/file/tw-11134207-7qukx-liot58mmy65w00_tn")</f>
        <v/>
      </c>
    </row>
    <row r="1523">
      <c r="A1523" t="inlineStr">
        <is>
          <t>20525145965</t>
        </is>
      </c>
      <c r="B1523" t="inlineStr">
        <is>
          <t>隔日到貨🔥 iPhone 手機殼 17 16 15 14 13 12 11 pro Max X XR SE 保護殼 軟殼</t>
        </is>
      </c>
      <c r="C1523">
        <f>IMAGE("https://cf.shopee.tw/file/91ebb7b97178702a70d7e9d9200a8ab4_tn")</f>
        <v/>
      </c>
      <c r="D1523" t="inlineStr">
        <is>
          <t>綠頭套鴨,7 / 8 / SE2 / SE3</t>
        </is>
      </c>
      <c r="E1523" t="inlineStr">
        <is>
          <t>173733122054</t>
        </is>
      </c>
      <c r="F1523">
        <f>IMAGE("https://cf.shopee.tw/file/9424a6920b64628993d5b16caf8f9732_tn")</f>
        <v/>
      </c>
    </row>
    <row r="1524">
      <c r="A1524" t="inlineStr">
        <is>
          <t>20525145965</t>
        </is>
      </c>
      <c r="B1524" t="inlineStr">
        <is>
          <t>隔日到貨🔥 iPhone 手機殼 17 16 15 14 13 12 11 pro Max X XR SE 保護殼 軟殼</t>
        </is>
      </c>
      <c r="C1524">
        <f>IMAGE("https://cf.shopee.tw/file/91ebb7b97178702a70d7e9d9200a8ab4_tn")</f>
        <v/>
      </c>
      <c r="D1524" t="inlineStr">
        <is>
          <t>綠頭套鴨,7Plus / 8Plus</t>
        </is>
      </c>
      <c r="E1524" t="inlineStr">
        <is>
          <t>173733122055</t>
        </is>
      </c>
      <c r="F1524">
        <f>IMAGE("https://cf.shopee.tw/file/9424a6920b64628993d5b16caf8f9732_tn")</f>
        <v/>
      </c>
    </row>
    <row r="1525">
      <c r="A1525" t="inlineStr">
        <is>
          <t>20525145965</t>
        </is>
      </c>
      <c r="B1525" t="inlineStr">
        <is>
          <t>隔日到貨🔥 iPhone 手機殼 17 16 15 14 13 12 11 pro Max X XR SE 保護殼 軟殼</t>
        </is>
      </c>
      <c r="C1525">
        <f>IMAGE("https://cf.shopee.tw/file/91ebb7b97178702a70d7e9d9200a8ab4_tn")</f>
        <v/>
      </c>
      <c r="D1525" t="inlineStr">
        <is>
          <t>綠頭套鴨,X / XS</t>
        </is>
      </c>
      <c r="E1525" t="inlineStr">
        <is>
          <t>173733122056</t>
        </is>
      </c>
      <c r="F1525">
        <f>IMAGE("https://cf.shopee.tw/file/9424a6920b64628993d5b16caf8f9732_tn")</f>
        <v/>
      </c>
    </row>
    <row r="1526">
      <c r="A1526" t="inlineStr">
        <is>
          <t>20525145965</t>
        </is>
      </c>
      <c r="B1526" t="inlineStr">
        <is>
          <t>隔日到貨🔥 iPhone 手機殼 17 16 15 14 13 12 11 pro Max X XR SE 保護殼 軟殼</t>
        </is>
      </c>
      <c r="C1526">
        <f>IMAGE("https://cf.shopee.tw/file/91ebb7b97178702a70d7e9d9200a8ab4_tn")</f>
        <v/>
      </c>
      <c r="D1526" t="inlineStr">
        <is>
          <t>綠頭套鴨,XR</t>
        </is>
      </c>
      <c r="E1526" t="inlineStr">
        <is>
          <t>173733287304</t>
        </is>
      </c>
      <c r="F1526">
        <f>IMAGE("https://cf.shopee.tw/file/9424a6920b64628993d5b16caf8f9732_tn")</f>
        <v/>
      </c>
    </row>
    <row r="1527">
      <c r="A1527" t="inlineStr">
        <is>
          <t>20525145965</t>
        </is>
      </c>
      <c r="B1527" t="inlineStr">
        <is>
          <t>隔日到貨🔥 iPhone 手機殼 17 16 15 14 13 12 11 pro Max X XR SE 保護殼 軟殼</t>
        </is>
      </c>
      <c r="C1527">
        <f>IMAGE("https://cf.shopee.tw/file/91ebb7b97178702a70d7e9d9200a8ab4_tn")</f>
        <v/>
      </c>
      <c r="D1527" t="inlineStr">
        <is>
          <t>綠頭套鴨,XS Max</t>
        </is>
      </c>
      <c r="E1527" t="inlineStr">
        <is>
          <t>173733287311</t>
        </is>
      </c>
      <c r="F1527">
        <f>IMAGE("https://cf.shopee.tw/file/9424a6920b64628993d5b16caf8f9732_tn")</f>
        <v/>
      </c>
    </row>
    <row r="1528">
      <c r="A1528" t="inlineStr">
        <is>
          <t>20525145965</t>
        </is>
      </c>
      <c r="B1528" t="inlineStr">
        <is>
          <t>隔日到貨🔥 iPhone 手機殼 17 16 15 14 13 12 11 pro Max X XR SE 保護殼 軟殼</t>
        </is>
      </c>
      <c r="C1528">
        <f>IMAGE("https://cf.shopee.tw/file/91ebb7b97178702a70d7e9d9200a8ab4_tn")</f>
        <v/>
      </c>
      <c r="D1528" t="inlineStr">
        <is>
          <t>綠頭套鴨,11</t>
        </is>
      </c>
      <c r="E1528" t="inlineStr">
        <is>
          <t>173733287305</t>
        </is>
      </c>
      <c r="F1528">
        <f>IMAGE("https://cf.shopee.tw/file/9424a6920b64628993d5b16caf8f9732_tn")</f>
        <v/>
      </c>
    </row>
    <row r="1529">
      <c r="A1529" t="inlineStr">
        <is>
          <t>20525145965</t>
        </is>
      </c>
      <c r="B1529" t="inlineStr">
        <is>
          <t>隔日到貨🔥 iPhone 手機殼 17 16 15 14 13 12 11 pro Max X XR SE 保護殼 軟殼</t>
        </is>
      </c>
      <c r="C1529">
        <f>IMAGE("https://cf.shopee.tw/file/91ebb7b97178702a70d7e9d9200a8ab4_tn")</f>
        <v/>
      </c>
      <c r="D1529" t="inlineStr">
        <is>
          <t>綠頭套鴨,11 pro</t>
        </is>
      </c>
      <c r="E1529" t="inlineStr">
        <is>
          <t>173733287312</t>
        </is>
      </c>
      <c r="F1529">
        <f>IMAGE("https://cf.shopee.tw/file/9424a6920b64628993d5b16caf8f9732_tn")</f>
        <v/>
      </c>
    </row>
    <row r="1530">
      <c r="A1530" t="inlineStr">
        <is>
          <t>20525145965</t>
        </is>
      </c>
      <c r="B1530" t="inlineStr">
        <is>
          <t>隔日到貨🔥 iPhone 手機殼 17 16 15 14 13 12 11 pro Max X XR SE 保護殼 軟殼</t>
        </is>
      </c>
      <c r="C1530">
        <f>IMAGE("https://cf.shopee.tw/file/91ebb7b97178702a70d7e9d9200a8ab4_tn")</f>
        <v/>
      </c>
      <c r="D1530" t="inlineStr">
        <is>
          <t>綠頭套鴨,11 pro Max</t>
        </is>
      </c>
      <c r="E1530" t="inlineStr">
        <is>
          <t>183835586955</t>
        </is>
      </c>
      <c r="F1530">
        <f>IMAGE("https://cf.shopee.tw/file/9424a6920b64628993d5b16caf8f9732_tn")</f>
        <v/>
      </c>
    </row>
    <row r="1531">
      <c r="A1531" t="inlineStr">
        <is>
          <t>20525145965</t>
        </is>
      </c>
      <c r="B1531" t="inlineStr">
        <is>
          <t>隔日到貨🔥 iPhone 手機殼 17 16 15 14 13 12 11 pro Max X XR SE 保護殼 軟殼</t>
        </is>
      </c>
      <c r="C1531">
        <f>IMAGE("https://cf.shopee.tw/file/91ebb7b97178702a70d7e9d9200a8ab4_tn")</f>
        <v/>
      </c>
      <c r="D1531" t="inlineStr">
        <is>
          <t>綠頭套鴨,12</t>
        </is>
      </c>
      <c r="E1531" t="inlineStr">
        <is>
          <t>173733287307</t>
        </is>
      </c>
      <c r="F1531">
        <f>IMAGE("https://cf.shopee.tw/file/9424a6920b64628993d5b16caf8f9732_tn")</f>
        <v/>
      </c>
    </row>
    <row r="1532">
      <c r="A1532" t="inlineStr">
        <is>
          <t>20525145965</t>
        </is>
      </c>
      <c r="B1532" t="inlineStr">
        <is>
          <t>隔日到貨🔥 iPhone 手機殼 17 16 15 14 13 12 11 pro Max X XR SE 保護殼 軟殼</t>
        </is>
      </c>
      <c r="C1532">
        <f>IMAGE("https://cf.shopee.tw/file/91ebb7b97178702a70d7e9d9200a8ab4_tn")</f>
        <v/>
      </c>
      <c r="D1532" t="inlineStr">
        <is>
          <t>綠頭套鴨,12 pro</t>
        </is>
      </c>
      <c r="E1532" t="inlineStr">
        <is>
          <t>173733287306</t>
        </is>
      </c>
      <c r="F1532">
        <f>IMAGE("https://cf.shopee.tw/file/9424a6920b64628993d5b16caf8f9732_tn")</f>
        <v/>
      </c>
    </row>
    <row r="1533">
      <c r="A1533" t="inlineStr">
        <is>
          <t>20525145965</t>
        </is>
      </c>
      <c r="B1533" t="inlineStr">
        <is>
          <t>隔日到貨🔥 iPhone 手機殼 17 16 15 14 13 12 11 pro Max X XR SE 保護殼 軟殼</t>
        </is>
      </c>
      <c r="C1533">
        <f>IMAGE("https://cf.shopee.tw/file/91ebb7b97178702a70d7e9d9200a8ab4_tn")</f>
        <v/>
      </c>
      <c r="D1533" t="inlineStr">
        <is>
          <t>綠頭套鴨,12 pro Max</t>
        </is>
      </c>
      <c r="E1533" t="inlineStr">
        <is>
          <t>173733287308</t>
        </is>
      </c>
      <c r="F1533">
        <f>IMAGE("https://cf.shopee.tw/file/9424a6920b64628993d5b16caf8f9732_tn")</f>
        <v/>
      </c>
    </row>
    <row r="1534">
      <c r="A1534" t="inlineStr">
        <is>
          <t>20525145965</t>
        </is>
      </c>
      <c r="B1534" t="inlineStr">
        <is>
          <t>隔日到貨🔥 iPhone 手機殼 17 16 15 14 13 12 11 pro Max X XR SE 保護殼 軟殼</t>
        </is>
      </c>
      <c r="C1534">
        <f>IMAGE("https://cf.shopee.tw/file/91ebb7b97178702a70d7e9d9200a8ab4_tn")</f>
        <v/>
      </c>
      <c r="D1534" t="inlineStr">
        <is>
          <t>綠頭套鴨,12mini</t>
        </is>
      </c>
      <c r="E1534" t="inlineStr">
        <is>
          <t>184585409463</t>
        </is>
      </c>
      <c r="F1534">
        <f>IMAGE("https://cf.shopee.tw/file/9424a6920b64628993d5b16caf8f9732_tn")</f>
        <v/>
      </c>
    </row>
    <row r="1535">
      <c r="A1535" t="inlineStr">
        <is>
          <t>20525145965</t>
        </is>
      </c>
      <c r="B1535" t="inlineStr">
        <is>
          <t>隔日到貨🔥 iPhone 手機殼 17 16 15 14 13 12 11 pro Max X XR SE 保護殼 軟殼</t>
        </is>
      </c>
      <c r="C1535">
        <f>IMAGE("https://cf.shopee.tw/file/91ebb7b97178702a70d7e9d9200a8ab4_tn")</f>
        <v/>
      </c>
      <c r="D1535" t="inlineStr">
        <is>
          <t>綠頭套鴨,13</t>
        </is>
      </c>
      <c r="E1535" t="inlineStr">
        <is>
          <t>173733287309</t>
        </is>
      </c>
      <c r="F1535">
        <f>IMAGE("https://cf.shopee.tw/file/9424a6920b64628993d5b16caf8f9732_tn")</f>
        <v/>
      </c>
    </row>
    <row r="1536">
      <c r="A1536" t="inlineStr">
        <is>
          <t>20525145965</t>
        </is>
      </c>
      <c r="B1536" t="inlineStr">
        <is>
          <t>隔日到貨🔥 iPhone 手機殼 17 16 15 14 13 12 11 pro Max X XR SE 保護殼 軟殼</t>
        </is>
      </c>
      <c r="C1536">
        <f>IMAGE("https://cf.shopee.tw/file/91ebb7b97178702a70d7e9d9200a8ab4_tn")</f>
        <v/>
      </c>
      <c r="D1536" t="inlineStr">
        <is>
          <t>綠頭套鴨,13 pro</t>
        </is>
      </c>
      <c r="E1536" t="inlineStr">
        <is>
          <t>173733287310</t>
        </is>
      </c>
      <c r="F1536">
        <f>IMAGE("https://cf.shopee.tw/file/9424a6920b64628993d5b16caf8f9732_tn")</f>
        <v/>
      </c>
    </row>
    <row r="1537">
      <c r="A1537" t="inlineStr">
        <is>
          <t>20525145965</t>
        </is>
      </c>
      <c r="B1537" t="inlineStr">
        <is>
          <t>隔日到貨🔥 iPhone 手機殼 17 16 15 14 13 12 11 pro Max X XR SE 保護殼 軟殼</t>
        </is>
      </c>
      <c r="C1537">
        <f>IMAGE("https://cf.shopee.tw/file/91ebb7b97178702a70d7e9d9200a8ab4_tn")</f>
        <v/>
      </c>
      <c r="D1537" t="inlineStr">
        <is>
          <t>綠頭套鴨,13 pro Max</t>
        </is>
      </c>
      <c r="E1537" t="inlineStr">
        <is>
          <t>173733287303</t>
        </is>
      </c>
      <c r="F1537">
        <f>IMAGE("https://cf.shopee.tw/file/9424a6920b64628993d5b16caf8f9732_tn")</f>
        <v/>
      </c>
    </row>
    <row r="1538">
      <c r="A1538" t="inlineStr">
        <is>
          <t>20525145965</t>
        </is>
      </c>
      <c r="B1538" t="inlineStr">
        <is>
          <t>隔日到貨🔥 iPhone 手機殼 17 16 15 14 13 12 11 pro Max X XR SE 保護殼 軟殼</t>
        </is>
      </c>
      <c r="C1538">
        <f>IMAGE("https://cf.shopee.tw/file/91ebb7b97178702a70d7e9d9200a8ab4_tn")</f>
        <v/>
      </c>
      <c r="D1538" t="inlineStr">
        <is>
          <t>綠頭套鴨,13 mini</t>
        </is>
      </c>
      <c r="E1538" t="inlineStr">
        <is>
          <t>214250471172</t>
        </is>
      </c>
      <c r="F1538">
        <f>IMAGE("https://cf.shopee.tw/file/9424a6920b64628993d5b16caf8f9732_tn")</f>
        <v/>
      </c>
    </row>
    <row r="1539">
      <c r="A1539" t="inlineStr">
        <is>
          <t>20525145965</t>
        </is>
      </c>
      <c r="B1539" t="inlineStr">
        <is>
          <t>隔日到貨🔥 iPhone 手機殼 17 16 15 14 13 12 11 pro Max X XR SE 保護殼 軟殼</t>
        </is>
      </c>
      <c r="C1539">
        <f>IMAGE("https://cf.shopee.tw/file/91ebb7b97178702a70d7e9d9200a8ab4_tn")</f>
        <v/>
      </c>
      <c r="D1539" t="inlineStr">
        <is>
          <t>綠頭套鴨,14</t>
        </is>
      </c>
      <c r="E1539" t="inlineStr">
        <is>
          <t>49077867456</t>
        </is>
      </c>
      <c r="F1539">
        <f>IMAGE("https://cf.shopee.tw/file/9424a6920b64628993d5b16caf8f9732_tn")</f>
        <v/>
      </c>
    </row>
    <row r="1540">
      <c r="A1540" t="inlineStr">
        <is>
          <t>20525145965</t>
        </is>
      </c>
      <c r="B1540" t="inlineStr">
        <is>
          <t>隔日到貨🔥 iPhone 手機殼 17 16 15 14 13 12 11 pro Max X XR SE 保護殼 軟殼</t>
        </is>
      </c>
      <c r="C1540">
        <f>IMAGE("https://cf.shopee.tw/file/91ebb7b97178702a70d7e9d9200a8ab4_tn")</f>
        <v/>
      </c>
      <c r="D1540" t="inlineStr">
        <is>
          <t>綠頭套鴨,14 pro</t>
        </is>
      </c>
      <c r="E1540" t="inlineStr"/>
      <c r="F1540">
        <f>IMAGE("https://cf.shopee.tw/file/9424a6920b64628993d5b16caf8f9732_tn")</f>
        <v/>
      </c>
    </row>
    <row r="1541">
      <c r="A1541" t="inlineStr">
        <is>
          <t>20525145965</t>
        </is>
      </c>
      <c r="B1541" t="inlineStr">
        <is>
          <t>隔日到貨🔥 iPhone 手機殼 17 16 15 14 13 12 11 pro Max X XR SE 保護殼 軟殼</t>
        </is>
      </c>
      <c r="C1541">
        <f>IMAGE("https://cf.shopee.tw/file/91ebb7b97178702a70d7e9d9200a8ab4_tn")</f>
        <v/>
      </c>
      <c r="D1541" t="inlineStr">
        <is>
          <t>綠頭套鴨,14 pro Max</t>
        </is>
      </c>
      <c r="E1541" t="inlineStr">
        <is>
          <t>59077547433</t>
        </is>
      </c>
      <c r="F1541">
        <f>IMAGE("https://cf.shopee.tw/file/9424a6920b64628993d5b16caf8f9732_tn")</f>
        <v/>
      </c>
    </row>
    <row r="1542">
      <c r="A1542" t="inlineStr">
        <is>
          <t>20525145965</t>
        </is>
      </c>
      <c r="B1542" t="inlineStr">
        <is>
          <t>隔日到貨🔥 iPhone 手機殼 17 16 15 14 13 12 11 pro Max X XR SE 保護殼 軟殼</t>
        </is>
      </c>
      <c r="C1542">
        <f>IMAGE("https://cf.shopee.tw/file/91ebb7b97178702a70d7e9d9200a8ab4_tn")</f>
        <v/>
      </c>
      <c r="D1542" t="inlineStr">
        <is>
          <t>綠頭套鴨,14 Plus</t>
        </is>
      </c>
      <c r="E1542" t="inlineStr">
        <is>
          <t>49077867457</t>
        </is>
      </c>
      <c r="F1542">
        <f>IMAGE("https://cf.shopee.tw/file/9424a6920b64628993d5b16caf8f9732_tn")</f>
        <v/>
      </c>
    </row>
    <row r="1543">
      <c r="A1543" t="inlineStr">
        <is>
          <t>20525145965</t>
        </is>
      </c>
      <c r="B1543" t="inlineStr">
        <is>
          <t>隔日到貨🔥 iPhone 手機殼 17 16 15 14 13 12 11 pro Max X XR SE 保護殼 軟殼</t>
        </is>
      </c>
      <c r="C1543">
        <f>IMAGE("https://cf.shopee.tw/file/91ebb7b97178702a70d7e9d9200a8ab4_tn")</f>
        <v/>
      </c>
      <c r="D1543" t="inlineStr">
        <is>
          <t>綠頭套鴨,15</t>
        </is>
      </c>
      <c r="E1543" t="inlineStr">
        <is>
          <t>225637273447</t>
        </is>
      </c>
      <c r="F1543">
        <f>IMAGE("https://cf.shopee.tw/file/9424a6920b64628993d5b16caf8f9732_tn")</f>
        <v/>
      </c>
    </row>
    <row r="1544">
      <c r="A1544" t="inlineStr">
        <is>
          <t>20525145965</t>
        </is>
      </c>
      <c r="B1544" t="inlineStr">
        <is>
          <t>隔日到貨🔥 iPhone 手機殼 17 16 15 14 13 12 11 pro Max X XR SE 保護殼 軟殼</t>
        </is>
      </c>
      <c r="C1544">
        <f>IMAGE("https://cf.shopee.tw/file/91ebb7b97178702a70d7e9d9200a8ab4_tn")</f>
        <v/>
      </c>
      <c r="D1544" t="inlineStr">
        <is>
          <t>綠頭套鴨,15 pro</t>
        </is>
      </c>
      <c r="E1544" t="inlineStr">
        <is>
          <t>225637273446</t>
        </is>
      </c>
      <c r="F1544">
        <f>IMAGE("https://cf.shopee.tw/file/9424a6920b64628993d5b16caf8f9732_tn")</f>
        <v/>
      </c>
    </row>
    <row r="1545">
      <c r="A1545" t="inlineStr">
        <is>
          <t>20525145965</t>
        </is>
      </c>
      <c r="B1545" t="inlineStr">
        <is>
          <t>隔日到貨🔥 iPhone 手機殼 17 16 15 14 13 12 11 pro Max X XR SE 保護殼 軟殼</t>
        </is>
      </c>
      <c r="C1545">
        <f>IMAGE("https://cf.shopee.tw/file/91ebb7b97178702a70d7e9d9200a8ab4_tn")</f>
        <v/>
      </c>
      <c r="D1545" t="inlineStr">
        <is>
          <t>綠頭套鴨,15 pro Max</t>
        </is>
      </c>
      <c r="E1545" t="inlineStr">
        <is>
          <t>225637273444</t>
        </is>
      </c>
      <c r="F1545">
        <f>IMAGE("https://cf.shopee.tw/file/9424a6920b64628993d5b16caf8f9732_tn")</f>
        <v/>
      </c>
    </row>
    <row r="1546">
      <c r="A1546" t="inlineStr">
        <is>
          <t>20525145965</t>
        </is>
      </c>
      <c r="B1546" t="inlineStr">
        <is>
          <t>隔日到貨🔥 iPhone 手機殼 17 16 15 14 13 12 11 pro Max X XR SE 保護殼 軟殼</t>
        </is>
      </c>
      <c r="C1546">
        <f>IMAGE("https://cf.shopee.tw/file/91ebb7b97178702a70d7e9d9200a8ab4_tn")</f>
        <v/>
      </c>
      <c r="D1546" t="inlineStr">
        <is>
          <t>綠頭套鴨,15 Plus</t>
        </is>
      </c>
      <c r="E1546" t="inlineStr">
        <is>
          <t>225637273445</t>
        </is>
      </c>
      <c r="F1546">
        <f>IMAGE("https://cf.shopee.tw/file/9424a6920b64628993d5b16caf8f9732_tn")</f>
        <v/>
      </c>
    </row>
    <row r="1547">
      <c r="A1547" t="inlineStr">
        <is>
          <t>20525145965</t>
        </is>
      </c>
      <c r="B1547" t="inlineStr">
        <is>
          <t>隔日到貨🔥 iPhone 手機殼 17 16 15 14 13 12 11 pro Max X XR SE 保護殼 軟殼</t>
        </is>
      </c>
      <c r="C1547">
        <f>IMAGE("https://cf.shopee.tw/file/91ebb7b97178702a70d7e9d9200a8ab4_tn")</f>
        <v/>
      </c>
      <c r="D1547" t="inlineStr">
        <is>
          <t>綠頭套鴨,16</t>
        </is>
      </c>
      <c r="E1547" t="inlineStr">
        <is>
          <t>241619801323</t>
        </is>
      </c>
      <c r="F1547">
        <f>IMAGE("https://cf.shopee.tw/file/9424a6920b64628993d5b16caf8f9732_tn")</f>
        <v/>
      </c>
    </row>
    <row r="1548">
      <c r="A1548" t="inlineStr">
        <is>
          <t>20525145965</t>
        </is>
      </c>
      <c r="B1548" t="inlineStr">
        <is>
          <t>隔日到貨🔥 iPhone 手機殼 17 16 15 14 13 12 11 pro Max X XR SE 保護殼 軟殼</t>
        </is>
      </c>
      <c r="C1548">
        <f>IMAGE("https://cf.shopee.tw/file/91ebb7b97178702a70d7e9d9200a8ab4_tn")</f>
        <v/>
      </c>
      <c r="D1548" t="inlineStr">
        <is>
          <t>綠頭套鴨,16 pro</t>
        </is>
      </c>
      <c r="E1548" t="inlineStr">
        <is>
          <t>241619801324</t>
        </is>
      </c>
      <c r="F1548">
        <f>IMAGE("https://cf.shopee.tw/file/9424a6920b64628993d5b16caf8f9732_tn")</f>
        <v/>
      </c>
    </row>
    <row r="1549">
      <c r="A1549" t="inlineStr">
        <is>
          <t>20525145965</t>
        </is>
      </c>
      <c r="B1549" t="inlineStr">
        <is>
          <t>隔日到貨🔥 iPhone 手機殼 17 16 15 14 13 12 11 pro Max X XR SE 保護殼 軟殼</t>
        </is>
      </c>
      <c r="C1549">
        <f>IMAGE("https://cf.shopee.tw/file/91ebb7b97178702a70d7e9d9200a8ab4_tn")</f>
        <v/>
      </c>
      <c r="D1549" t="inlineStr">
        <is>
          <t>綠頭套鴨,16 pro Max</t>
        </is>
      </c>
      <c r="E1549" t="inlineStr">
        <is>
          <t>241619801325</t>
        </is>
      </c>
      <c r="F1549">
        <f>IMAGE("https://cf.shopee.tw/file/9424a6920b64628993d5b16caf8f9732_tn")</f>
        <v/>
      </c>
    </row>
    <row r="1550">
      <c r="A1550" t="inlineStr">
        <is>
          <t>20525145965</t>
        </is>
      </c>
      <c r="B1550" t="inlineStr">
        <is>
          <t>隔日到貨🔥 iPhone 手機殼 17 16 15 14 13 12 11 pro Max X XR SE 保護殼 軟殼</t>
        </is>
      </c>
      <c r="C1550">
        <f>IMAGE("https://cf.shopee.tw/file/91ebb7b97178702a70d7e9d9200a8ab4_tn")</f>
        <v/>
      </c>
      <c r="D1550" t="inlineStr">
        <is>
          <t>綠頭套鴨,16 Plus</t>
        </is>
      </c>
      <c r="E1550" t="inlineStr">
        <is>
          <t>241619801326</t>
        </is>
      </c>
      <c r="F1550">
        <f>IMAGE("https://cf.shopee.tw/file/9424a6920b64628993d5b16caf8f9732_tn")</f>
        <v/>
      </c>
    </row>
    <row r="1551">
      <c r="A1551" t="inlineStr">
        <is>
          <t>20525145965</t>
        </is>
      </c>
      <c r="B1551" t="inlineStr">
        <is>
          <t>隔日到貨🔥 iPhone 手機殼 17 16 15 14 13 12 11 pro Max X XR SE 保護殼 軟殼</t>
        </is>
      </c>
      <c r="C1551">
        <f>IMAGE("https://cf.shopee.tw/file/91ebb7b97178702a70d7e9d9200a8ab4_tn")</f>
        <v/>
      </c>
      <c r="D1551" t="inlineStr">
        <is>
          <t>綠頭套鴨,17</t>
        </is>
      </c>
      <c r="E1551" t="inlineStr">
        <is>
          <t>286980750010</t>
        </is>
      </c>
      <c r="F1551">
        <f>IMAGE("https://cf.shopee.tw/file/9424a6920b64628993d5b16caf8f9732_tn")</f>
        <v/>
      </c>
    </row>
    <row r="1552">
      <c r="A1552" t="inlineStr">
        <is>
          <t>20525145965</t>
        </is>
      </c>
      <c r="B1552" t="inlineStr">
        <is>
          <t>隔日到貨🔥 iPhone 手機殼 17 16 15 14 13 12 11 pro Max X XR SE 保護殼 軟殼</t>
        </is>
      </c>
      <c r="C1552">
        <f>IMAGE("https://cf.shopee.tw/file/91ebb7b97178702a70d7e9d9200a8ab4_tn")</f>
        <v/>
      </c>
      <c r="D1552" t="inlineStr">
        <is>
          <t>綠頭套鴨,17 pro</t>
        </is>
      </c>
      <c r="E1552" t="inlineStr">
        <is>
          <t>286980750011</t>
        </is>
      </c>
      <c r="F1552">
        <f>IMAGE("https://cf.shopee.tw/file/9424a6920b64628993d5b16caf8f9732_tn")</f>
        <v/>
      </c>
    </row>
    <row r="1553">
      <c r="A1553" t="inlineStr">
        <is>
          <t>20525145965</t>
        </is>
      </c>
      <c r="B1553" t="inlineStr">
        <is>
          <t>隔日到貨🔥 iPhone 手機殼 17 16 15 14 13 12 11 pro Max X XR SE 保護殼 軟殼</t>
        </is>
      </c>
      <c r="C1553">
        <f>IMAGE("https://cf.shopee.tw/file/91ebb7b97178702a70d7e9d9200a8ab4_tn")</f>
        <v/>
      </c>
      <c r="D1553" t="inlineStr">
        <is>
          <t>綠頭套鴨,17 pro Max</t>
        </is>
      </c>
      <c r="E1553" t="inlineStr">
        <is>
          <t>286980750012</t>
        </is>
      </c>
      <c r="F1553">
        <f>IMAGE("https://cf.shopee.tw/file/9424a6920b64628993d5b16caf8f9732_tn")</f>
        <v/>
      </c>
    </row>
    <row r="1554">
      <c r="A1554" t="inlineStr">
        <is>
          <t>20525145965</t>
        </is>
      </c>
      <c r="B1554" t="inlineStr">
        <is>
          <t>隔日到貨🔥 iPhone 手機殼 17 16 15 14 13 12 11 pro Max X XR SE 保護殼 軟殼</t>
        </is>
      </c>
      <c r="C1554">
        <f>IMAGE("https://cf.shopee.tw/file/91ebb7b97178702a70d7e9d9200a8ab4_tn")</f>
        <v/>
      </c>
      <c r="D1554" t="inlineStr">
        <is>
          <t>綠頭套鴨,17 Air</t>
        </is>
      </c>
      <c r="E1554" t="inlineStr"/>
      <c r="F1554">
        <f>IMAGE("https://cf.shopee.tw/file/9424a6920b64628993d5b16caf8f9732_tn")</f>
        <v/>
      </c>
    </row>
    <row r="1555">
      <c r="A1555" t="inlineStr">
        <is>
          <t>20979963902</t>
        </is>
      </c>
      <c r="B1555" t="inlineStr">
        <is>
          <t>隔日到貨🔥 閃粉鏡頭貼 iPhone 16 15 14 13 12 11 鋼化玻璃 保護貼 鏡頭保護 鏡頭圈 鏡頭膜</t>
        </is>
      </c>
      <c r="C1555">
        <f>IMAGE("https://cf.shopee.tw/file/tw-11134207-7qul4-lh09ter4nz8p7e_tn")</f>
        <v/>
      </c>
      <c r="D1555" t="inlineStr">
        <is>
          <t>黑色閃粉(一顆),11/12/12mini/12pro</t>
        </is>
      </c>
      <c r="E1555" t="inlineStr"/>
      <c r="F1555">
        <f>IMAGE("https://cf.shopee.tw/file/tw-11134207-7qul5-lh09ter4pdt5ce_tn")</f>
        <v/>
      </c>
    </row>
    <row r="1556">
      <c r="A1556" t="inlineStr">
        <is>
          <t>20979963902</t>
        </is>
      </c>
      <c r="B1556" t="inlineStr">
        <is>
          <t>隔日到貨🔥 閃粉鏡頭貼 iPhone 16 15 14 13 12 11 鋼化玻璃 保護貼 鏡頭保護 鏡頭圈 鏡頭膜</t>
        </is>
      </c>
      <c r="C1556">
        <f>IMAGE("https://cf.shopee.tw/file/tw-11134207-7qul4-lh09ter4nz8p7e_tn")</f>
        <v/>
      </c>
      <c r="D1556" t="inlineStr">
        <is>
          <t>黑色閃粉(一顆),14pro/14proMax</t>
        </is>
      </c>
      <c r="E1556" t="inlineStr"/>
      <c r="F1556">
        <f>IMAGE("https://cf.shopee.tw/file/tw-11134207-7qul5-lh09ter4pdt5ce_tn")</f>
        <v/>
      </c>
    </row>
    <row r="1557">
      <c r="A1557" t="inlineStr">
        <is>
          <t>20979963902</t>
        </is>
      </c>
      <c r="B1557" t="inlineStr">
        <is>
          <t>隔日到貨🔥 閃粉鏡頭貼 iPhone 16 15 14 13 12 11 鋼化玻璃 保護貼 鏡頭保護 鏡頭圈 鏡頭膜</t>
        </is>
      </c>
      <c r="C1557">
        <f>IMAGE("https://cf.shopee.tw/file/tw-11134207-7qul4-lh09ter4nz8p7e_tn")</f>
        <v/>
      </c>
      <c r="D1557" t="inlineStr">
        <is>
          <t>黑色閃粉(一顆),15pro/15proMax</t>
        </is>
      </c>
      <c r="E1557" t="inlineStr"/>
      <c r="F1557">
        <f>IMAGE("https://cf.shopee.tw/file/tw-11134207-7qul5-lh09ter4pdt5ce_tn")</f>
        <v/>
      </c>
    </row>
    <row r="1558">
      <c r="A1558" t="inlineStr">
        <is>
          <t>20979963902</t>
        </is>
      </c>
      <c r="B1558" t="inlineStr">
        <is>
          <t>隔日到貨🔥 閃粉鏡頭貼 iPhone 16 15 14 13 12 11 鋼化玻璃 保護貼 鏡頭保護 鏡頭圈 鏡頭膜</t>
        </is>
      </c>
      <c r="C1558">
        <f>IMAGE("https://cf.shopee.tw/file/tw-11134207-7qul4-lh09ter4nz8p7e_tn")</f>
        <v/>
      </c>
      <c r="D1558" t="inlineStr">
        <is>
          <t>黑色閃粉(一顆),16pro/16proMax</t>
        </is>
      </c>
      <c r="E1558" t="inlineStr"/>
      <c r="F1558">
        <f>IMAGE("https://cf.shopee.tw/file/tw-11134207-7qul5-lh09ter4pdt5ce_tn")</f>
        <v/>
      </c>
    </row>
    <row r="1559">
      <c r="A1559" t="inlineStr">
        <is>
          <t>20979963902</t>
        </is>
      </c>
      <c r="B1559" t="inlineStr">
        <is>
          <t>隔日到貨🔥 閃粉鏡頭貼 iPhone 16 15 14 13 12 11 鋼化玻璃 保護貼 鏡頭保護 鏡頭圈 鏡頭膜</t>
        </is>
      </c>
      <c r="C1559">
        <f>IMAGE("https://cf.shopee.tw/file/tw-11134207-7qul4-lh09ter4nz8p7e_tn")</f>
        <v/>
      </c>
      <c r="D1559" t="inlineStr">
        <is>
          <t>銀色閃粉(一顆),16pro/16proMax</t>
        </is>
      </c>
      <c r="E1559" t="inlineStr"/>
      <c r="F1559">
        <f>IMAGE("https://cf.shopee.tw/file/tw-11134207-7qukw-lh09xcy2mfjd48_tn")</f>
        <v/>
      </c>
    </row>
    <row r="1560">
      <c r="A1560" t="inlineStr">
        <is>
          <t>20979963902</t>
        </is>
      </c>
      <c r="B1560" t="inlineStr">
        <is>
          <t>隔日到貨🔥 閃粉鏡頭貼 iPhone 16 15 14 13 12 11 鋼化玻璃 保護貼 鏡頭保護 鏡頭圈 鏡頭膜</t>
        </is>
      </c>
      <c r="C1560">
        <f>IMAGE("https://cf.shopee.tw/file/tw-11134207-7qul4-lh09ter4nz8p7e_tn")</f>
        <v/>
      </c>
      <c r="D1560" t="inlineStr">
        <is>
          <t>遠峰藍閃粉(一顆),16pro/16proMax</t>
        </is>
      </c>
      <c r="E1560" t="inlineStr"/>
      <c r="F1560">
        <f>IMAGE("https://cf.shopee.tw/file/tw-11134207-7qukw-lh09xcy2nu3t66_tn")</f>
        <v/>
      </c>
    </row>
    <row r="1561">
      <c r="A1561" t="inlineStr">
        <is>
          <t>20979963902</t>
        </is>
      </c>
      <c r="B1561" t="inlineStr">
        <is>
          <t>隔日到貨🔥 閃粉鏡頭貼 iPhone 16 15 14 13 12 11 鋼化玻璃 保護貼 鏡頭保護 鏡頭圈 鏡頭膜</t>
        </is>
      </c>
      <c r="C1561">
        <f>IMAGE("https://cf.shopee.tw/file/tw-11134207-7qul4-lh09ter4nz8p7e_tn")</f>
        <v/>
      </c>
      <c r="D1561" t="inlineStr">
        <is>
          <t>綠色閃粉(一顆),14pro/14proMax</t>
        </is>
      </c>
      <c r="E1561" t="inlineStr"/>
      <c r="F1561">
        <f>IMAGE("https://cf.shopee.tw/file/tw-11134207-7qul1-lh09xklbe8mh84_tn")</f>
        <v/>
      </c>
    </row>
    <row r="1562">
      <c r="A1562" t="inlineStr">
        <is>
          <t>20979963902</t>
        </is>
      </c>
      <c r="B1562" t="inlineStr">
        <is>
          <t>隔日到貨🔥 閃粉鏡頭貼 iPhone 16 15 14 13 12 11 鋼化玻璃 保護貼 鏡頭保護 鏡頭圈 鏡頭膜</t>
        </is>
      </c>
      <c r="C1562">
        <f>IMAGE("https://cf.shopee.tw/file/tw-11134207-7qul4-lh09ter4nz8p7e_tn")</f>
        <v/>
      </c>
      <c r="D1562" t="inlineStr">
        <is>
          <t>綠色閃粉(一顆),16pro/16proMax</t>
        </is>
      </c>
      <c r="E1562" t="inlineStr"/>
      <c r="F1562">
        <f>IMAGE("https://cf.shopee.tw/file/tw-11134207-7qul1-lh09xklbe8mh84_tn")</f>
        <v/>
      </c>
    </row>
    <row r="1563">
      <c r="A1563" t="inlineStr">
        <is>
          <t>20979963902</t>
        </is>
      </c>
      <c r="B1563" t="inlineStr">
        <is>
          <t>隔日到貨🔥 閃粉鏡頭貼 iPhone 16 15 14 13 12 11 鋼化玻璃 保護貼 鏡頭保護 鏡頭圈 鏡頭膜</t>
        </is>
      </c>
      <c r="C1563">
        <f>IMAGE("https://cf.shopee.tw/file/tw-11134207-7qul4-lh09ter4nz8p7e_tn")</f>
        <v/>
      </c>
      <c r="D1563" t="inlineStr">
        <is>
          <t>金色閃粉(一顆),14pro/14proMax</t>
        </is>
      </c>
      <c r="E1563" t="inlineStr"/>
      <c r="F1563">
        <f>IMAGE("https://cf.shopee.tw/file/tw-11134207-7qul8-lh09xklbfn6x17_tn")</f>
        <v/>
      </c>
    </row>
    <row r="1564">
      <c r="A1564" t="inlineStr">
        <is>
          <t>20979963902</t>
        </is>
      </c>
      <c r="B1564" t="inlineStr">
        <is>
          <t>隔日到貨🔥 閃粉鏡頭貼 iPhone 16 15 14 13 12 11 鋼化玻璃 保護貼 鏡頭保護 鏡頭圈 鏡頭膜</t>
        </is>
      </c>
      <c r="C1564">
        <f>IMAGE("https://cf.shopee.tw/file/tw-11134207-7qul4-lh09ter4nz8p7e_tn")</f>
        <v/>
      </c>
      <c r="D1564" t="inlineStr">
        <is>
          <t>金色閃粉(一顆),16pro/16proMax</t>
        </is>
      </c>
      <c r="E1564" t="inlineStr"/>
      <c r="F1564">
        <f>IMAGE("https://cf.shopee.tw/file/tw-11134207-7qul8-lh09xklbfn6x17_tn")</f>
        <v/>
      </c>
    </row>
    <row r="1565">
      <c r="A1565" t="inlineStr">
        <is>
          <t>20979963902</t>
        </is>
      </c>
      <c r="B1565" t="inlineStr">
        <is>
          <t>隔日到貨🔥 閃粉鏡頭貼 iPhone 16 15 14 13 12 11 鋼化玻璃 保護貼 鏡頭保護 鏡頭圈 鏡頭膜</t>
        </is>
      </c>
      <c r="C1565">
        <f>IMAGE("https://cf.shopee.tw/file/tw-11134207-7qul4-lh09ter4nz8p7e_tn")</f>
        <v/>
      </c>
      <c r="D1565" t="inlineStr">
        <is>
          <t>炫彩閃粉(一顆),14pro/14proMax</t>
        </is>
      </c>
      <c r="E1565" t="inlineStr"/>
      <c r="F1565">
        <f>IMAGE("https://cf.shopee.tw/file/tw-11134207-7qul0-lh09xrtuudk96f_tn")</f>
        <v/>
      </c>
    </row>
    <row r="1566">
      <c r="A1566" t="inlineStr">
        <is>
          <t>20979963902</t>
        </is>
      </c>
      <c r="B1566" t="inlineStr">
        <is>
          <t>隔日到貨🔥 閃粉鏡頭貼 iPhone 16 15 14 13 12 11 鋼化玻璃 保護貼 鏡頭保護 鏡頭圈 鏡頭膜</t>
        </is>
      </c>
      <c r="C1566">
        <f>IMAGE("https://cf.shopee.tw/file/tw-11134207-7qul4-lh09ter4nz8p7e_tn")</f>
        <v/>
      </c>
      <c r="D1566" t="inlineStr">
        <is>
          <t>炫彩閃粉(一顆),16pro/16proMax</t>
        </is>
      </c>
      <c r="E1566" t="inlineStr"/>
      <c r="F1566">
        <f>IMAGE("https://cf.shopee.tw/file/tw-11134207-7qul0-lh09xrtuudk96f_tn")</f>
        <v/>
      </c>
    </row>
    <row r="1567">
      <c r="A1567" t="inlineStr">
        <is>
          <t>20979963902</t>
        </is>
      </c>
      <c r="B1567" t="inlineStr">
        <is>
          <t>隔日到貨🔥 閃粉鏡頭貼 iPhone 16 15 14 13 12 11 鋼化玻璃 保護貼 鏡頭保護 鏡頭圈 鏡頭膜</t>
        </is>
      </c>
      <c r="C1567">
        <f>IMAGE("https://cf.shopee.tw/file/tw-11134207-7qul4-lh09ter4nz8p7e_tn")</f>
        <v/>
      </c>
      <c r="D1567" t="inlineStr">
        <is>
          <t>粉色閃粉(一顆),16/16Plus</t>
        </is>
      </c>
      <c r="E1567" t="inlineStr"/>
      <c r="F1567">
        <f>IMAGE("https://cf.shopee.tw/file/tw-11134207-7qula-lh09xrtuvs4p07_tn")</f>
        <v/>
      </c>
    </row>
    <row r="1568">
      <c r="A1568" t="inlineStr">
        <is>
          <t>20979963902</t>
        </is>
      </c>
      <c r="B1568" t="inlineStr">
        <is>
          <t>隔日到貨🔥 閃粉鏡頭貼 iPhone 16 15 14 13 12 11 鋼化玻璃 保護貼 鏡頭保護 鏡頭圈 鏡頭膜</t>
        </is>
      </c>
      <c r="C1568">
        <f>IMAGE("https://cf.shopee.tw/file/tw-11134207-7qul4-lh09ter4nz8p7e_tn")</f>
        <v/>
      </c>
      <c r="D1568" t="inlineStr">
        <is>
          <t>粉色閃粉(一顆),16pro/16proMax</t>
        </is>
      </c>
      <c r="E1568" t="inlineStr"/>
      <c r="F1568">
        <f>IMAGE("https://cf.shopee.tw/file/tw-11134207-7qula-lh09xrtuvs4p07_tn")</f>
        <v/>
      </c>
    </row>
    <row r="1569">
      <c r="A1569" t="inlineStr">
        <is>
          <t>20979963902</t>
        </is>
      </c>
      <c r="B1569" t="inlineStr">
        <is>
          <t>隔日到貨🔥 閃粉鏡頭貼 iPhone 16 15 14 13 12 11 鋼化玻璃 保護貼 鏡頭保護 鏡頭圈 鏡頭膜</t>
        </is>
      </c>
      <c r="C1569">
        <f>IMAGE("https://cf.shopee.tw/file/tw-11134207-7qul4-lh09ter4nz8p7e_tn")</f>
        <v/>
      </c>
      <c r="D1569" t="inlineStr">
        <is>
          <t>黑色閃粉(一顆),13/13mini/12proMax</t>
        </is>
      </c>
      <c r="E1569" t="inlineStr">
        <is>
          <t>231621521667</t>
        </is>
      </c>
      <c r="F1569">
        <f>IMAGE("https://cf.shopee.tw/file/tw-11134207-7qul5-lh09ter4pdt5ce_tn")</f>
        <v/>
      </c>
    </row>
    <row r="1570">
      <c r="A1570" t="inlineStr">
        <is>
          <t>20979963902</t>
        </is>
      </c>
      <c r="B1570" t="inlineStr">
        <is>
          <t>隔日到貨🔥 閃粉鏡頭貼 iPhone 16 15 14 13 12 11 鋼化玻璃 保護貼 鏡頭保護 鏡頭圈 鏡頭膜</t>
        </is>
      </c>
      <c r="C1570">
        <f>IMAGE("https://cf.shopee.tw/file/tw-11134207-7qul4-lh09ter4nz8p7e_tn")</f>
        <v/>
      </c>
      <c r="D1570" t="inlineStr">
        <is>
          <t>黑色閃粉(一顆),13pro/13proMax</t>
        </is>
      </c>
      <c r="E1570" t="inlineStr"/>
      <c r="F1570">
        <f>IMAGE("https://cf.shopee.tw/file/tw-11134207-7qul5-lh09ter4pdt5ce_tn")</f>
        <v/>
      </c>
    </row>
    <row r="1571">
      <c r="A1571" t="inlineStr">
        <is>
          <t>20979963902</t>
        </is>
      </c>
      <c r="B1571" t="inlineStr">
        <is>
          <t>隔日到貨🔥 閃粉鏡頭貼 iPhone 16 15 14 13 12 11 鋼化玻璃 保護貼 鏡頭保護 鏡頭圈 鏡頭膜</t>
        </is>
      </c>
      <c r="C1571">
        <f>IMAGE("https://cf.shopee.tw/file/tw-11134207-7qul4-lh09ter4nz8p7e_tn")</f>
        <v/>
      </c>
      <c r="D1571" t="inlineStr">
        <is>
          <t>黑色閃粉(一顆),14/14Plus/15/15Plus</t>
        </is>
      </c>
      <c r="E1571" t="inlineStr">
        <is>
          <t>231621521651</t>
        </is>
      </c>
      <c r="F1571">
        <f>IMAGE("https://cf.shopee.tw/file/tw-11134207-7qul5-lh09ter4pdt5ce_tn")</f>
        <v/>
      </c>
    </row>
    <row r="1572">
      <c r="A1572" t="inlineStr">
        <is>
          <t>20979963902</t>
        </is>
      </c>
      <c r="B1572" t="inlineStr">
        <is>
          <t>隔日到貨🔥 閃粉鏡頭貼 iPhone 16 15 14 13 12 11 鋼化玻璃 保護貼 鏡頭保護 鏡頭圈 鏡頭膜</t>
        </is>
      </c>
      <c r="C1572">
        <f>IMAGE("https://cf.shopee.tw/file/tw-11134207-7qul4-lh09ter4nz8p7e_tn")</f>
        <v/>
      </c>
      <c r="D1572" t="inlineStr">
        <is>
          <t>黑色閃粉(一顆),16/16Plus</t>
        </is>
      </c>
      <c r="E1572" t="inlineStr">
        <is>
          <t>205562708632</t>
        </is>
      </c>
      <c r="F1572">
        <f>IMAGE("https://cf.shopee.tw/file/tw-11134207-7qul5-lh09ter4pdt5ce_tn")</f>
        <v/>
      </c>
    </row>
    <row r="1573">
      <c r="A1573" t="inlineStr">
        <is>
          <t>20979963902</t>
        </is>
      </c>
      <c r="B1573" t="inlineStr">
        <is>
          <t>隔日到貨🔥 閃粉鏡頭貼 iPhone 16 15 14 13 12 11 鋼化玻璃 保護貼 鏡頭保護 鏡頭圈 鏡頭膜</t>
        </is>
      </c>
      <c r="C1573">
        <f>IMAGE("https://cf.shopee.tw/file/tw-11134207-7qul4-lh09ter4nz8p7e_tn")</f>
        <v/>
      </c>
      <c r="D1573" t="inlineStr">
        <is>
          <t>銀色閃粉(一顆),11/12/12mini/12pro</t>
        </is>
      </c>
      <c r="E1573" t="inlineStr">
        <is>
          <t>231621521660</t>
        </is>
      </c>
      <c r="F1573">
        <f>IMAGE("https://cf.shopee.tw/file/tw-11134207-7qukw-lh09xcy2mfjd48_tn")</f>
        <v/>
      </c>
    </row>
    <row r="1574">
      <c r="A1574" t="inlineStr">
        <is>
          <t>20979963902</t>
        </is>
      </c>
      <c r="B1574" t="inlineStr">
        <is>
          <t>隔日到貨🔥 閃粉鏡頭貼 iPhone 16 15 14 13 12 11 鋼化玻璃 保護貼 鏡頭保護 鏡頭圈 鏡頭膜</t>
        </is>
      </c>
      <c r="C1574">
        <f>IMAGE("https://cf.shopee.tw/file/tw-11134207-7qul4-lh09ter4nz8p7e_tn")</f>
        <v/>
      </c>
      <c r="D1574" t="inlineStr">
        <is>
          <t>銀色閃粉(一顆),13/13mini/12proMax</t>
        </is>
      </c>
      <c r="E1574" t="inlineStr">
        <is>
          <t>231621521664</t>
        </is>
      </c>
      <c r="F1574">
        <f>IMAGE("https://cf.shopee.tw/file/tw-11134207-7qukw-lh09xcy2mfjd48_tn")</f>
        <v/>
      </c>
    </row>
    <row r="1575">
      <c r="A1575" t="inlineStr">
        <is>
          <t>20979963902</t>
        </is>
      </c>
      <c r="B1575" t="inlineStr">
        <is>
          <t>隔日到貨🔥 閃粉鏡頭貼 iPhone 16 15 14 13 12 11 鋼化玻璃 保護貼 鏡頭保護 鏡頭圈 鏡頭膜</t>
        </is>
      </c>
      <c r="C1575">
        <f>IMAGE("https://cf.shopee.tw/file/tw-11134207-7qul4-lh09ter4nz8p7e_tn")</f>
        <v/>
      </c>
      <c r="D1575" t="inlineStr">
        <is>
          <t>銀色閃粉(一顆),13pro/13proMax</t>
        </is>
      </c>
      <c r="E1575" t="inlineStr"/>
      <c r="F1575">
        <f>IMAGE("https://cf.shopee.tw/file/tw-11134207-7qukw-lh09xcy2mfjd48_tn")</f>
        <v/>
      </c>
    </row>
    <row r="1576">
      <c r="A1576" t="inlineStr">
        <is>
          <t>20979963902</t>
        </is>
      </c>
      <c r="B1576" t="inlineStr">
        <is>
          <t>隔日到貨🔥 閃粉鏡頭貼 iPhone 16 15 14 13 12 11 鋼化玻璃 保護貼 鏡頭保護 鏡頭圈 鏡頭膜</t>
        </is>
      </c>
      <c r="C1576">
        <f>IMAGE("https://cf.shopee.tw/file/tw-11134207-7qul4-lh09ter4nz8p7e_tn")</f>
        <v/>
      </c>
      <c r="D1576" t="inlineStr">
        <is>
          <t>銀色閃粉(一顆),14/14Plus/15/15Plus</t>
        </is>
      </c>
      <c r="E1576" t="inlineStr">
        <is>
          <t>231621521639</t>
        </is>
      </c>
      <c r="F1576">
        <f>IMAGE("https://cf.shopee.tw/file/tw-11134207-7qukw-lh09xcy2mfjd48_tn")</f>
        <v/>
      </c>
    </row>
    <row r="1577">
      <c r="A1577" t="inlineStr">
        <is>
          <t>20979963902</t>
        </is>
      </c>
      <c r="B1577" t="inlineStr">
        <is>
          <t>隔日到貨🔥 閃粉鏡頭貼 iPhone 16 15 14 13 12 11 鋼化玻璃 保護貼 鏡頭保護 鏡頭圈 鏡頭膜</t>
        </is>
      </c>
      <c r="C1577">
        <f>IMAGE("https://cf.shopee.tw/file/tw-11134207-7qul4-lh09ter4nz8p7e_tn")</f>
        <v/>
      </c>
      <c r="D1577" t="inlineStr">
        <is>
          <t>銀色閃粉(一顆),14pro/14proMax</t>
        </is>
      </c>
      <c r="E1577" t="inlineStr"/>
      <c r="F1577">
        <f>IMAGE("https://cf.shopee.tw/file/tw-11134207-7qukw-lh09xcy2mfjd48_tn")</f>
        <v/>
      </c>
    </row>
    <row r="1578">
      <c r="A1578" t="inlineStr">
        <is>
          <t>20979963902</t>
        </is>
      </c>
      <c r="B1578" t="inlineStr">
        <is>
          <t>隔日到貨🔥 閃粉鏡頭貼 iPhone 16 15 14 13 12 11 鋼化玻璃 保護貼 鏡頭保護 鏡頭圈 鏡頭膜</t>
        </is>
      </c>
      <c r="C1578">
        <f>IMAGE("https://cf.shopee.tw/file/tw-11134207-7qul4-lh09ter4nz8p7e_tn")</f>
        <v/>
      </c>
      <c r="D1578" t="inlineStr">
        <is>
          <t>銀色閃粉(一顆),15pro/15proMax</t>
        </is>
      </c>
      <c r="E1578" t="inlineStr">
        <is>
          <t>250245705766</t>
        </is>
      </c>
      <c r="F1578">
        <f>IMAGE("https://cf.shopee.tw/file/tw-11134207-7qukw-lh09xcy2mfjd48_tn")</f>
        <v/>
      </c>
    </row>
    <row r="1579">
      <c r="A1579" t="inlineStr">
        <is>
          <t>20979963902</t>
        </is>
      </c>
      <c r="B1579" t="inlineStr">
        <is>
          <t>隔日到貨🔥 閃粉鏡頭貼 iPhone 16 15 14 13 12 11 鋼化玻璃 保護貼 鏡頭保護 鏡頭圈 鏡頭膜</t>
        </is>
      </c>
      <c r="C1579">
        <f>IMAGE("https://cf.shopee.tw/file/tw-11134207-7qul4-lh09ter4nz8p7e_tn")</f>
        <v/>
      </c>
      <c r="D1579" t="inlineStr">
        <is>
          <t>銀色閃粉(一顆),16/16Plus</t>
        </is>
      </c>
      <c r="E1579" t="inlineStr"/>
      <c r="F1579">
        <f>IMAGE("https://cf.shopee.tw/file/tw-11134207-7qukw-lh09xcy2mfjd48_tn")</f>
        <v/>
      </c>
    </row>
    <row r="1580">
      <c r="A1580" t="inlineStr">
        <is>
          <t>20979963902</t>
        </is>
      </c>
      <c r="B1580" t="inlineStr">
        <is>
          <t>隔日到貨🔥 閃粉鏡頭貼 iPhone 16 15 14 13 12 11 鋼化玻璃 保護貼 鏡頭保護 鏡頭圈 鏡頭膜</t>
        </is>
      </c>
      <c r="C1580">
        <f>IMAGE("https://cf.shopee.tw/file/tw-11134207-7qul4-lh09ter4nz8p7e_tn")</f>
        <v/>
      </c>
      <c r="D1580" t="inlineStr">
        <is>
          <t>遠峰藍閃粉(一顆),11/12/12mini/12pro</t>
        </is>
      </c>
      <c r="E1580" t="inlineStr">
        <is>
          <t>231621521668</t>
        </is>
      </c>
      <c r="F1580">
        <f>IMAGE("https://cf.shopee.tw/file/tw-11134207-7qukw-lh09xcy2nu3t66_tn")</f>
        <v/>
      </c>
    </row>
    <row r="1581">
      <c r="A1581" t="inlineStr">
        <is>
          <t>20979963902</t>
        </is>
      </c>
      <c r="B1581" t="inlineStr">
        <is>
          <t>隔日到貨🔥 閃粉鏡頭貼 iPhone 16 15 14 13 12 11 鋼化玻璃 保護貼 鏡頭保護 鏡頭圈 鏡頭膜</t>
        </is>
      </c>
      <c r="C1581">
        <f>IMAGE("https://cf.shopee.tw/file/tw-11134207-7qul4-lh09ter4nz8p7e_tn")</f>
        <v/>
      </c>
      <c r="D1581" t="inlineStr">
        <is>
          <t>遠峰藍閃粉(一顆),13/13mini/12proMax</t>
        </is>
      </c>
      <c r="E1581" t="inlineStr"/>
      <c r="F1581">
        <f>IMAGE("https://cf.shopee.tw/file/tw-11134207-7qukw-lh09xcy2nu3t66_tn")</f>
        <v/>
      </c>
    </row>
    <row r="1582">
      <c r="A1582" t="inlineStr">
        <is>
          <t>20979963902</t>
        </is>
      </c>
      <c r="B1582" t="inlineStr">
        <is>
          <t>隔日到貨🔥 閃粉鏡頭貼 iPhone 16 15 14 13 12 11 鋼化玻璃 保護貼 鏡頭保護 鏡頭圈 鏡頭膜</t>
        </is>
      </c>
      <c r="C1582">
        <f>IMAGE("https://cf.shopee.tw/file/tw-11134207-7qul4-lh09ter4nz8p7e_tn")</f>
        <v/>
      </c>
      <c r="D1582" t="inlineStr">
        <is>
          <t>遠峰藍閃粉(一顆),13pro/13proMax</t>
        </is>
      </c>
      <c r="E1582" t="inlineStr"/>
      <c r="F1582">
        <f>IMAGE("https://cf.shopee.tw/file/tw-11134207-7qukw-lh09xcy2nu3t66_tn")</f>
        <v/>
      </c>
    </row>
    <row r="1583">
      <c r="A1583" t="inlineStr">
        <is>
          <t>20979963902</t>
        </is>
      </c>
      <c r="B1583" t="inlineStr">
        <is>
          <t>隔日到貨🔥 閃粉鏡頭貼 iPhone 16 15 14 13 12 11 鋼化玻璃 保護貼 鏡頭保護 鏡頭圈 鏡頭膜</t>
        </is>
      </c>
      <c r="C1583">
        <f>IMAGE("https://cf.shopee.tw/file/tw-11134207-7qul4-lh09ter4nz8p7e_tn")</f>
        <v/>
      </c>
      <c r="D1583" t="inlineStr">
        <is>
          <t>遠峰藍閃粉(一顆),14/14Plus/15/15Plus</t>
        </is>
      </c>
      <c r="E1583" t="inlineStr"/>
      <c r="F1583">
        <f>IMAGE("https://cf.shopee.tw/file/tw-11134207-7qukw-lh09xcy2nu3t66_tn")</f>
        <v/>
      </c>
    </row>
    <row r="1584">
      <c r="A1584" t="inlineStr">
        <is>
          <t>20979963902</t>
        </is>
      </c>
      <c r="B1584" t="inlineStr">
        <is>
          <t>隔日到貨🔥 閃粉鏡頭貼 iPhone 16 15 14 13 12 11 鋼化玻璃 保護貼 鏡頭保護 鏡頭圈 鏡頭膜</t>
        </is>
      </c>
      <c r="C1584">
        <f>IMAGE("https://cf.shopee.tw/file/tw-11134207-7qul4-lh09ter4nz8p7e_tn")</f>
        <v/>
      </c>
      <c r="D1584" t="inlineStr">
        <is>
          <t>遠峰藍閃粉(一顆),14pro/14proMax</t>
        </is>
      </c>
      <c r="E1584" t="inlineStr"/>
      <c r="F1584">
        <f>IMAGE("https://cf.shopee.tw/file/tw-11134207-7qukw-lh09xcy2nu3t66_tn")</f>
        <v/>
      </c>
    </row>
    <row r="1585">
      <c r="A1585" t="inlineStr">
        <is>
          <t>20979963902</t>
        </is>
      </c>
      <c r="B1585" t="inlineStr">
        <is>
          <t>隔日到貨🔥 閃粉鏡頭貼 iPhone 16 15 14 13 12 11 鋼化玻璃 保護貼 鏡頭保護 鏡頭圈 鏡頭膜</t>
        </is>
      </c>
      <c r="C1585">
        <f>IMAGE("https://cf.shopee.tw/file/tw-11134207-7qul4-lh09ter4nz8p7e_tn")</f>
        <v/>
      </c>
      <c r="D1585" t="inlineStr">
        <is>
          <t>遠峰藍閃粉(一顆),15pro/15proMax</t>
        </is>
      </c>
      <c r="E1585" t="inlineStr">
        <is>
          <t>250245705767</t>
        </is>
      </c>
      <c r="F1585">
        <f>IMAGE("https://cf.shopee.tw/file/tw-11134207-7qukw-lh09xcy2nu3t66_tn")</f>
        <v/>
      </c>
    </row>
    <row r="1586">
      <c r="A1586" t="inlineStr">
        <is>
          <t>20979963902</t>
        </is>
      </c>
      <c r="B1586" t="inlineStr">
        <is>
          <t>隔日到貨🔥 閃粉鏡頭貼 iPhone 16 15 14 13 12 11 鋼化玻璃 保護貼 鏡頭保護 鏡頭圈 鏡頭膜</t>
        </is>
      </c>
      <c r="C1586">
        <f>IMAGE("https://cf.shopee.tw/file/tw-11134207-7qul4-lh09ter4nz8p7e_tn")</f>
        <v/>
      </c>
      <c r="D1586" t="inlineStr">
        <is>
          <t>遠峰藍閃粉(一顆),16/16Plus</t>
        </is>
      </c>
      <c r="E1586" t="inlineStr"/>
      <c r="F1586">
        <f>IMAGE("https://cf.shopee.tw/file/tw-11134207-7qukw-lh09xcy2nu3t66_tn")</f>
        <v/>
      </c>
    </row>
    <row r="1587">
      <c r="A1587" t="inlineStr">
        <is>
          <t>20979963902</t>
        </is>
      </c>
      <c r="B1587" t="inlineStr">
        <is>
          <t>隔日到貨🔥 閃粉鏡頭貼 iPhone 16 15 14 13 12 11 鋼化玻璃 保護貼 鏡頭保護 鏡頭圈 鏡頭膜</t>
        </is>
      </c>
      <c r="C1587">
        <f>IMAGE("https://cf.shopee.tw/file/tw-11134207-7qul4-lh09ter4nz8p7e_tn")</f>
        <v/>
      </c>
      <c r="D1587" t="inlineStr">
        <is>
          <t>綠色閃粉(一顆),11/12/12mini/12pro</t>
        </is>
      </c>
      <c r="E1587" t="inlineStr">
        <is>
          <t>231621521669</t>
        </is>
      </c>
      <c r="F1587">
        <f>IMAGE("https://cf.shopee.tw/file/tw-11134207-7qul1-lh09xklbe8mh84_tn")</f>
        <v/>
      </c>
    </row>
    <row r="1588">
      <c r="A1588" t="inlineStr">
        <is>
          <t>20979963902</t>
        </is>
      </c>
      <c r="B1588" t="inlineStr">
        <is>
          <t>隔日到貨🔥 閃粉鏡頭貼 iPhone 16 15 14 13 12 11 鋼化玻璃 保護貼 鏡頭保護 鏡頭圈 鏡頭膜</t>
        </is>
      </c>
      <c r="C1588">
        <f>IMAGE("https://cf.shopee.tw/file/tw-11134207-7qul4-lh09ter4nz8p7e_tn")</f>
        <v/>
      </c>
      <c r="D1588" t="inlineStr">
        <is>
          <t>綠色閃粉(一顆),13/13mini/12proMax</t>
        </is>
      </c>
      <c r="E1588" t="inlineStr"/>
      <c r="F1588">
        <f>IMAGE("https://cf.shopee.tw/file/tw-11134207-7qul1-lh09xklbe8mh84_tn")</f>
        <v/>
      </c>
    </row>
    <row r="1589">
      <c r="A1589" t="inlineStr">
        <is>
          <t>20979963902</t>
        </is>
      </c>
      <c r="B1589" t="inlineStr">
        <is>
          <t>隔日到貨🔥 閃粉鏡頭貼 iPhone 16 15 14 13 12 11 鋼化玻璃 保護貼 鏡頭保護 鏡頭圈 鏡頭膜</t>
        </is>
      </c>
      <c r="C1589">
        <f>IMAGE("https://cf.shopee.tw/file/tw-11134207-7qul4-lh09ter4nz8p7e_tn")</f>
        <v/>
      </c>
      <c r="D1589" t="inlineStr">
        <is>
          <t>綠色閃粉(一顆),13pro/13proMax</t>
        </is>
      </c>
      <c r="E1589" t="inlineStr"/>
      <c r="F1589">
        <f>IMAGE("https://cf.shopee.tw/file/tw-11134207-7qul1-lh09xklbe8mh84_tn")</f>
        <v/>
      </c>
    </row>
    <row r="1590">
      <c r="A1590" t="inlineStr">
        <is>
          <t>20979963902</t>
        </is>
      </c>
      <c r="B1590" t="inlineStr">
        <is>
          <t>隔日到貨🔥 閃粉鏡頭貼 iPhone 16 15 14 13 12 11 鋼化玻璃 保護貼 鏡頭保護 鏡頭圈 鏡頭膜</t>
        </is>
      </c>
      <c r="C1590">
        <f>IMAGE("https://cf.shopee.tw/file/tw-11134207-7qul4-lh09ter4nz8p7e_tn")</f>
        <v/>
      </c>
      <c r="D1590" t="inlineStr">
        <is>
          <t>綠色閃粉(一顆),14/14Plus/15/15Plus</t>
        </is>
      </c>
      <c r="E1590" t="inlineStr"/>
      <c r="F1590">
        <f>IMAGE("https://cf.shopee.tw/file/tw-11134207-7qul1-lh09xklbe8mh84_tn")</f>
        <v/>
      </c>
    </row>
    <row r="1591">
      <c r="A1591" t="inlineStr">
        <is>
          <t>20979963902</t>
        </is>
      </c>
      <c r="B1591" t="inlineStr">
        <is>
          <t>隔日到貨🔥 閃粉鏡頭貼 iPhone 16 15 14 13 12 11 鋼化玻璃 保護貼 鏡頭保護 鏡頭圈 鏡頭膜</t>
        </is>
      </c>
      <c r="C1591">
        <f>IMAGE("https://cf.shopee.tw/file/tw-11134207-7qul4-lh09ter4nz8p7e_tn")</f>
        <v/>
      </c>
      <c r="D1591" t="inlineStr">
        <is>
          <t>綠色閃粉(一顆),15pro/15proMax</t>
        </is>
      </c>
      <c r="E1591" t="inlineStr"/>
      <c r="F1591">
        <f>IMAGE("https://cf.shopee.tw/file/tw-11134207-7qul1-lh09xklbe8mh84_tn")</f>
        <v/>
      </c>
    </row>
    <row r="1592">
      <c r="A1592" t="inlineStr">
        <is>
          <t>20979963902</t>
        </is>
      </c>
      <c r="B1592" t="inlineStr">
        <is>
          <t>隔日到貨🔥 閃粉鏡頭貼 iPhone 16 15 14 13 12 11 鋼化玻璃 保護貼 鏡頭保護 鏡頭圈 鏡頭膜</t>
        </is>
      </c>
      <c r="C1592">
        <f>IMAGE("https://cf.shopee.tw/file/tw-11134207-7qul4-lh09ter4nz8p7e_tn")</f>
        <v/>
      </c>
      <c r="D1592" t="inlineStr">
        <is>
          <t>綠色閃粉(一顆),16/16Plus</t>
        </is>
      </c>
      <c r="E1592" t="inlineStr"/>
      <c r="F1592">
        <f>IMAGE("https://cf.shopee.tw/file/tw-11134207-7qul1-lh09xklbe8mh84_tn")</f>
        <v/>
      </c>
    </row>
    <row r="1593">
      <c r="A1593" t="inlineStr">
        <is>
          <t>20979963902</t>
        </is>
      </c>
      <c r="B1593" t="inlineStr">
        <is>
          <t>隔日到貨🔥 閃粉鏡頭貼 iPhone 16 15 14 13 12 11 鋼化玻璃 保護貼 鏡頭保護 鏡頭圈 鏡頭膜</t>
        </is>
      </c>
      <c r="C1593">
        <f>IMAGE("https://cf.shopee.tw/file/tw-11134207-7qul4-lh09ter4nz8p7e_tn")</f>
        <v/>
      </c>
      <c r="D1593" t="inlineStr">
        <is>
          <t>金色閃粉(一顆),11/12/12mini/12pro</t>
        </is>
      </c>
      <c r="E1593" t="inlineStr"/>
      <c r="F1593">
        <f>IMAGE("https://cf.shopee.tw/file/tw-11134207-7qul8-lh09xklbfn6x17_tn")</f>
        <v/>
      </c>
    </row>
    <row r="1594">
      <c r="A1594" t="inlineStr">
        <is>
          <t>20979963902</t>
        </is>
      </c>
      <c r="B1594" t="inlineStr">
        <is>
          <t>隔日到貨🔥 閃粉鏡頭貼 iPhone 16 15 14 13 12 11 鋼化玻璃 保護貼 鏡頭保護 鏡頭圈 鏡頭膜</t>
        </is>
      </c>
      <c r="C1594">
        <f>IMAGE("https://cf.shopee.tw/file/tw-11134207-7qul4-lh09ter4nz8p7e_tn")</f>
        <v/>
      </c>
      <c r="D1594" t="inlineStr">
        <is>
          <t>金色閃粉(一顆),13/13mini/12proMax</t>
        </is>
      </c>
      <c r="E1594" t="inlineStr"/>
      <c r="F1594">
        <f>IMAGE("https://cf.shopee.tw/file/tw-11134207-7qul8-lh09xklbfn6x17_tn")</f>
        <v/>
      </c>
    </row>
    <row r="1595">
      <c r="A1595" t="inlineStr">
        <is>
          <t>20979963902</t>
        </is>
      </c>
      <c r="B1595" t="inlineStr">
        <is>
          <t>隔日到貨🔥 閃粉鏡頭貼 iPhone 16 15 14 13 12 11 鋼化玻璃 保護貼 鏡頭保護 鏡頭圈 鏡頭膜</t>
        </is>
      </c>
      <c r="C1595">
        <f>IMAGE("https://cf.shopee.tw/file/tw-11134207-7qul4-lh09ter4nz8p7e_tn")</f>
        <v/>
      </c>
      <c r="D1595" t="inlineStr">
        <is>
          <t>金色閃粉(一顆),13pro/13proMax</t>
        </is>
      </c>
      <c r="E1595" t="inlineStr"/>
      <c r="F1595">
        <f>IMAGE("https://cf.shopee.tw/file/tw-11134207-7qul8-lh09xklbfn6x17_tn")</f>
        <v/>
      </c>
    </row>
    <row r="1596">
      <c r="A1596" t="inlineStr">
        <is>
          <t>20979963902</t>
        </is>
      </c>
      <c r="B1596" t="inlineStr">
        <is>
          <t>隔日到貨🔥 閃粉鏡頭貼 iPhone 16 15 14 13 12 11 鋼化玻璃 保護貼 鏡頭保護 鏡頭圈 鏡頭膜</t>
        </is>
      </c>
      <c r="C1596">
        <f>IMAGE("https://cf.shopee.tw/file/tw-11134207-7qul4-lh09ter4nz8p7e_tn")</f>
        <v/>
      </c>
      <c r="D1596" t="inlineStr">
        <is>
          <t>金色閃粉(一顆),14/14Plus/15/15Plus</t>
        </is>
      </c>
      <c r="E1596" t="inlineStr">
        <is>
          <t>231621521649</t>
        </is>
      </c>
      <c r="F1596">
        <f>IMAGE("https://cf.shopee.tw/file/tw-11134207-7qul8-lh09xklbfn6x17_tn")</f>
        <v/>
      </c>
    </row>
    <row r="1597">
      <c r="A1597" t="inlineStr">
        <is>
          <t>20979963902</t>
        </is>
      </c>
      <c r="B1597" t="inlineStr">
        <is>
          <t>隔日到貨🔥 閃粉鏡頭貼 iPhone 16 15 14 13 12 11 鋼化玻璃 保護貼 鏡頭保護 鏡頭圈 鏡頭膜</t>
        </is>
      </c>
      <c r="C1597">
        <f>IMAGE("https://cf.shopee.tw/file/tw-11134207-7qul4-lh09ter4nz8p7e_tn")</f>
        <v/>
      </c>
      <c r="D1597" t="inlineStr">
        <is>
          <t>金色閃粉(一顆),15pro/15proMax</t>
        </is>
      </c>
      <c r="E1597" t="inlineStr">
        <is>
          <t>250245705769</t>
        </is>
      </c>
      <c r="F1597">
        <f>IMAGE("https://cf.shopee.tw/file/tw-11134207-7qul8-lh09xklbfn6x17_tn")</f>
        <v/>
      </c>
    </row>
    <row r="1598">
      <c r="A1598" t="inlineStr">
        <is>
          <t>20979963902</t>
        </is>
      </c>
      <c r="B1598" t="inlineStr">
        <is>
          <t>隔日到貨🔥 閃粉鏡頭貼 iPhone 16 15 14 13 12 11 鋼化玻璃 保護貼 鏡頭保護 鏡頭圈 鏡頭膜</t>
        </is>
      </c>
      <c r="C1598">
        <f>IMAGE("https://cf.shopee.tw/file/tw-11134207-7qul4-lh09ter4nz8p7e_tn")</f>
        <v/>
      </c>
      <c r="D1598" t="inlineStr">
        <is>
          <t>金色閃粉(一顆),16/16Plus</t>
        </is>
      </c>
      <c r="E1598" t="inlineStr"/>
      <c r="F1598">
        <f>IMAGE("https://cf.shopee.tw/file/tw-11134207-7qul8-lh09xklbfn6x17_tn")</f>
        <v/>
      </c>
    </row>
    <row r="1599">
      <c r="A1599" t="inlineStr">
        <is>
          <t>20979963902</t>
        </is>
      </c>
      <c r="B1599" t="inlineStr">
        <is>
          <t>隔日到貨🔥 閃粉鏡頭貼 iPhone 16 15 14 13 12 11 鋼化玻璃 保護貼 鏡頭保護 鏡頭圈 鏡頭膜</t>
        </is>
      </c>
      <c r="C1599">
        <f>IMAGE("https://cf.shopee.tw/file/tw-11134207-7qul4-lh09ter4nz8p7e_tn")</f>
        <v/>
      </c>
      <c r="D1599" t="inlineStr">
        <is>
          <t>炫彩閃粉(一顆),11/12/12mini/12pro</t>
        </is>
      </c>
      <c r="E1599" t="inlineStr">
        <is>
          <t>231621521671</t>
        </is>
      </c>
      <c r="F1599">
        <f>IMAGE("https://cf.shopee.tw/file/tw-11134207-7qul0-lh09xrtuudk96f_tn")</f>
        <v/>
      </c>
    </row>
    <row r="1600">
      <c r="A1600" t="inlineStr">
        <is>
          <t>20979963902</t>
        </is>
      </c>
      <c r="B1600" t="inlineStr">
        <is>
          <t>隔日到貨🔥 閃粉鏡頭貼 iPhone 16 15 14 13 12 11 鋼化玻璃 保護貼 鏡頭保護 鏡頭圈 鏡頭膜</t>
        </is>
      </c>
      <c r="C1600">
        <f>IMAGE("https://cf.shopee.tw/file/tw-11134207-7qul4-lh09ter4nz8p7e_tn")</f>
        <v/>
      </c>
      <c r="D1600" t="inlineStr">
        <is>
          <t>炫彩閃粉(一顆),13/13mini/12proMax</t>
        </is>
      </c>
      <c r="E1600" t="inlineStr">
        <is>
          <t>231621521673</t>
        </is>
      </c>
      <c r="F1600">
        <f>IMAGE("https://cf.shopee.tw/file/tw-11134207-7qul0-lh09xrtuudk96f_tn")</f>
        <v/>
      </c>
    </row>
    <row r="1601">
      <c r="A1601" t="inlineStr">
        <is>
          <t>20979963902</t>
        </is>
      </c>
      <c r="B1601" t="inlineStr">
        <is>
          <t>隔日到貨🔥 閃粉鏡頭貼 iPhone 16 15 14 13 12 11 鋼化玻璃 保護貼 鏡頭保護 鏡頭圈 鏡頭膜</t>
        </is>
      </c>
      <c r="C1601">
        <f>IMAGE("https://cf.shopee.tw/file/tw-11134207-7qul4-lh09ter4nz8p7e_tn")</f>
        <v/>
      </c>
      <c r="D1601" t="inlineStr">
        <is>
          <t>炫彩閃粉(一顆),13pro/13proMax</t>
        </is>
      </c>
      <c r="E1601" t="inlineStr"/>
      <c r="F1601">
        <f>IMAGE("https://cf.shopee.tw/file/tw-11134207-7qul0-lh09xrtuudk96f_tn")</f>
        <v/>
      </c>
    </row>
    <row r="1602">
      <c r="A1602" t="inlineStr">
        <is>
          <t>20979963902</t>
        </is>
      </c>
      <c r="B1602" t="inlineStr">
        <is>
          <t>隔日到貨🔥 閃粉鏡頭貼 iPhone 16 15 14 13 12 11 鋼化玻璃 保護貼 鏡頭保護 鏡頭圈 鏡頭膜</t>
        </is>
      </c>
      <c r="C1602">
        <f>IMAGE("https://cf.shopee.tw/file/tw-11134207-7qul4-lh09ter4nz8p7e_tn")</f>
        <v/>
      </c>
      <c r="D1602" t="inlineStr">
        <is>
          <t>炫彩閃粉(一顆),14/14Plus/15/15Plus</t>
        </is>
      </c>
      <c r="E1602" t="inlineStr">
        <is>
          <t>231621521650</t>
        </is>
      </c>
      <c r="F1602">
        <f>IMAGE("https://cf.shopee.tw/file/tw-11134207-7qul0-lh09xrtuudk96f_tn")</f>
        <v/>
      </c>
    </row>
    <row r="1603">
      <c r="A1603" t="inlineStr">
        <is>
          <t>20979963902</t>
        </is>
      </c>
      <c r="B1603" t="inlineStr">
        <is>
          <t>隔日到貨🔥 閃粉鏡頭貼 iPhone 16 15 14 13 12 11 鋼化玻璃 保護貼 鏡頭保護 鏡頭圈 鏡頭膜</t>
        </is>
      </c>
      <c r="C1603">
        <f>IMAGE("https://cf.shopee.tw/file/tw-11134207-7qul4-lh09ter4nz8p7e_tn")</f>
        <v/>
      </c>
      <c r="D1603" t="inlineStr">
        <is>
          <t>炫彩閃粉(一顆),15pro/15proMax</t>
        </is>
      </c>
      <c r="E1603" t="inlineStr">
        <is>
          <t>250245705770</t>
        </is>
      </c>
      <c r="F1603">
        <f>IMAGE("https://cf.shopee.tw/file/tw-11134207-7qul0-lh09xrtuudk96f_tn")</f>
        <v/>
      </c>
    </row>
    <row r="1604">
      <c r="A1604" t="inlineStr">
        <is>
          <t>20979963902</t>
        </is>
      </c>
      <c r="B1604" t="inlineStr">
        <is>
          <t>隔日到貨🔥 閃粉鏡頭貼 iPhone 16 15 14 13 12 11 鋼化玻璃 保護貼 鏡頭保護 鏡頭圈 鏡頭膜</t>
        </is>
      </c>
      <c r="C1604">
        <f>IMAGE("https://cf.shopee.tw/file/tw-11134207-7qul4-lh09ter4nz8p7e_tn")</f>
        <v/>
      </c>
      <c r="D1604" t="inlineStr">
        <is>
          <t>炫彩閃粉(一顆),16/16Plus</t>
        </is>
      </c>
      <c r="E1604" t="inlineStr"/>
      <c r="F1604">
        <f>IMAGE("https://cf.shopee.tw/file/tw-11134207-7qul0-lh09xrtuudk96f_tn")</f>
        <v/>
      </c>
    </row>
    <row r="1605">
      <c r="A1605" t="inlineStr">
        <is>
          <t>20979963902</t>
        </is>
      </c>
      <c r="B1605" t="inlineStr">
        <is>
          <t>隔日到貨🔥 閃粉鏡頭貼 iPhone 16 15 14 13 12 11 鋼化玻璃 保護貼 鏡頭保護 鏡頭圈 鏡頭膜</t>
        </is>
      </c>
      <c r="C1605">
        <f>IMAGE("https://cf.shopee.tw/file/tw-11134207-7qul4-lh09ter4nz8p7e_tn")</f>
        <v/>
      </c>
      <c r="D1605" t="inlineStr">
        <is>
          <t>粉色閃粉(一顆),11/12/12mini/12pro</t>
        </is>
      </c>
      <c r="E1605" t="inlineStr">
        <is>
          <t>231621521679</t>
        </is>
      </c>
      <c r="F1605">
        <f>IMAGE("https://cf.shopee.tw/file/tw-11134207-7qula-lh09xrtuvs4p07_tn")</f>
        <v/>
      </c>
    </row>
    <row r="1606">
      <c r="A1606" t="inlineStr">
        <is>
          <t>20979963902</t>
        </is>
      </c>
      <c r="B1606" t="inlineStr">
        <is>
          <t>隔日到貨🔥 閃粉鏡頭貼 iPhone 16 15 14 13 12 11 鋼化玻璃 保護貼 鏡頭保護 鏡頭圈 鏡頭膜</t>
        </is>
      </c>
      <c r="C1606">
        <f>IMAGE("https://cf.shopee.tw/file/tw-11134207-7qul4-lh09ter4nz8p7e_tn")</f>
        <v/>
      </c>
      <c r="D1606" t="inlineStr">
        <is>
          <t>粉色閃粉(一顆),13/13mini/12proMax</t>
        </is>
      </c>
      <c r="E1606" t="inlineStr">
        <is>
          <t>231621521662</t>
        </is>
      </c>
      <c r="F1606">
        <f>IMAGE("https://cf.shopee.tw/file/tw-11134207-7qula-lh09xrtuvs4p07_tn")</f>
        <v/>
      </c>
    </row>
    <row r="1607">
      <c r="A1607" t="inlineStr">
        <is>
          <t>20979963902</t>
        </is>
      </c>
      <c r="B1607" t="inlineStr">
        <is>
          <t>隔日到貨🔥 閃粉鏡頭貼 iPhone 16 15 14 13 12 11 鋼化玻璃 保護貼 鏡頭保護 鏡頭圈 鏡頭膜</t>
        </is>
      </c>
      <c r="C1607">
        <f>IMAGE("https://cf.shopee.tw/file/tw-11134207-7qul4-lh09ter4nz8p7e_tn")</f>
        <v/>
      </c>
      <c r="D1607" t="inlineStr">
        <is>
          <t>粉色閃粉(一顆),13pro/13proMax</t>
        </is>
      </c>
      <c r="E1607" t="inlineStr"/>
      <c r="F1607">
        <f>IMAGE("https://cf.shopee.tw/file/tw-11134207-7qula-lh09xrtuvs4p07_tn")</f>
        <v/>
      </c>
    </row>
    <row r="1608">
      <c r="A1608" t="inlineStr">
        <is>
          <t>20979963902</t>
        </is>
      </c>
      <c r="B1608" t="inlineStr">
        <is>
          <t>隔日到貨🔥 閃粉鏡頭貼 iPhone 16 15 14 13 12 11 鋼化玻璃 保護貼 鏡頭保護 鏡頭圈 鏡頭膜</t>
        </is>
      </c>
      <c r="C1608">
        <f>IMAGE("https://cf.shopee.tw/file/tw-11134207-7qul4-lh09ter4nz8p7e_tn")</f>
        <v/>
      </c>
      <c r="D1608" t="inlineStr">
        <is>
          <t>粉色閃粉(一顆),14/14Plus/15/15Plus</t>
        </is>
      </c>
      <c r="E1608" t="inlineStr"/>
      <c r="F1608">
        <f>IMAGE("https://cf.shopee.tw/file/tw-11134207-7qula-lh09xrtuvs4p07_tn")</f>
        <v/>
      </c>
    </row>
    <row r="1609">
      <c r="A1609" t="inlineStr">
        <is>
          <t>20979963902</t>
        </is>
      </c>
      <c r="B1609" t="inlineStr">
        <is>
          <t>隔日到貨🔥 閃粉鏡頭貼 iPhone 16 15 14 13 12 11 鋼化玻璃 保護貼 鏡頭保護 鏡頭圈 鏡頭膜</t>
        </is>
      </c>
      <c r="C1609">
        <f>IMAGE("https://cf.shopee.tw/file/tw-11134207-7qul4-lh09ter4nz8p7e_tn")</f>
        <v/>
      </c>
      <c r="D1609" t="inlineStr">
        <is>
          <t>粉色閃粉(一顆),14pro/14proMax</t>
        </is>
      </c>
      <c r="E1609" t="inlineStr">
        <is>
          <t>231621521680</t>
        </is>
      </c>
      <c r="F1609">
        <f>IMAGE("https://cf.shopee.tw/file/tw-11134207-7qula-lh09xrtuvs4p07_tn")</f>
        <v/>
      </c>
    </row>
    <row r="1610">
      <c r="A1610" t="inlineStr">
        <is>
          <t>20979963902</t>
        </is>
      </c>
      <c r="B1610" t="inlineStr">
        <is>
          <t>隔日到貨🔥 閃粉鏡頭貼 iPhone 16 15 14 13 12 11 鋼化玻璃 保護貼 鏡頭保護 鏡頭圈 鏡頭膜</t>
        </is>
      </c>
      <c r="C1610">
        <f>IMAGE("https://cf.shopee.tw/file/tw-11134207-7qul4-lh09ter4nz8p7e_tn")</f>
        <v/>
      </c>
      <c r="D1610" t="inlineStr">
        <is>
          <t>粉色閃粉(一顆),15pro/15proMax</t>
        </is>
      </c>
      <c r="E1610" t="inlineStr"/>
      <c r="F1610">
        <f>IMAGE("https://cf.shopee.tw/file/tw-11134207-7qula-lh09xrtuvs4p07_tn")</f>
        <v/>
      </c>
    </row>
    <row r="1611">
      <c r="A1611" t="inlineStr">
        <is>
          <t>19725077805</t>
        </is>
      </c>
      <c r="B1611" t="inlineStr">
        <is>
          <t>隔日到貨🔥 ins韓風 手機殼吊飾 手機殼掛飾 手機殼掛繩 手機掛件 掛飾 手機吊飾 鍊條 手提掛飾 手機掛繩 掛繩</t>
        </is>
      </c>
      <c r="C1611">
        <f>IMAGE("https://cf.shopee.tw/file/7ed9e298e9ea4fd57da5a9e1debee3dc_tn")</f>
        <v/>
      </c>
      <c r="D1611" t="inlineStr">
        <is>
          <t>1. 白愛心掛繩</t>
        </is>
      </c>
      <c r="E1611" t="inlineStr">
        <is>
          <t>181302309227</t>
        </is>
      </c>
      <c r="F1611">
        <f>IMAGE("https://cf.shopee.tw/file/55da0c080ef7958dcce46e983941a04d_tn")</f>
        <v/>
      </c>
    </row>
    <row r="1612">
      <c r="A1612" t="inlineStr">
        <is>
          <t>19725077805</t>
        </is>
      </c>
      <c r="B1612" t="inlineStr">
        <is>
          <t>隔日到貨🔥 ins韓風 手機殼吊飾 手機殼掛飾 手機殼掛繩 手機掛件 掛飾 手機吊飾 鍊條 手提掛飾 手機掛繩 掛繩</t>
        </is>
      </c>
      <c r="C1612">
        <f>IMAGE("https://cf.shopee.tw/file/7ed9e298e9ea4fd57da5a9e1debee3dc_tn")</f>
        <v/>
      </c>
      <c r="D1612" t="inlineStr">
        <is>
          <t>2. 黑愛心掛繩</t>
        </is>
      </c>
      <c r="E1612" t="inlineStr">
        <is>
          <t>107092439974</t>
        </is>
      </c>
      <c r="F1612">
        <f>IMAGE("https://cf.shopee.tw/file/cc38b65512e216cefbc96d9871816761_tn")</f>
        <v/>
      </c>
    </row>
    <row r="1613">
      <c r="A1613" t="inlineStr">
        <is>
          <t>19725077805</t>
        </is>
      </c>
      <c r="B1613" t="inlineStr">
        <is>
          <t>隔日到貨🔥 ins韓風 手機殼吊飾 手機殼掛飾 手機殼掛繩 手機掛件 掛飾 手機吊飾 鍊條 手提掛飾 手機掛繩 掛繩</t>
        </is>
      </c>
      <c r="C1613">
        <f>IMAGE("https://cf.shopee.tw/file/7ed9e298e9ea4fd57da5a9e1debee3dc_tn")</f>
        <v/>
      </c>
      <c r="D1613" t="inlineStr">
        <is>
          <t>3. 藍珠繩</t>
        </is>
      </c>
      <c r="E1613" t="inlineStr">
        <is>
          <t>107092439981</t>
        </is>
      </c>
      <c r="F1613">
        <f>IMAGE("https://cf.shopee.tw/file/c65e4763fe1bdd20c129dbd54107699f_tn")</f>
        <v/>
      </c>
    </row>
    <row r="1614">
      <c r="A1614" t="inlineStr">
        <is>
          <t>19725077805</t>
        </is>
      </c>
      <c r="B1614" t="inlineStr">
        <is>
          <t>隔日到貨🔥 ins韓風 手機殼吊飾 手機殼掛飾 手機殼掛繩 手機掛件 掛飾 手機吊飾 鍊條 手提掛飾 手機掛繩 掛繩</t>
        </is>
      </c>
      <c r="C1614">
        <f>IMAGE("https://cf.shopee.tw/file/7ed9e298e9ea4fd57da5a9e1debee3dc_tn")</f>
        <v/>
      </c>
      <c r="D1614" t="inlineStr">
        <is>
          <t>4. 粉花掛繩</t>
        </is>
      </c>
      <c r="E1614" t="inlineStr">
        <is>
          <t>107092439975</t>
        </is>
      </c>
      <c r="F1614">
        <f>IMAGE("https://cf.shopee.tw/file/62764c035954f4163a133a72d5f8a2fd_tn")</f>
        <v/>
      </c>
    </row>
    <row r="1615">
      <c r="A1615" t="inlineStr">
        <is>
          <t>19725077805</t>
        </is>
      </c>
      <c r="B1615" t="inlineStr">
        <is>
          <t>隔日到貨🔥 ins韓風 手機殼吊飾 手機殼掛飾 手機殼掛繩 手機掛件 掛飾 手機吊飾 鍊條 手提掛飾 手機掛繩 掛繩</t>
        </is>
      </c>
      <c r="C1615">
        <f>IMAGE("https://cf.shopee.tw/file/7ed9e298e9ea4fd57da5a9e1debee3dc_tn")</f>
        <v/>
      </c>
      <c r="D1615" t="inlineStr">
        <is>
          <t>5. 五彩愛心繩</t>
        </is>
      </c>
      <c r="E1615" t="inlineStr">
        <is>
          <t>107092439982</t>
        </is>
      </c>
      <c r="F1615">
        <f>IMAGE("https://cf.shopee.tw/file/49ff57caf1821a3070b46937cd93ac59_tn")</f>
        <v/>
      </c>
    </row>
    <row r="1616">
      <c r="A1616" t="inlineStr">
        <is>
          <t>19725077805</t>
        </is>
      </c>
      <c r="B1616" t="inlineStr">
        <is>
          <t>隔日到貨🔥 ins韓風 手機殼吊飾 手機殼掛飾 手機殼掛繩 手機掛件 掛飾 手機吊飾 鍊條 手提掛飾 手機掛繩 掛繩</t>
        </is>
      </c>
      <c r="C1616">
        <f>IMAGE("https://cf.shopee.tw/file/7ed9e298e9ea4fd57da5a9e1debee3dc_tn")</f>
        <v/>
      </c>
      <c r="D1616" t="inlineStr">
        <is>
          <t>6. 彩虹粉繩</t>
        </is>
      </c>
      <c r="E1616" t="inlineStr">
        <is>
          <t>107092439983</t>
        </is>
      </c>
      <c r="F1616">
        <f>IMAGE("https://cf.shopee.tw/file/69fbf2bad0b77b84d0a04d29c4d0fb58_tn")</f>
        <v/>
      </c>
    </row>
    <row r="1617">
      <c r="A1617" t="inlineStr">
        <is>
          <t>19725077805</t>
        </is>
      </c>
      <c r="B1617" t="inlineStr">
        <is>
          <t>隔日到貨🔥 ins韓風 手機殼吊飾 手機殼掛飾 手機殼掛繩 手機掛件 掛飾 手機吊飾 鍊條 手提掛飾 手機掛繩 掛繩</t>
        </is>
      </c>
      <c r="C1617">
        <f>IMAGE("https://cf.shopee.tw/file/7ed9e298e9ea4fd57da5a9e1debee3dc_tn")</f>
        <v/>
      </c>
      <c r="D1617" t="inlineStr">
        <is>
          <t>7. 紫花掛繩</t>
        </is>
      </c>
      <c r="E1617" t="inlineStr">
        <is>
          <t>107092439984</t>
        </is>
      </c>
      <c r="F1617">
        <f>IMAGE("https://cf.shopee.tw/file/7e7ef3107a3a6acfa8c8bc740301833f_tn")</f>
        <v/>
      </c>
    </row>
    <row r="1618">
      <c r="A1618" t="inlineStr">
        <is>
          <t>19725077805</t>
        </is>
      </c>
      <c r="B1618" t="inlineStr">
        <is>
          <t>隔日到貨🔥 ins韓風 手機殼吊飾 手機殼掛飾 手機殼掛繩 手機掛件 掛飾 手機吊飾 鍊條 手提掛飾 手機掛繩 掛繩</t>
        </is>
      </c>
      <c r="C1618">
        <f>IMAGE("https://cf.shopee.tw/file/7ed9e298e9ea4fd57da5a9e1debee3dc_tn")</f>
        <v/>
      </c>
      <c r="D1618" t="inlineStr">
        <is>
          <t>8. 彩虹白繩</t>
        </is>
      </c>
      <c r="E1618" t="inlineStr">
        <is>
          <t>107092439976</t>
        </is>
      </c>
      <c r="F1618">
        <f>IMAGE("https://cf.shopee.tw/file/f6f2c2a9dbf87de895451fb730a53fc2_tn")</f>
        <v/>
      </c>
    </row>
    <row r="1619">
      <c r="A1619" t="inlineStr">
        <is>
          <t>19725077805</t>
        </is>
      </c>
      <c r="B1619" t="inlineStr">
        <is>
          <t>隔日到貨🔥 ins韓風 手機殼吊飾 手機殼掛飾 手機殼掛繩 手機掛件 掛飾 手機吊飾 鍊條 手提掛飾 手機掛繩 掛繩</t>
        </is>
      </c>
      <c r="C1619">
        <f>IMAGE("https://cf.shopee.tw/file/7ed9e298e9ea4fd57da5a9e1debee3dc_tn")</f>
        <v/>
      </c>
      <c r="D1619" t="inlineStr">
        <is>
          <t>9. 彩珠蝴蝶繩</t>
        </is>
      </c>
      <c r="E1619" t="inlineStr">
        <is>
          <t>107092439977</t>
        </is>
      </c>
      <c r="F1619">
        <f>IMAGE("https://cf.shopee.tw/file/bd0e4dea02b4c3d2415fac1bd8eb2738_tn")</f>
        <v/>
      </c>
    </row>
    <row r="1620">
      <c r="A1620" t="inlineStr">
        <is>
          <t>19725077805</t>
        </is>
      </c>
      <c r="B1620" t="inlineStr">
        <is>
          <t>隔日到貨🔥 ins韓風 手機殼吊飾 手機殼掛飾 手機殼掛繩 手機掛件 掛飾 手機吊飾 鍊條 手提掛飾 手機掛繩 掛繩</t>
        </is>
      </c>
      <c r="C1620">
        <f>IMAGE("https://cf.shopee.tw/file/7ed9e298e9ea4fd57da5a9e1debee3dc_tn")</f>
        <v/>
      </c>
      <c r="D1620" t="inlineStr">
        <is>
          <t>10. 木頭紫花繩</t>
        </is>
      </c>
      <c r="E1620" t="inlineStr">
        <is>
          <t>107092439978</t>
        </is>
      </c>
      <c r="F1620">
        <f>IMAGE("https://cf.shopee.tw/file/3ea46b1aa92eb6bdef416c23199b63cd_tn")</f>
        <v/>
      </c>
    </row>
    <row r="1621">
      <c r="A1621" t="inlineStr">
        <is>
          <t>19725077805</t>
        </is>
      </c>
      <c r="B1621" t="inlineStr">
        <is>
          <t>隔日到貨🔥 ins韓風 手機殼吊飾 手機殼掛飾 手機殼掛繩 手機掛件 掛飾 手機吊飾 鍊條 手提掛飾 手機掛繩 掛繩</t>
        </is>
      </c>
      <c r="C1621">
        <f>IMAGE("https://cf.shopee.tw/file/7ed9e298e9ea4fd57da5a9e1debee3dc_tn")</f>
        <v/>
      </c>
      <c r="D1621" t="inlineStr">
        <is>
          <t>11. 珠光愛心繩</t>
        </is>
      </c>
      <c r="E1621" t="inlineStr">
        <is>
          <t>107092439979</t>
        </is>
      </c>
      <c r="F1621">
        <f>IMAGE("https://cf.shopee.tw/file/5cdec142f7f10f7d7b48c17955d2ce54_tn")</f>
        <v/>
      </c>
    </row>
    <row r="1622">
      <c r="A1622" t="inlineStr">
        <is>
          <t>19725077805</t>
        </is>
      </c>
      <c r="B1622" t="inlineStr">
        <is>
          <t>隔日到貨🔥 ins韓風 手機殼吊飾 手機殼掛飾 手機殼掛繩 手機掛件 掛飾 手機吊飾 鍊條 手提掛飾 手機掛繩 掛繩</t>
        </is>
      </c>
      <c r="C1622">
        <f>IMAGE("https://cf.shopee.tw/file/7ed9e298e9ea4fd57da5a9e1debee3dc_tn")</f>
        <v/>
      </c>
      <c r="D1622" t="inlineStr">
        <is>
          <t>12. 彩花掛繩</t>
        </is>
      </c>
      <c r="E1622" t="inlineStr">
        <is>
          <t>107092439980</t>
        </is>
      </c>
      <c r="F1622">
        <f>IMAGE("https://cf.shopee.tw/file/7eb69d5da15ec9205d6b5d9db0c13565_tn")</f>
        <v/>
      </c>
    </row>
    <row r="1623">
      <c r="A1623" t="inlineStr">
        <is>
          <t>19725077805</t>
        </is>
      </c>
      <c r="B1623" t="inlineStr">
        <is>
          <t>隔日到貨🔥 ins韓風 手機殼吊飾 手機殼掛飾 手機殼掛繩 手機掛件 掛飾 手機吊飾 鍊條 手提掛飾 手機掛繩 掛繩</t>
        </is>
      </c>
      <c r="C1623">
        <f>IMAGE("https://cf.shopee.tw/file/7ed9e298e9ea4fd57da5a9e1debee3dc_tn")</f>
        <v/>
      </c>
      <c r="D1623" t="inlineStr">
        <is>
          <t>13.粉心掛繩</t>
        </is>
      </c>
      <c r="E1623" t="inlineStr">
        <is>
          <t>193623836299</t>
        </is>
      </c>
      <c r="F1623">
        <f>IMAGE("https://cf.shopee.tw/file/sg-11134201-22120-yla2uk8d6glva2_tn")</f>
        <v/>
      </c>
    </row>
    <row r="1624">
      <c r="A1624" t="inlineStr">
        <is>
          <t>19725077805</t>
        </is>
      </c>
      <c r="B1624" t="inlineStr">
        <is>
          <t>隔日到貨🔥 ins韓風 手機殼吊飾 手機殼掛飾 手機殼掛繩 手機掛件 掛飾 手機吊飾 鍊條 手提掛飾 手機掛繩 掛繩</t>
        </is>
      </c>
      <c r="C1624">
        <f>IMAGE("https://cf.shopee.tw/file/7ed9e298e9ea4fd57da5a9e1debee3dc_tn")</f>
        <v/>
      </c>
      <c r="D1624" t="inlineStr">
        <is>
          <t>14.軟陶白繩</t>
        </is>
      </c>
      <c r="E1624" t="inlineStr"/>
      <c r="F1624">
        <f>IMAGE("https://cf.shopee.tw/file/tw-11134207-23020-7hv89tjatdnvf9_tn")</f>
        <v/>
      </c>
    </row>
    <row r="1625">
      <c r="A1625" t="inlineStr">
        <is>
          <t>19725077805</t>
        </is>
      </c>
      <c r="B1625" t="inlineStr">
        <is>
          <t>隔日到貨🔥 ins韓風 手機殼吊飾 手機殼掛飾 手機殼掛繩 手機掛件 掛飾 手機吊飾 鍊條 手提掛飾 手機掛繩 掛繩</t>
        </is>
      </c>
      <c r="C1625">
        <f>IMAGE("https://cf.shopee.tw/file/7ed9e298e9ea4fd57da5a9e1debee3dc_tn")</f>
        <v/>
      </c>
      <c r="D1625" t="inlineStr">
        <is>
          <t>15.水晶愛心繩</t>
        </is>
      </c>
      <c r="E1625" t="inlineStr">
        <is>
          <t>194347278765</t>
        </is>
      </c>
      <c r="F1625">
        <f>IMAGE("https://cf.shopee.tw/file/tw-11134207-7qul9-lhpxc24en7bi84_tn")</f>
        <v/>
      </c>
    </row>
    <row r="1626">
      <c r="A1626" t="inlineStr">
        <is>
          <t>19725077805</t>
        </is>
      </c>
      <c r="B1626" t="inlineStr">
        <is>
          <t>隔日到貨🔥 ins韓風 手機殼吊飾 手機殼掛飾 手機殼掛繩 手機掛件 掛飾 手機吊飾 鍊條 手提掛飾 手機掛繩 掛繩</t>
        </is>
      </c>
      <c r="C1626">
        <f>IMAGE("https://cf.shopee.tw/file/7ed9e298e9ea4fd57da5a9e1debee3dc_tn")</f>
        <v/>
      </c>
      <c r="D1626" t="inlineStr">
        <is>
          <t>16.紫珠繩</t>
        </is>
      </c>
      <c r="E1626" t="inlineStr">
        <is>
          <t>194347278764</t>
        </is>
      </c>
      <c r="F1626">
        <f>IMAGE("https://cf.shopee.tw/file/tw-11134207-7quky-lhpxc24eolvybf_tn")</f>
        <v/>
      </c>
    </row>
    <row r="1627">
      <c r="A1627" t="inlineStr">
        <is>
          <t>19725077805</t>
        </is>
      </c>
      <c r="B1627" t="inlineStr">
        <is>
          <t>隔日到貨🔥 ins韓風 手機殼吊飾 手機殼掛飾 手機殼掛繩 手機掛件 掛飾 手機吊飾 鍊條 手提掛飾 手機掛繩 掛繩</t>
        </is>
      </c>
      <c r="C1627">
        <f>IMAGE("https://cf.shopee.tw/file/7ed9e298e9ea4fd57da5a9e1debee3dc_tn")</f>
        <v/>
      </c>
      <c r="D1627" t="inlineStr">
        <is>
          <t>17.透粉花掛繩</t>
        </is>
      </c>
      <c r="E1627" t="inlineStr">
        <is>
          <t>194347278763</t>
        </is>
      </c>
      <c r="F1627">
        <f>IMAGE("https://cf.shopee.tw/file/tw-11134207-7qul9-lhpxc7zu1sy603_tn")</f>
        <v/>
      </c>
    </row>
    <row r="1628">
      <c r="A1628" t="inlineStr">
        <is>
          <t>19725077805</t>
        </is>
      </c>
      <c r="B1628" t="inlineStr">
        <is>
          <t>隔日到貨🔥 ins韓風 手機殼吊飾 手機殼掛飾 手機殼掛繩 手機掛件 掛飾 手機吊飾 鍊條 手提掛飾 手機掛繩 掛繩</t>
        </is>
      </c>
      <c r="C1628">
        <f>IMAGE("https://cf.shopee.tw/file/7ed9e298e9ea4fd57da5a9e1debee3dc_tn")</f>
        <v/>
      </c>
      <c r="D1628" t="inlineStr">
        <is>
          <t>18.蝴蝶黑繩</t>
        </is>
      </c>
      <c r="E1628" t="inlineStr">
        <is>
          <t>108252849863</t>
        </is>
      </c>
      <c r="F1628">
        <f>IMAGE("https://cf.shopee.tw/file/tw-11134207-7r990-lorypbk88qkce3_tn")</f>
        <v/>
      </c>
    </row>
    <row r="1629">
      <c r="A1629" t="inlineStr">
        <is>
          <t>13639407139</t>
        </is>
      </c>
      <c r="B1629" t="inlineStr">
        <is>
          <t>隔日到貨🔥 iPhone 手機殼 17 16 15 14 13 12 11 XS XR SE X 8 保護殼 軟殼 蘋果</t>
        </is>
      </c>
      <c r="C1629">
        <f>IMAGE("https://cf.shopee.tw/file/3f1e958a15255eda458ebd931ae9fcc8_tn")</f>
        <v/>
      </c>
      <c r="D1629" t="inlineStr">
        <is>
          <t>11 Pro Max</t>
        </is>
      </c>
      <c r="E1629" t="inlineStr">
        <is>
          <t>232243356860</t>
        </is>
      </c>
      <c r="F1629">
        <f>IMAGE("https://deo.shopeemobile.com/shopee/shopee-seller-live-sg/mmf_portal_seller_root_dir/static/modules/product-list/image/default-item-model-image.2601159.png")</f>
        <v/>
      </c>
    </row>
    <row r="1630">
      <c r="A1630" t="inlineStr">
        <is>
          <t>13639407139</t>
        </is>
      </c>
      <c r="B1630" t="inlineStr">
        <is>
          <t>隔日到貨🔥 iPhone 手機殼 17 16 15 14 13 12 11 XS XR SE X 8 保護殼 軟殼 蘋果</t>
        </is>
      </c>
      <c r="C1630">
        <f>IMAGE("https://cf.shopee.tw/file/3f1e958a15255eda458ebd931ae9fcc8_tn")</f>
        <v/>
      </c>
      <c r="D1630" t="inlineStr">
        <is>
          <t>7 / 8 / SE2 / SE3</t>
        </is>
      </c>
      <c r="E1630" t="inlineStr">
        <is>
          <t>103508001942</t>
        </is>
      </c>
      <c r="F1630">
        <f>IMAGE("https://deo.shopeemobile.com/shopee/shopee-seller-live-sg/mmf_portal_seller_root_dir/static/modules/product-list/image/default-item-model-image.2601159.png")</f>
        <v/>
      </c>
    </row>
    <row r="1631">
      <c r="A1631" t="inlineStr">
        <is>
          <t>13639407139</t>
        </is>
      </c>
      <c r="B1631" t="inlineStr">
        <is>
          <t>隔日到貨🔥 iPhone 手機殼 17 16 15 14 13 12 11 XS XR SE X 8 保護殼 軟殼 蘋果</t>
        </is>
      </c>
      <c r="C1631">
        <f>IMAGE("https://cf.shopee.tw/file/3f1e958a15255eda458ebd931ae9fcc8_tn")</f>
        <v/>
      </c>
      <c r="D1631" t="inlineStr">
        <is>
          <t>7 Plus / 8 Plus</t>
        </is>
      </c>
      <c r="E1631" t="inlineStr">
        <is>
          <t>103508001943</t>
        </is>
      </c>
      <c r="F1631">
        <f>IMAGE("https://deo.shopeemobile.com/shopee/shopee-seller-live-sg/mmf_portal_seller_root_dir/static/modules/product-list/image/default-item-model-image.2601159.png")</f>
        <v/>
      </c>
    </row>
    <row r="1632">
      <c r="A1632" t="inlineStr">
        <is>
          <t>13639407139</t>
        </is>
      </c>
      <c r="B1632" t="inlineStr">
        <is>
          <t>隔日到貨🔥 iPhone 手機殼 17 16 15 14 13 12 11 XS XR SE X 8 保護殼 軟殼 蘋果</t>
        </is>
      </c>
      <c r="C1632">
        <f>IMAGE("https://cf.shopee.tw/file/3f1e958a15255eda458ebd931ae9fcc8_tn")</f>
        <v/>
      </c>
      <c r="D1632" t="inlineStr">
        <is>
          <t>X / XS</t>
        </is>
      </c>
      <c r="E1632" t="inlineStr">
        <is>
          <t>103508001934</t>
        </is>
      </c>
      <c r="F1632">
        <f>IMAGE("https://deo.shopeemobile.com/shopee/shopee-seller-live-sg/mmf_portal_seller_root_dir/static/modules/product-list/image/default-item-model-image.2601159.png")</f>
        <v/>
      </c>
    </row>
    <row r="1633">
      <c r="A1633" t="inlineStr">
        <is>
          <t>13639407139</t>
        </is>
      </c>
      <c r="B1633" t="inlineStr">
        <is>
          <t>隔日到貨🔥 iPhone 手機殼 17 16 15 14 13 12 11 XS XR SE X 8 保護殼 軟殼 蘋果</t>
        </is>
      </c>
      <c r="C1633">
        <f>IMAGE("https://cf.shopee.tw/file/3f1e958a15255eda458ebd931ae9fcc8_tn")</f>
        <v/>
      </c>
      <c r="D1633" t="inlineStr">
        <is>
          <t>XR</t>
        </is>
      </c>
      <c r="E1633" t="inlineStr">
        <is>
          <t>103508001944</t>
        </is>
      </c>
      <c r="F1633">
        <f>IMAGE("https://deo.shopeemobile.com/shopee/shopee-seller-live-sg/mmf_portal_seller_root_dir/static/modules/product-list/image/default-item-model-image.2601159.png")</f>
        <v/>
      </c>
    </row>
    <row r="1634">
      <c r="A1634" t="inlineStr">
        <is>
          <t>13639407139</t>
        </is>
      </c>
      <c r="B1634" t="inlineStr">
        <is>
          <t>隔日到貨🔥 iPhone 手機殼 17 16 15 14 13 12 11 XS XR SE X 8 保護殼 軟殼 蘋果</t>
        </is>
      </c>
      <c r="C1634">
        <f>IMAGE("https://cf.shopee.tw/file/3f1e958a15255eda458ebd931ae9fcc8_tn")</f>
        <v/>
      </c>
      <c r="D1634" t="inlineStr">
        <is>
          <t>XS Max</t>
        </is>
      </c>
      <c r="E1634" t="inlineStr">
        <is>
          <t>103508001935</t>
        </is>
      </c>
      <c r="F1634">
        <f>IMAGE("https://deo.shopeemobile.com/shopee/shopee-seller-live-sg/mmf_portal_seller_root_dir/static/modules/product-list/image/default-item-model-image.2601159.png")</f>
        <v/>
      </c>
    </row>
    <row r="1635">
      <c r="A1635" t="inlineStr">
        <is>
          <t>13639407139</t>
        </is>
      </c>
      <c r="B1635" t="inlineStr">
        <is>
          <t>隔日到貨🔥 iPhone 手機殼 17 16 15 14 13 12 11 XS XR SE X 8 保護殼 軟殼 蘋果</t>
        </is>
      </c>
      <c r="C1635">
        <f>IMAGE("https://cf.shopee.tw/file/3f1e958a15255eda458ebd931ae9fcc8_tn")</f>
        <v/>
      </c>
      <c r="D1635" t="inlineStr">
        <is>
          <t>11</t>
        </is>
      </c>
      <c r="E1635" t="inlineStr">
        <is>
          <t>103508001937</t>
        </is>
      </c>
      <c r="F1635">
        <f>IMAGE("https://deo.shopeemobile.com/shopee/shopee-seller-live-sg/mmf_portal_seller_root_dir/static/modules/product-list/image/default-item-model-image.2601159.png")</f>
        <v/>
      </c>
    </row>
    <row r="1636">
      <c r="A1636" t="inlineStr">
        <is>
          <t>13639407139</t>
        </is>
      </c>
      <c r="B1636" t="inlineStr">
        <is>
          <t>隔日到貨🔥 iPhone 手機殼 17 16 15 14 13 12 11 XS XR SE X 8 保護殼 軟殼 蘋果</t>
        </is>
      </c>
      <c r="C1636">
        <f>IMAGE("https://cf.shopee.tw/file/3f1e958a15255eda458ebd931ae9fcc8_tn")</f>
        <v/>
      </c>
      <c r="D1636" t="inlineStr">
        <is>
          <t>11 Pro</t>
        </is>
      </c>
      <c r="E1636" t="inlineStr">
        <is>
          <t>232243356861</t>
        </is>
      </c>
      <c r="F1636">
        <f>IMAGE("https://deo.shopeemobile.com/shopee/shopee-seller-live-sg/mmf_portal_seller_root_dir/static/modules/product-list/image/default-item-model-image.2601159.png")</f>
        <v/>
      </c>
    </row>
    <row r="1637">
      <c r="A1637" t="inlineStr">
        <is>
          <t>13639407139</t>
        </is>
      </c>
      <c r="B1637" t="inlineStr">
        <is>
          <t>隔日到貨🔥 iPhone 手機殼 17 16 15 14 13 12 11 XS XR SE X 8 保護殼 軟殼 蘋果</t>
        </is>
      </c>
      <c r="C1637">
        <f>IMAGE("https://cf.shopee.tw/file/3f1e958a15255eda458ebd931ae9fcc8_tn")</f>
        <v/>
      </c>
      <c r="D1637" t="inlineStr">
        <is>
          <t>12</t>
        </is>
      </c>
      <c r="E1637" t="inlineStr">
        <is>
          <t>103508001938</t>
        </is>
      </c>
      <c r="F1637">
        <f>IMAGE("https://deo.shopeemobile.com/shopee/shopee-seller-live-sg/mmf_portal_seller_root_dir/static/modules/product-list/image/default-item-model-image.2601159.png")</f>
        <v/>
      </c>
    </row>
    <row r="1638">
      <c r="A1638" t="inlineStr">
        <is>
          <t>13639407139</t>
        </is>
      </c>
      <c r="B1638" t="inlineStr">
        <is>
          <t>隔日到貨🔥 iPhone 手機殼 17 16 15 14 13 12 11 XS XR SE X 8 保護殼 軟殼 蘋果</t>
        </is>
      </c>
      <c r="C1638">
        <f>IMAGE("https://cf.shopee.tw/file/3f1e958a15255eda458ebd931ae9fcc8_tn")</f>
        <v/>
      </c>
      <c r="D1638" t="inlineStr">
        <is>
          <t>12 pro</t>
        </is>
      </c>
      <c r="E1638" t="inlineStr">
        <is>
          <t>103508001939</t>
        </is>
      </c>
      <c r="F1638">
        <f>IMAGE("https://deo.shopeemobile.com/shopee/shopee-seller-live-sg/mmf_portal_seller_root_dir/static/modules/product-list/image/default-item-model-image.2601159.png")</f>
        <v/>
      </c>
    </row>
    <row r="1639">
      <c r="A1639" t="inlineStr">
        <is>
          <t>13639407139</t>
        </is>
      </c>
      <c r="B1639" t="inlineStr">
        <is>
          <t>隔日到貨🔥 iPhone 手機殼 17 16 15 14 13 12 11 XS XR SE X 8 保護殼 軟殼 蘋果</t>
        </is>
      </c>
      <c r="C1639">
        <f>IMAGE("https://cf.shopee.tw/file/3f1e958a15255eda458ebd931ae9fcc8_tn")</f>
        <v/>
      </c>
      <c r="D1639" t="inlineStr">
        <is>
          <t>12 pro Max</t>
        </is>
      </c>
      <c r="E1639" t="inlineStr">
        <is>
          <t>103508001940</t>
        </is>
      </c>
      <c r="F1639">
        <f>IMAGE("https://deo.shopeemobile.com/shopee/shopee-seller-live-sg/mmf_portal_seller_root_dir/static/modules/product-list/image/default-item-model-image.2601159.png")</f>
        <v/>
      </c>
    </row>
    <row r="1640">
      <c r="A1640" t="inlineStr">
        <is>
          <t>13639407139</t>
        </is>
      </c>
      <c r="B1640" t="inlineStr">
        <is>
          <t>隔日到貨🔥 iPhone 手機殼 17 16 15 14 13 12 11 XS XR SE X 8 保護殼 軟殼 蘋果</t>
        </is>
      </c>
      <c r="C1640">
        <f>IMAGE("https://cf.shopee.tw/file/3f1e958a15255eda458ebd931ae9fcc8_tn")</f>
        <v/>
      </c>
      <c r="D1640" t="inlineStr">
        <is>
          <t>12 mini</t>
        </is>
      </c>
      <c r="E1640" t="inlineStr">
        <is>
          <t>232243356859</t>
        </is>
      </c>
      <c r="F1640">
        <f>IMAGE("https://deo.shopeemobile.com/shopee/shopee-seller-live-sg/mmf_portal_seller_root_dir/static/modules/product-list/image/default-item-model-image.2601159.png")</f>
        <v/>
      </c>
    </row>
    <row r="1641">
      <c r="A1641" t="inlineStr">
        <is>
          <t>13639407139</t>
        </is>
      </c>
      <c r="B1641" t="inlineStr">
        <is>
          <t>隔日到貨🔥 iPhone 手機殼 17 16 15 14 13 12 11 XS XR SE X 8 保護殼 軟殼 蘋果</t>
        </is>
      </c>
      <c r="C1641">
        <f>IMAGE("https://cf.shopee.tw/file/3f1e958a15255eda458ebd931ae9fcc8_tn")</f>
        <v/>
      </c>
      <c r="D1641" t="inlineStr">
        <is>
          <t>13</t>
        </is>
      </c>
      <c r="E1641" t="inlineStr">
        <is>
          <t>103508001936</t>
        </is>
      </c>
      <c r="F1641">
        <f>IMAGE("https://deo.shopeemobile.com/shopee/shopee-seller-live-sg/mmf_portal_seller_root_dir/static/modules/product-list/image/default-item-model-image.2601159.png")</f>
        <v/>
      </c>
    </row>
    <row r="1642">
      <c r="A1642" t="inlineStr">
        <is>
          <t>13639407139</t>
        </is>
      </c>
      <c r="B1642" t="inlineStr">
        <is>
          <t>隔日到貨🔥 iPhone 手機殼 17 16 15 14 13 12 11 XS XR SE X 8 保護殼 軟殼 蘋果</t>
        </is>
      </c>
      <c r="C1642">
        <f>IMAGE("https://cf.shopee.tw/file/3f1e958a15255eda458ebd931ae9fcc8_tn")</f>
        <v/>
      </c>
      <c r="D1642" t="inlineStr">
        <is>
          <t>13 pro</t>
        </is>
      </c>
      <c r="E1642" t="inlineStr">
        <is>
          <t>103508001933</t>
        </is>
      </c>
      <c r="F1642">
        <f>IMAGE("https://deo.shopeemobile.com/shopee/shopee-seller-live-sg/mmf_portal_seller_root_dir/static/modules/product-list/image/default-item-model-image.2601159.png")</f>
        <v/>
      </c>
    </row>
    <row r="1643">
      <c r="A1643" t="inlineStr">
        <is>
          <t>13639407139</t>
        </is>
      </c>
      <c r="B1643" t="inlineStr">
        <is>
          <t>隔日到貨🔥 iPhone 手機殼 17 16 15 14 13 12 11 XS XR SE X 8 保護殼 軟殼 蘋果</t>
        </is>
      </c>
      <c r="C1643">
        <f>IMAGE("https://cf.shopee.tw/file/3f1e958a15255eda458ebd931ae9fcc8_tn")</f>
        <v/>
      </c>
      <c r="D1643" t="inlineStr">
        <is>
          <t>13 pro Max</t>
        </is>
      </c>
      <c r="E1643" t="inlineStr"/>
      <c r="F1643">
        <f>IMAGE("https://deo.shopeemobile.com/shopee/shopee-seller-live-sg/mmf_portal_seller_root_dir/static/modules/product-list/image/default-item-model-image.2601159.png")</f>
        <v/>
      </c>
    </row>
    <row r="1644">
      <c r="A1644" t="inlineStr">
        <is>
          <t>13639407139</t>
        </is>
      </c>
      <c r="B1644" t="inlineStr">
        <is>
          <t>隔日到貨🔥 iPhone 手機殼 17 16 15 14 13 12 11 XS XR SE X 8 保護殼 軟殼 蘋果</t>
        </is>
      </c>
      <c r="C1644">
        <f>IMAGE("https://cf.shopee.tw/file/3f1e958a15255eda458ebd931ae9fcc8_tn")</f>
        <v/>
      </c>
      <c r="D1644" t="inlineStr">
        <is>
          <t>13 mini</t>
        </is>
      </c>
      <c r="E1644" t="inlineStr">
        <is>
          <t>29688643223</t>
        </is>
      </c>
      <c r="F1644">
        <f>IMAGE("https://deo.shopeemobile.com/shopee/shopee-seller-live-sg/mmf_portal_seller_root_dir/static/modules/product-list/image/default-item-model-image.2601159.png")</f>
        <v/>
      </c>
    </row>
    <row r="1645">
      <c r="A1645" t="inlineStr">
        <is>
          <t>13639407139</t>
        </is>
      </c>
      <c r="B1645" t="inlineStr">
        <is>
          <t>隔日到貨🔥 iPhone 手機殼 17 16 15 14 13 12 11 XS XR SE X 8 保護殼 軟殼 蘋果</t>
        </is>
      </c>
      <c r="C1645">
        <f>IMAGE("https://cf.shopee.tw/file/3f1e958a15255eda458ebd931ae9fcc8_tn")</f>
        <v/>
      </c>
      <c r="D1645" t="inlineStr">
        <is>
          <t>14</t>
        </is>
      </c>
      <c r="E1645" t="inlineStr">
        <is>
          <t>174497739766</t>
        </is>
      </c>
      <c r="F1645">
        <f>IMAGE("https://deo.shopeemobile.com/shopee/shopee-seller-live-sg/mmf_portal_seller_root_dir/static/modules/product-list/image/default-item-model-image.2601159.png")</f>
        <v/>
      </c>
    </row>
    <row r="1646">
      <c r="A1646" t="inlineStr">
        <is>
          <t>13639407139</t>
        </is>
      </c>
      <c r="B1646" t="inlineStr">
        <is>
          <t>隔日到貨🔥 iPhone 手機殼 17 16 15 14 13 12 11 XS XR SE X 8 保護殼 軟殼 蘋果</t>
        </is>
      </c>
      <c r="C1646">
        <f>IMAGE("https://cf.shopee.tw/file/3f1e958a15255eda458ebd931ae9fcc8_tn")</f>
        <v/>
      </c>
      <c r="D1646" t="inlineStr">
        <is>
          <t>14 Plus</t>
        </is>
      </c>
      <c r="E1646" t="inlineStr"/>
      <c r="F1646">
        <f>IMAGE("https://deo.shopeemobile.com/shopee/shopee-seller-live-sg/mmf_portal_seller_root_dir/static/modules/product-list/image/default-item-model-image.2601159.png")</f>
        <v/>
      </c>
    </row>
    <row r="1647">
      <c r="A1647" t="inlineStr">
        <is>
          <t>13639407139</t>
        </is>
      </c>
      <c r="B1647" t="inlineStr">
        <is>
          <t>隔日到貨🔥 iPhone 手機殼 17 16 15 14 13 12 11 XS XR SE X 8 保護殼 軟殼 蘋果</t>
        </is>
      </c>
      <c r="C1647">
        <f>IMAGE("https://cf.shopee.tw/file/3f1e958a15255eda458ebd931ae9fcc8_tn")</f>
        <v/>
      </c>
      <c r="D1647" t="inlineStr">
        <is>
          <t>14 pro</t>
        </is>
      </c>
      <c r="E1647" t="inlineStr">
        <is>
          <t>182364394232</t>
        </is>
      </c>
      <c r="F1647">
        <f>IMAGE("https://deo.shopeemobile.com/shopee/shopee-seller-live-sg/mmf_portal_seller_root_dir/static/modules/product-list/image/default-item-model-image.2601159.png")</f>
        <v/>
      </c>
    </row>
    <row r="1648">
      <c r="A1648" t="inlineStr">
        <is>
          <t>13639407139</t>
        </is>
      </c>
      <c r="B1648" t="inlineStr">
        <is>
          <t>隔日到貨🔥 iPhone 手機殼 17 16 15 14 13 12 11 XS XR SE X 8 保護殼 軟殼 蘋果</t>
        </is>
      </c>
      <c r="C1648">
        <f>IMAGE("https://cf.shopee.tw/file/3f1e958a15255eda458ebd931ae9fcc8_tn")</f>
        <v/>
      </c>
      <c r="D1648" t="inlineStr">
        <is>
          <t>14 pro Max</t>
        </is>
      </c>
      <c r="E1648" t="inlineStr">
        <is>
          <t>182364394233</t>
        </is>
      </c>
      <c r="F1648">
        <f>IMAGE("https://deo.shopeemobile.com/shopee/shopee-seller-live-sg/mmf_portal_seller_root_dir/static/modules/product-list/image/default-item-model-image.2601159.png")</f>
        <v/>
      </c>
    </row>
    <row r="1649">
      <c r="A1649" t="inlineStr">
        <is>
          <t>13639407139</t>
        </is>
      </c>
      <c r="B1649" t="inlineStr">
        <is>
          <t>隔日到貨🔥 iPhone 手機殼 17 16 15 14 13 12 11 XS XR SE X 8 保護殼 軟殼 蘋果</t>
        </is>
      </c>
      <c r="C1649">
        <f>IMAGE("https://cf.shopee.tw/file/3f1e958a15255eda458ebd931ae9fcc8_tn")</f>
        <v/>
      </c>
      <c r="D1649" t="inlineStr">
        <is>
          <t>15</t>
        </is>
      </c>
      <c r="E1649" t="inlineStr">
        <is>
          <t>108185480199</t>
        </is>
      </c>
      <c r="F1649">
        <f>IMAGE("https://deo.shopeemobile.com/shopee/shopee-seller-live-sg/mmf_portal_seller_root_dir/static/modules/product-list/image/default-item-model-image.2601159.png")</f>
        <v/>
      </c>
    </row>
    <row r="1650">
      <c r="A1650" t="inlineStr">
        <is>
          <t>13639407139</t>
        </is>
      </c>
      <c r="B1650" t="inlineStr">
        <is>
          <t>隔日到貨🔥 iPhone 手機殼 17 16 15 14 13 12 11 XS XR SE X 8 保護殼 軟殼 蘋果</t>
        </is>
      </c>
      <c r="C1650">
        <f>IMAGE("https://cf.shopee.tw/file/3f1e958a15255eda458ebd931ae9fcc8_tn")</f>
        <v/>
      </c>
      <c r="D1650" t="inlineStr">
        <is>
          <t>15 Plus</t>
        </is>
      </c>
      <c r="E1650" t="inlineStr">
        <is>
          <t>108185480200</t>
        </is>
      </c>
      <c r="F1650">
        <f>IMAGE("https://deo.shopeemobile.com/shopee/shopee-seller-live-sg/mmf_portal_seller_root_dir/static/modules/product-list/image/default-item-model-image.2601159.png")</f>
        <v/>
      </c>
    </row>
    <row r="1651">
      <c r="A1651" t="inlineStr">
        <is>
          <t>13639407139</t>
        </is>
      </c>
      <c r="B1651" t="inlineStr">
        <is>
          <t>隔日到貨🔥 iPhone 手機殼 17 16 15 14 13 12 11 XS XR SE X 8 保護殼 軟殼 蘋果</t>
        </is>
      </c>
      <c r="C1651">
        <f>IMAGE("https://cf.shopee.tw/file/3f1e958a15255eda458ebd931ae9fcc8_tn")</f>
        <v/>
      </c>
      <c r="D1651" t="inlineStr">
        <is>
          <t>15 pro</t>
        </is>
      </c>
      <c r="E1651" t="inlineStr">
        <is>
          <t>108185480197</t>
        </is>
      </c>
      <c r="F1651">
        <f>IMAGE("https://deo.shopeemobile.com/shopee/shopee-seller-live-sg/mmf_portal_seller_root_dir/static/modules/product-list/image/default-item-model-image.2601159.png")</f>
        <v/>
      </c>
    </row>
    <row r="1652">
      <c r="A1652" t="inlineStr">
        <is>
          <t>13639407139</t>
        </is>
      </c>
      <c r="B1652" t="inlineStr">
        <is>
          <t>隔日到貨🔥 iPhone 手機殼 17 16 15 14 13 12 11 XS XR SE X 8 保護殼 軟殼 蘋果</t>
        </is>
      </c>
      <c r="C1652">
        <f>IMAGE("https://cf.shopee.tw/file/3f1e958a15255eda458ebd931ae9fcc8_tn")</f>
        <v/>
      </c>
      <c r="D1652" t="inlineStr">
        <is>
          <t>15 pro Max</t>
        </is>
      </c>
      <c r="E1652" t="inlineStr">
        <is>
          <t>108185480198</t>
        </is>
      </c>
      <c r="F1652">
        <f>IMAGE("https://deo.shopeemobile.com/shopee/shopee-seller-live-sg/mmf_portal_seller_root_dir/static/modules/product-list/image/default-item-model-image.2601159.png")</f>
        <v/>
      </c>
    </row>
    <row r="1653">
      <c r="A1653" t="inlineStr">
        <is>
          <t>13639407139</t>
        </is>
      </c>
      <c r="B1653" t="inlineStr">
        <is>
          <t>隔日到貨🔥 iPhone 手機殼 17 16 15 14 13 12 11 XS XR SE X 8 保護殼 軟殼 蘋果</t>
        </is>
      </c>
      <c r="C1653">
        <f>IMAGE("https://cf.shopee.tw/file/3f1e958a15255eda458ebd931ae9fcc8_tn")</f>
        <v/>
      </c>
      <c r="D1653" t="inlineStr">
        <is>
          <t>16</t>
        </is>
      </c>
      <c r="E1653" t="inlineStr">
        <is>
          <t>205451586208</t>
        </is>
      </c>
      <c r="F1653">
        <f>IMAGE("https://deo.shopeemobile.com/shopee/shopee-seller-live-sg/mmf_portal_seller_root_dir/static/modules/product-list/image/default-item-model-image.2601159.png")</f>
        <v/>
      </c>
    </row>
    <row r="1654">
      <c r="A1654" t="inlineStr">
        <is>
          <t>13639407139</t>
        </is>
      </c>
      <c r="B1654" t="inlineStr">
        <is>
          <t>隔日到貨🔥 iPhone 手機殼 17 16 15 14 13 12 11 XS XR SE X 8 保護殼 軟殼 蘋果</t>
        </is>
      </c>
      <c r="C1654">
        <f>IMAGE("https://cf.shopee.tw/file/3f1e958a15255eda458ebd931ae9fcc8_tn")</f>
        <v/>
      </c>
      <c r="D1654" t="inlineStr">
        <is>
          <t>16 Plus</t>
        </is>
      </c>
      <c r="E1654" t="inlineStr">
        <is>
          <t>205451586209</t>
        </is>
      </c>
      <c r="F1654">
        <f>IMAGE("https://deo.shopeemobile.com/shopee/shopee-seller-live-sg/mmf_portal_seller_root_dir/static/modules/product-list/image/default-item-model-image.2601159.png")</f>
        <v/>
      </c>
    </row>
    <row r="1655">
      <c r="A1655" t="inlineStr">
        <is>
          <t>13639407139</t>
        </is>
      </c>
      <c r="B1655" t="inlineStr">
        <is>
          <t>隔日到貨🔥 iPhone 手機殼 17 16 15 14 13 12 11 XS XR SE X 8 保護殼 軟殼 蘋果</t>
        </is>
      </c>
      <c r="C1655">
        <f>IMAGE("https://cf.shopee.tw/file/3f1e958a15255eda458ebd931ae9fcc8_tn")</f>
        <v/>
      </c>
      <c r="D1655" t="inlineStr">
        <is>
          <t>16 pro</t>
        </is>
      </c>
      <c r="E1655" t="inlineStr">
        <is>
          <t>205451586210</t>
        </is>
      </c>
      <c r="F1655">
        <f>IMAGE("https://deo.shopeemobile.com/shopee/shopee-seller-live-sg/mmf_portal_seller_root_dir/static/modules/product-list/image/default-item-model-image.2601159.png")</f>
        <v/>
      </c>
    </row>
    <row r="1656">
      <c r="A1656" t="inlineStr">
        <is>
          <t>13639407139</t>
        </is>
      </c>
      <c r="B1656" t="inlineStr">
        <is>
          <t>隔日到貨🔥 iPhone 手機殼 17 16 15 14 13 12 11 XS XR SE X 8 保護殼 軟殼 蘋果</t>
        </is>
      </c>
      <c r="C1656">
        <f>IMAGE("https://cf.shopee.tw/file/3f1e958a15255eda458ebd931ae9fcc8_tn")</f>
        <v/>
      </c>
      <c r="D1656" t="inlineStr">
        <is>
          <t>16 pro Max</t>
        </is>
      </c>
      <c r="E1656" t="inlineStr">
        <is>
          <t>205451586211</t>
        </is>
      </c>
      <c r="F1656">
        <f>IMAGE("https://deo.shopeemobile.com/shopee/shopee-seller-live-sg/mmf_portal_seller_root_dir/static/modules/product-list/image/default-item-model-image.2601159.png")</f>
        <v/>
      </c>
    </row>
    <row r="1657">
      <c r="A1657" t="inlineStr">
        <is>
          <t>13639407139</t>
        </is>
      </c>
      <c r="B1657" t="inlineStr">
        <is>
          <t>隔日到貨🔥 iPhone 手機殼 17 16 15 14 13 12 11 XS XR SE X 8 保護殼 軟殼 蘋果</t>
        </is>
      </c>
      <c r="C1657">
        <f>IMAGE("https://cf.shopee.tw/file/3f1e958a15255eda458ebd931ae9fcc8_tn")</f>
        <v/>
      </c>
      <c r="D1657" t="inlineStr">
        <is>
          <t>17</t>
        </is>
      </c>
      <c r="E1657" t="inlineStr">
        <is>
          <t>335093205072</t>
        </is>
      </c>
      <c r="F1657">
        <f>IMAGE("https://deo.shopeemobile.com/shopee/shopee-seller-live-sg/mmf_portal_seller_root_dir/static/modules/product-list/image/default-item-model-image.2601159.png")</f>
        <v/>
      </c>
    </row>
    <row r="1658">
      <c r="A1658" t="inlineStr">
        <is>
          <t>13639407139</t>
        </is>
      </c>
      <c r="B1658" t="inlineStr">
        <is>
          <t>隔日到貨🔥 iPhone 手機殼 17 16 15 14 13 12 11 XS XR SE X 8 保護殼 軟殼 蘋果</t>
        </is>
      </c>
      <c r="C1658">
        <f>IMAGE("https://cf.shopee.tw/file/3f1e958a15255eda458ebd931ae9fcc8_tn")</f>
        <v/>
      </c>
      <c r="D1658" t="inlineStr">
        <is>
          <t>17 pro</t>
        </is>
      </c>
      <c r="E1658" t="inlineStr">
        <is>
          <t>335093205073</t>
        </is>
      </c>
      <c r="F1658">
        <f>IMAGE("https://cf.shopee.tw/file/tw-11134207-820lb-mln69vk02t4wb5_tn")</f>
        <v/>
      </c>
    </row>
    <row r="1659">
      <c r="A1659" t="inlineStr">
        <is>
          <t>13639407139</t>
        </is>
      </c>
      <c r="B1659" t="inlineStr">
        <is>
          <t>隔日到貨🔥 iPhone 手機殼 17 16 15 14 13 12 11 XS XR SE X 8 保護殼 軟殼 蘋果</t>
        </is>
      </c>
      <c r="C1659">
        <f>IMAGE("https://cf.shopee.tw/file/3f1e958a15255eda458ebd931ae9fcc8_tn")</f>
        <v/>
      </c>
      <c r="D1659" t="inlineStr">
        <is>
          <t>17 pro Max</t>
        </is>
      </c>
      <c r="E1659" t="inlineStr">
        <is>
          <t>335093205074</t>
        </is>
      </c>
      <c r="F1659">
        <f>IMAGE("https://deo.shopeemobile.com/shopee/shopee-seller-live-sg/mmf_portal_seller_root_dir/static/modules/product-list/image/default-item-model-image.2601159.png")</f>
        <v/>
      </c>
    </row>
    <row r="1660">
      <c r="A1660" t="inlineStr">
        <is>
          <t>13639407139</t>
        </is>
      </c>
      <c r="B1660" t="inlineStr">
        <is>
          <t>隔日到貨🔥 iPhone 手機殼 17 16 15 14 13 12 11 XS XR SE X 8 保護殼 軟殼 蘋果</t>
        </is>
      </c>
      <c r="C1660">
        <f>IMAGE("https://cf.shopee.tw/file/3f1e958a15255eda458ebd931ae9fcc8_tn")</f>
        <v/>
      </c>
      <c r="D1660" t="inlineStr">
        <is>
          <t>17 Air</t>
        </is>
      </c>
      <c r="E1660" t="inlineStr"/>
      <c r="F1660">
        <f>IMAGE("https://deo.shopeemobile.com/shopee/shopee-seller-live-sg/mmf_portal_seller_root_dir/static/modules/product-list/image/default-item-model-image.2601159.png")</f>
        <v/>
      </c>
    </row>
    <row r="1661">
      <c r="A1661" t="inlineStr">
        <is>
          <t>23552619822</t>
        </is>
      </c>
      <c r="B1661" t="inlineStr">
        <is>
          <t>隔日到貨🔥 收納包 束口袋 多尺寸 抽繩收納袋 帆布束口袋 B17 化妝包 束口包 分類袋 收納袋 防塵袋 購物袋</t>
        </is>
      </c>
      <c r="C1661">
        <f>IMAGE("https://cf.shopee.tw/file/tw-11134207-7r98o-lkw4ni91hwhl0c_tn")</f>
        <v/>
      </c>
      <c r="D1661" t="inlineStr">
        <is>
          <t>S</t>
        </is>
      </c>
      <c r="E1661" t="inlineStr">
        <is>
          <t>158340230655</t>
        </is>
      </c>
      <c r="F1661">
        <f>IMAGE("https://deo.shopeemobile.com/shopee/shopee-seller-live-sg/mmf_portal_seller_root_dir/static/modules/product-list/image/default-item-model-image.2601159.png")</f>
        <v/>
      </c>
    </row>
    <row r="1662">
      <c r="A1662" t="inlineStr">
        <is>
          <t>23552619822</t>
        </is>
      </c>
      <c r="B1662" t="inlineStr">
        <is>
          <t>隔日到貨🔥 收納包 束口袋 多尺寸 抽繩收納袋 帆布束口袋 B17 化妝包 束口包 分類袋 收納袋 防塵袋 購物袋</t>
        </is>
      </c>
      <c r="C1662">
        <f>IMAGE("https://cf.shopee.tw/file/tw-11134207-7r98o-lkw4ni91hwhl0c_tn")</f>
        <v/>
      </c>
      <c r="D1662" t="inlineStr">
        <is>
          <t>M</t>
        </is>
      </c>
      <c r="E1662" t="inlineStr">
        <is>
          <t>158340230656</t>
        </is>
      </c>
      <c r="F1662">
        <f>IMAGE("https://deo.shopeemobile.com/shopee/shopee-seller-live-sg/mmf_portal_seller_root_dir/static/modules/product-list/image/default-item-model-image.2601159.png")</f>
        <v/>
      </c>
    </row>
    <row r="1663">
      <c r="A1663" t="inlineStr">
        <is>
          <t>23552619822</t>
        </is>
      </c>
      <c r="B1663" t="inlineStr">
        <is>
          <t>隔日到貨🔥 收納包 束口袋 多尺寸 抽繩收納袋 帆布束口袋 B17 化妝包 束口包 分類袋 收納袋 防塵袋 購物袋</t>
        </is>
      </c>
      <c r="C1663">
        <f>IMAGE("https://cf.shopee.tw/file/tw-11134207-7r98o-lkw4ni91hwhl0c_tn")</f>
        <v/>
      </c>
      <c r="D1663" t="inlineStr">
        <is>
          <t>L</t>
        </is>
      </c>
      <c r="E1663" t="inlineStr">
        <is>
          <t>158340230657</t>
        </is>
      </c>
      <c r="F1663">
        <f>IMAGE("https://deo.shopeemobile.com/shopee/shopee-seller-live-sg/mmf_portal_seller_root_dir/static/modules/product-list/image/default-item-model-image.2601159.png")</f>
        <v/>
      </c>
    </row>
    <row r="1664">
      <c r="A1664" t="inlineStr">
        <is>
          <t>27750389092</t>
        </is>
      </c>
      <c r="B1664" t="inlineStr">
        <is>
          <t>隔日到貨🔥 牽手襪 中筒襪 棉長襪 長襪 中筒襪 襪子 白色襪子 女襪 長襪 情侶襪 襪子女 白長襪</t>
        </is>
      </c>
      <c r="C1664">
        <f>IMAGE("https://cf.shopee.tw/file/tw-11134207-7r98v-lwjs3nyqkmxya9_tn")</f>
        <v/>
      </c>
      <c r="D1664" t="inlineStr">
        <is>
          <t>大眼白色</t>
        </is>
      </c>
      <c r="E1664" t="inlineStr">
        <is>
          <t>255856434594</t>
        </is>
      </c>
      <c r="F1664">
        <f>IMAGE("https://cf.shopee.tw/file/tw-11134207-7r98r-lvoj9z92ethz46_tn")</f>
        <v/>
      </c>
    </row>
    <row r="1665">
      <c r="A1665" t="inlineStr">
        <is>
          <t>27750389092</t>
        </is>
      </c>
      <c r="B1665" t="inlineStr">
        <is>
          <t>隔日到貨🔥 牽手襪 中筒襪 棉長襪 長襪 中筒襪 襪子 白色襪子 女襪 長襪 情侶襪 襪子女 白長襪</t>
        </is>
      </c>
      <c r="C1665">
        <f>IMAGE("https://cf.shopee.tw/file/tw-11134207-7r98v-lwjs3nyqkmxya9_tn")</f>
        <v/>
      </c>
      <c r="D1665" t="inlineStr">
        <is>
          <t>大眼黑色</t>
        </is>
      </c>
      <c r="E1665" t="inlineStr">
        <is>
          <t>255856434595</t>
        </is>
      </c>
      <c r="F1665">
        <f>IMAGE("https://cf.shopee.tw/file/tw-11134207-7r98w-lvoj9z92g82f60_tn")</f>
        <v/>
      </c>
    </row>
    <row r="1666">
      <c r="A1666" t="inlineStr">
        <is>
          <t>27750389092</t>
        </is>
      </c>
      <c r="B1666" t="inlineStr">
        <is>
          <t>隔日到貨🔥 牽手襪 中筒襪 棉長襪 長襪 中筒襪 襪子 白色襪子 女襪 長襪 情侶襪 襪子女 白長襪</t>
        </is>
      </c>
      <c r="C1666">
        <f>IMAGE("https://cf.shopee.tw/file/tw-11134207-7r98v-lwjs3nyqkmxya9_tn")</f>
        <v/>
      </c>
      <c r="D1666" t="inlineStr">
        <is>
          <t>白色</t>
        </is>
      </c>
      <c r="E1666" t="inlineStr">
        <is>
          <t>255856434596</t>
        </is>
      </c>
      <c r="F1666">
        <f>IMAGE("https://cf.shopee.tw/file/tw-11134207-7r98p-lvojadbftsk2c2_tn")</f>
        <v/>
      </c>
    </row>
    <row r="1667">
      <c r="A1667" t="inlineStr">
        <is>
          <t>27750389092</t>
        </is>
      </c>
      <c r="B1667" t="inlineStr">
        <is>
          <t>隔日到貨🔥 牽手襪 中筒襪 棉長襪 長襪 中筒襪 襪子 白色襪子 女襪 長襪 情侶襪 襪子女 白長襪</t>
        </is>
      </c>
      <c r="C1667">
        <f>IMAGE("https://cf.shopee.tw/file/tw-11134207-7r98v-lwjs3nyqkmxya9_tn")</f>
        <v/>
      </c>
      <c r="D1667" t="inlineStr">
        <is>
          <t>黑色</t>
        </is>
      </c>
      <c r="E1667" t="inlineStr">
        <is>
          <t>255856434597</t>
        </is>
      </c>
      <c r="F1667">
        <f>IMAGE("https://cf.shopee.tw/file/tw-11134207-7r98y-lvojadbfv74i9b_tn")</f>
        <v/>
      </c>
    </row>
    <row r="1668">
      <c r="A1668" t="inlineStr">
        <is>
          <t>18644662056</t>
        </is>
      </c>
      <c r="B1668" t="inlineStr">
        <is>
          <t>隔日到貨🔥 雙孔快充頭 20W 30W Type-C充電頭 POLYWELL PD 充電器 豆腐頭 蘋果安卓 充電線</t>
        </is>
      </c>
      <c r="C1668">
        <f>IMAGE("https://cf.shopee.tw/file/d3aca05a70e97feee15b50db9988c215_tn")</f>
        <v/>
      </c>
      <c r="D1668" t="inlineStr">
        <is>
          <t>20W快充頭</t>
        </is>
      </c>
      <c r="E1668" t="inlineStr">
        <is>
          <t>164420969842</t>
        </is>
      </c>
      <c r="F1668">
        <f>IMAGE("https://cf.shopee.tw/file/aa2e94654623ac2891eef3c4b1485cbe_tn")</f>
        <v/>
      </c>
    </row>
    <row r="1669">
      <c r="A1669" t="inlineStr">
        <is>
          <t>18644662056</t>
        </is>
      </c>
      <c r="B1669" t="inlineStr">
        <is>
          <t>隔日到貨🔥 雙孔快充頭 20W 30W Type-C充電頭 POLYWELL PD 充電器 豆腐頭 蘋果安卓 充電線</t>
        </is>
      </c>
      <c r="C1669">
        <f>IMAGE("https://cf.shopee.tw/file/d3aca05a70e97feee15b50db9988c215_tn")</f>
        <v/>
      </c>
      <c r="D1669" t="inlineStr">
        <is>
          <t>30W快充頭</t>
        </is>
      </c>
      <c r="E1669" t="inlineStr">
        <is>
          <t>137030286155</t>
        </is>
      </c>
      <c r="F1669">
        <f>IMAGE("https://cf.shopee.tw/file/sg-11134201-22100-bepk6pao79ivdd_tn")</f>
        <v/>
      </c>
    </row>
    <row r="1670">
      <c r="A1670" t="inlineStr">
        <is>
          <t>15595545007</t>
        </is>
      </c>
      <c r="B1670" t="inlineStr">
        <is>
          <t>隔日到貨🔥 Airpods 耳機清潔筆 耳機清潔 筆電清潔 鍵盤清潔 藍芽耳機清潔 手機配件 3C清潔</t>
        </is>
      </c>
      <c r="C1670">
        <f>IMAGE("https://cf.shopee.tw/file/sg-11134201-22120-qshmbjpyookvb9_tn")</f>
        <v/>
      </c>
      <c r="D1670" t="inlineStr">
        <is>
          <t>白色</t>
        </is>
      </c>
      <c r="E1670" t="inlineStr">
        <is>
          <t>137218800599</t>
        </is>
      </c>
      <c r="F1670">
        <f>IMAGE("https://cf.shopee.tw/file/sg-11134201-22120-akwzbg84ookva2_tn")</f>
        <v/>
      </c>
    </row>
    <row r="1671">
      <c r="A1671" t="inlineStr">
        <is>
          <t>15595545007</t>
        </is>
      </c>
      <c r="B1671" t="inlineStr">
        <is>
          <t>隔日到貨🔥 Airpods 耳機清潔筆 耳機清潔 筆電清潔 鍵盤清潔 藍芽耳機清潔 手機配件 3C清潔</t>
        </is>
      </c>
      <c r="C1671">
        <f>IMAGE("https://cf.shopee.tw/file/sg-11134201-22120-qshmbjpyookvb9_tn")</f>
        <v/>
      </c>
      <c r="D1671" t="inlineStr">
        <is>
          <t>黑色</t>
        </is>
      </c>
      <c r="E1671" t="inlineStr">
        <is>
          <t>231165712207</t>
        </is>
      </c>
      <c r="F1671">
        <f>IMAGE("https://cf.shopee.tw/file/tw-11134207-23030-l9upmjk3adov5c_tn")</f>
        <v/>
      </c>
    </row>
    <row r="1672">
      <c r="A1672" t="inlineStr">
        <is>
          <t>25617644380</t>
        </is>
      </c>
      <c r="B1672" t="inlineStr">
        <is>
          <t>隔日到貨🔥 iPhone 手機殼 波浪框 16 15 14 13 12 11 XS XR X 保護殼 軟殼 素色殼</t>
        </is>
      </c>
      <c r="C1672">
        <f>IMAGE("https://cf.shopee.tw/file/tw-11134207-7r98q-lsmohps59zwo9f_tn")</f>
        <v/>
      </c>
      <c r="D1672" t="inlineStr">
        <is>
          <t>淡藍波浪邊框,13/14</t>
        </is>
      </c>
      <c r="E1672" t="inlineStr"/>
      <c r="F1672">
        <f>IMAGE("https://cf.shopee.tw/file/tw-11134207-7r98y-lsmoppw18ij6dc_tn")</f>
        <v/>
      </c>
    </row>
    <row r="1673">
      <c r="A1673" t="inlineStr">
        <is>
          <t>25617644380</t>
        </is>
      </c>
      <c r="B1673" t="inlineStr">
        <is>
          <t>隔日到貨🔥 iPhone 手機殼 波浪框 16 15 14 13 12 11 XS XR X 保護殼 軟殼 素色殼</t>
        </is>
      </c>
      <c r="C1673">
        <f>IMAGE("https://cf.shopee.tw/file/tw-11134207-7r98q-lsmohps59zwo9f_tn")</f>
        <v/>
      </c>
      <c r="D1673" t="inlineStr">
        <is>
          <t>黃色波浪邊框,12/12pro</t>
        </is>
      </c>
      <c r="E1673" t="inlineStr">
        <is>
          <t>245438277706</t>
        </is>
      </c>
      <c r="F1673">
        <f>IMAGE("https://cf.shopee.tw/file/tw-11134207-7r98y-lsmoqo495b6a5a_tn")</f>
        <v/>
      </c>
    </row>
    <row r="1674">
      <c r="A1674" t="inlineStr">
        <is>
          <t>25617644380</t>
        </is>
      </c>
      <c r="B1674" t="inlineStr">
        <is>
          <t>隔日到貨🔥 iPhone 手機殼 波浪框 16 15 14 13 12 11 XS XR X 保護殼 軟殼 素色殼</t>
        </is>
      </c>
      <c r="C1674">
        <f>IMAGE("https://cf.shopee.tw/file/tw-11134207-7r98q-lsmohps59zwo9f_tn")</f>
        <v/>
      </c>
      <c r="D1674" t="inlineStr">
        <is>
          <t>黃色波浪邊框,15</t>
        </is>
      </c>
      <c r="E1674" t="inlineStr">
        <is>
          <t>245438277715</t>
        </is>
      </c>
      <c r="F1674">
        <f>IMAGE("https://cf.shopee.tw/file/tw-11134207-7r98y-lsmoqo495b6a5a_tn")</f>
        <v/>
      </c>
    </row>
    <row r="1675">
      <c r="A1675" t="inlineStr">
        <is>
          <t>25617644380</t>
        </is>
      </c>
      <c r="B1675" t="inlineStr">
        <is>
          <t>隔日到貨🔥 iPhone 手機殼 波浪框 16 15 14 13 12 11 XS XR X 保護殼 軟殼 素色殼</t>
        </is>
      </c>
      <c r="C1675">
        <f>IMAGE("https://cf.shopee.tw/file/tw-11134207-7r98q-lsmohps59zwo9f_tn")</f>
        <v/>
      </c>
      <c r="D1675" t="inlineStr">
        <is>
          <t>黑色波浪邊框,X / XS</t>
        </is>
      </c>
      <c r="E1675" t="inlineStr">
        <is>
          <t>187355357591</t>
        </is>
      </c>
      <c r="F1675">
        <f>IMAGE("https://cf.shopee.tw/file/tw-11134207-7r98w-lsmomennpvwy08_tn")</f>
        <v/>
      </c>
    </row>
    <row r="1676">
      <c r="A1676" t="inlineStr">
        <is>
          <t>25617644380</t>
        </is>
      </c>
      <c r="B1676" t="inlineStr">
        <is>
          <t>隔日到貨🔥 iPhone 手機殼 波浪框 16 15 14 13 12 11 XS XR X 保護殼 軟殼 素色殼</t>
        </is>
      </c>
      <c r="C1676">
        <f>IMAGE("https://cf.shopee.tw/file/tw-11134207-7r98q-lsmohps59zwo9f_tn")</f>
        <v/>
      </c>
      <c r="D1676" t="inlineStr">
        <is>
          <t>黑色波浪邊框,XR</t>
        </is>
      </c>
      <c r="E1676" t="inlineStr">
        <is>
          <t>245438277641</t>
        </is>
      </c>
      <c r="F1676">
        <f>IMAGE("https://cf.shopee.tw/file/tw-11134207-7r98w-lsmomennpvwy08_tn")</f>
        <v/>
      </c>
    </row>
    <row r="1677">
      <c r="A1677" t="inlineStr">
        <is>
          <t>25617644380</t>
        </is>
      </c>
      <c r="B1677" t="inlineStr">
        <is>
          <t>隔日到貨🔥 iPhone 手機殼 波浪框 16 15 14 13 12 11 XS XR X 保護殼 軟殼 素色殼</t>
        </is>
      </c>
      <c r="C1677">
        <f>IMAGE("https://cf.shopee.tw/file/tw-11134207-7r98q-lsmohps59zwo9f_tn")</f>
        <v/>
      </c>
      <c r="D1677" t="inlineStr">
        <is>
          <t>黑色波浪邊框,11</t>
        </is>
      </c>
      <c r="E1677" t="inlineStr">
        <is>
          <t>245438277642</t>
        </is>
      </c>
      <c r="F1677">
        <f>IMAGE("https://cf.shopee.tw/file/tw-11134207-7r98w-lsmomennpvwy08_tn")</f>
        <v/>
      </c>
    </row>
    <row r="1678">
      <c r="A1678" t="inlineStr">
        <is>
          <t>25617644380</t>
        </is>
      </c>
      <c r="B1678" t="inlineStr">
        <is>
          <t>隔日到貨🔥 iPhone 手機殼 波浪框 16 15 14 13 12 11 XS XR X 保護殼 軟殼 素色殼</t>
        </is>
      </c>
      <c r="C1678">
        <f>IMAGE("https://cf.shopee.tw/file/tw-11134207-7r98q-lsmohps59zwo9f_tn")</f>
        <v/>
      </c>
      <c r="D1678" t="inlineStr">
        <is>
          <t>黑色波浪邊框,12/12pro</t>
        </is>
      </c>
      <c r="E1678" t="inlineStr">
        <is>
          <t>245438277643</t>
        </is>
      </c>
      <c r="F1678">
        <f>IMAGE("https://cf.shopee.tw/file/tw-11134207-7r98w-lsmomennpvwy08_tn")</f>
        <v/>
      </c>
    </row>
    <row r="1679">
      <c r="A1679" t="inlineStr">
        <is>
          <t>25617644380</t>
        </is>
      </c>
      <c r="B1679" t="inlineStr">
        <is>
          <t>隔日到貨🔥 iPhone 手機殼 波浪框 16 15 14 13 12 11 XS XR X 保護殼 軟殼 素色殼</t>
        </is>
      </c>
      <c r="C1679">
        <f>IMAGE("https://cf.shopee.tw/file/tw-11134207-7r98q-lsmohps59zwo9f_tn")</f>
        <v/>
      </c>
      <c r="D1679" t="inlineStr">
        <is>
          <t>黑色波浪邊框,13/14</t>
        </is>
      </c>
      <c r="E1679" t="inlineStr">
        <is>
          <t>245438277646</t>
        </is>
      </c>
      <c r="F1679">
        <f>IMAGE("https://cf.shopee.tw/file/tw-11134207-7r98w-lsmomennpvwy08_tn")</f>
        <v/>
      </c>
    </row>
    <row r="1680">
      <c r="A1680" t="inlineStr">
        <is>
          <t>25617644380</t>
        </is>
      </c>
      <c r="B1680" t="inlineStr">
        <is>
          <t>隔日到貨🔥 iPhone 手機殼 波浪框 16 15 14 13 12 11 XS XR X 保護殼 軟殼 素色殼</t>
        </is>
      </c>
      <c r="C1680">
        <f>IMAGE("https://cf.shopee.tw/file/tw-11134207-7r98q-lsmohps59zwo9f_tn")</f>
        <v/>
      </c>
      <c r="D1680" t="inlineStr">
        <is>
          <t>黑色波浪邊框,13 pro</t>
        </is>
      </c>
      <c r="E1680" t="inlineStr"/>
      <c r="F1680">
        <f>IMAGE("https://cf.shopee.tw/file/tw-11134207-7r98w-lsmomennpvwy08_tn")</f>
        <v/>
      </c>
    </row>
    <row r="1681">
      <c r="A1681" t="inlineStr">
        <is>
          <t>25617644380</t>
        </is>
      </c>
      <c r="B1681" t="inlineStr">
        <is>
          <t>隔日到貨🔥 iPhone 手機殼 波浪框 16 15 14 13 12 11 XS XR X 保護殼 軟殼 素色殼</t>
        </is>
      </c>
      <c r="C1681">
        <f>IMAGE("https://cf.shopee.tw/file/tw-11134207-7r98q-lsmohps59zwo9f_tn")</f>
        <v/>
      </c>
      <c r="D1681" t="inlineStr">
        <is>
          <t>黑色波浪邊框,13 pro Max</t>
        </is>
      </c>
      <c r="E1681" t="inlineStr">
        <is>
          <t>245438277648</t>
        </is>
      </c>
      <c r="F1681">
        <f>IMAGE("https://cf.shopee.tw/file/tw-11134207-7r98w-lsmomennpvwy08_tn")</f>
        <v/>
      </c>
    </row>
    <row r="1682">
      <c r="A1682" t="inlineStr">
        <is>
          <t>25617644380</t>
        </is>
      </c>
      <c r="B1682" t="inlineStr">
        <is>
          <t>隔日到貨🔥 iPhone 手機殼 波浪框 16 15 14 13 12 11 XS XR X 保護殼 軟殼 素色殼</t>
        </is>
      </c>
      <c r="C1682">
        <f>IMAGE("https://cf.shopee.tw/file/tw-11134207-7r98q-lsmohps59zwo9f_tn")</f>
        <v/>
      </c>
      <c r="D1682" t="inlineStr">
        <is>
          <t>黑色波浪邊框,14 pro</t>
        </is>
      </c>
      <c r="E1682" t="inlineStr"/>
      <c r="F1682">
        <f>IMAGE("https://cf.shopee.tw/file/tw-11134207-7r98w-lsmomennpvwy08_tn")</f>
        <v/>
      </c>
    </row>
    <row r="1683">
      <c r="A1683" t="inlineStr">
        <is>
          <t>25617644380</t>
        </is>
      </c>
      <c r="B1683" t="inlineStr">
        <is>
          <t>隔日到貨🔥 iPhone 手機殼 波浪框 16 15 14 13 12 11 XS XR X 保護殼 軟殼 素色殼</t>
        </is>
      </c>
      <c r="C1683">
        <f>IMAGE("https://cf.shopee.tw/file/tw-11134207-7r98q-lsmohps59zwo9f_tn")</f>
        <v/>
      </c>
      <c r="D1683" t="inlineStr">
        <is>
          <t>黑色波浪邊框,14 pro Max</t>
        </is>
      </c>
      <c r="E1683" t="inlineStr">
        <is>
          <t>245438277651</t>
        </is>
      </c>
      <c r="F1683">
        <f>IMAGE("https://cf.shopee.tw/file/tw-11134207-7r98w-lsmomennpvwy08_tn")</f>
        <v/>
      </c>
    </row>
    <row r="1684">
      <c r="A1684" t="inlineStr">
        <is>
          <t>25617644380</t>
        </is>
      </c>
      <c r="B1684" t="inlineStr">
        <is>
          <t>隔日到貨🔥 iPhone 手機殼 波浪框 16 15 14 13 12 11 XS XR X 保護殼 軟殼 素色殼</t>
        </is>
      </c>
      <c r="C1684">
        <f>IMAGE("https://cf.shopee.tw/file/tw-11134207-7r98q-lsmohps59zwo9f_tn")</f>
        <v/>
      </c>
      <c r="D1684" t="inlineStr">
        <is>
          <t>黑色波浪邊框,14Plus/15Plus</t>
        </is>
      </c>
      <c r="E1684" t="inlineStr">
        <is>
          <t>245438277655</t>
        </is>
      </c>
      <c r="F1684">
        <f>IMAGE("https://cf.shopee.tw/file/tw-11134207-7r98w-lsmomennpvwy08_tn")</f>
        <v/>
      </c>
    </row>
    <row r="1685">
      <c r="A1685" t="inlineStr">
        <is>
          <t>25617644380</t>
        </is>
      </c>
      <c r="B1685" t="inlineStr">
        <is>
          <t>隔日到貨🔥 iPhone 手機殼 波浪框 16 15 14 13 12 11 XS XR X 保護殼 軟殼 素色殼</t>
        </is>
      </c>
      <c r="C1685">
        <f>IMAGE("https://cf.shopee.tw/file/tw-11134207-7r98q-lsmohps59zwo9f_tn")</f>
        <v/>
      </c>
      <c r="D1685" t="inlineStr">
        <is>
          <t>黑色波浪邊框,15</t>
        </is>
      </c>
      <c r="E1685" t="inlineStr">
        <is>
          <t>245438277652</t>
        </is>
      </c>
      <c r="F1685">
        <f>IMAGE("https://cf.shopee.tw/file/tw-11134207-7r98w-lsmomennpvwy08_tn")</f>
        <v/>
      </c>
    </row>
    <row r="1686">
      <c r="A1686" t="inlineStr">
        <is>
          <t>25617644380</t>
        </is>
      </c>
      <c r="B1686" t="inlineStr">
        <is>
          <t>隔日到貨🔥 iPhone 手機殼 波浪框 16 15 14 13 12 11 XS XR X 保護殼 軟殼 素色殼</t>
        </is>
      </c>
      <c r="C1686">
        <f>IMAGE("https://cf.shopee.tw/file/tw-11134207-7r98q-lsmohps59zwo9f_tn")</f>
        <v/>
      </c>
      <c r="D1686" t="inlineStr">
        <is>
          <t>黑色波浪邊框,15 Pro</t>
        </is>
      </c>
      <c r="E1686" t="inlineStr"/>
      <c r="F1686">
        <f>IMAGE("https://cf.shopee.tw/file/tw-11134207-7r98w-lsmomennpvwy08_tn")</f>
        <v/>
      </c>
    </row>
    <row r="1687">
      <c r="A1687" t="inlineStr">
        <is>
          <t>25617644380</t>
        </is>
      </c>
      <c r="B1687" t="inlineStr">
        <is>
          <t>隔日到貨🔥 iPhone 手機殼 波浪框 16 15 14 13 12 11 XS XR X 保護殼 軟殼 素色殼</t>
        </is>
      </c>
      <c r="C1687">
        <f>IMAGE("https://cf.shopee.tw/file/tw-11134207-7r98q-lsmohps59zwo9f_tn")</f>
        <v/>
      </c>
      <c r="D1687" t="inlineStr">
        <is>
          <t>黑色波浪邊框,15 Pro Max</t>
        </is>
      </c>
      <c r="E1687" t="inlineStr"/>
      <c r="F1687">
        <f>IMAGE("https://cf.shopee.tw/file/tw-11134207-7r98w-lsmomennpvwy08_tn")</f>
        <v/>
      </c>
    </row>
    <row r="1688">
      <c r="A1688" t="inlineStr">
        <is>
          <t>25617644380</t>
        </is>
      </c>
      <c r="B1688" t="inlineStr">
        <is>
          <t>隔日到貨🔥 iPhone 手機殼 波浪框 16 15 14 13 12 11 XS XR X 保護殼 軟殼 素色殼</t>
        </is>
      </c>
      <c r="C1688">
        <f>IMAGE("https://cf.shopee.tw/file/tw-11134207-7r98q-lsmohps59zwo9f_tn")</f>
        <v/>
      </c>
      <c r="D1688" t="inlineStr">
        <is>
          <t>黑色波浪邊框,16</t>
        </is>
      </c>
      <c r="E1688" t="inlineStr">
        <is>
          <t>217961335120</t>
        </is>
      </c>
      <c r="F1688">
        <f>IMAGE("https://cf.shopee.tw/file/tw-11134207-7r98w-lsmomennpvwy08_tn")</f>
        <v/>
      </c>
    </row>
    <row r="1689">
      <c r="A1689" t="inlineStr">
        <is>
          <t>25617644380</t>
        </is>
      </c>
      <c r="B1689" t="inlineStr">
        <is>
          <t>隔日到貨🔥 iPhone 手機殼 波浪框 16 15 14 13 12 11 XS XR X 保護殼 軟殼 素色殼</t>
        </is>
      </c>
      <c r="C1689">
        <f>IMAGE("https://cf.shopee.tw/file/tw-11134207-7r98q-lsmohps59zwo9f_tn")</f>
        <v/>
      </c>
      <c r="D1689" t="inlineStr">
        <is>
          <t>黑色波浪邊框,16 Pro</t>
        </is>
      </c>
      <c r="E1689" t="inlineStr">
        <is>
          <t>217961335121</t>
        </is>
      </c>
      <c r="F1689">
        <f>IMAGE("https://cf.shopee.tw/file/tw-11134207-7r98w-lsmomennpvwy08_tn")</f>
        <v/>
      </c>
    </row>
    <row r="1690">
      <c r="A1690" t="inlineStr">
        <is>
          <t>25617644380</t>
        </is>
      </c>
      <c r="B1690" t="inlineStr">
        <is>
          <t>隔日到貨🔥 iPhone 手機殼 波浪框 16 15 14 13 12 11 XS XR X 保護殼 軟殼 素色殼</t>
        </is>
      </c>
      <c r="C1690">
        <f>IMAGE("https://cf.shopee.tw/file/tw-11134207-7r98q-lsmohps59zwo9f_tn")</f>
        <v/>
      </c>
      <c r="D1690" t="inlineStr">
        <is>
          <t>黑色波浪邊框,16 Pro Max</t>
        </is>
      </c>
      <c r="E1690" t="inlineStr">
        <is>
          <t>217961335122</t>
        </is>
      </c>
      <c r="F1690">
        <f>IMAGE("https://cf.shopee.tw/file/tw-11134207-7r98w-lsmomennpvwy08_tn")</f>
        <v/>
      </c>
    </row>
    <row r="1691">
      <c r="A1691" t="inlineStr">
        <is>
          <t>25617644380</t>
        </is>
      </c>
      <c r="B1691" t="inlineStr">
        <is>
          <t>隔日到貨🔥 iPhone 手機殼 波浪框 16 15 14 13 12 11 XS XR X 保護殼 軟殼 素色殼</t>
        </is>
      </c>
      <c r="C1691">
        <f>IMAGE("https://cf.shopee.tw/file/tw-11134207-7r98q-lsmohps59zwo9f_tn")</f>
        <v/>
      </c>
      <c r="D1691" t="inlineStr">
        <is>
          <t>白色波浪邊框,X / XS</t>
        </is>
      </c>
      <c r="E1691" t="inlineStr">
        <is>
          <t>187355357592</t>
        </is>
      </c>
      <c r="F1691">
        <f>IMAGE("https://cf.shopee.tw/file/tw-11134207-7r991-lsmomennpwco0a_tn")</f>
        <v/>
      </c>
    </row>
    <row r="1692">
      <c r="A1692" t="inlineStr">
        <is>
          <t>25617644380</t>
        </is>
      </c>
      <c r="B1692" t="inlineStr">
        <is>
          <t>隔日到貨🔥 iPhone 手機殼 波浪框 16 15 14 13 12 11 XS XR X 保護殼 軟殼 素色殼</t>
        </is>
      </c>
      <c r="C1692">
        <f>IMAGE("https://cf.shopee.tw/file/tw-11134207-7r98q-lsmohps59zwo9f_tn")</f>
        <v/>
      </c>
      <c r="D1692" t="inlineStr">
        <is>
          <t>白色波浪邊框,XR</t>
        </is>
      </c>
      <c r="E1692" t="inlineStr">
        <is>
          <t>245438277656</t>
        </is>
      </c>
      <c r="F1692">
        <f>IMAGE("https://cf.shopee.tw/file/tw-11134207-7r991-lsmomennpwco0a_tn")</f>
        <v/>
      </c>
    </row>
    <row r="1693">
      <c r="A1693" t="inlineStr">
        <is>
          <t>25617644380</t>
        </is>
      </c>
      <c r="B1693" t="inlineStr">
        <is>
          <t>隔日到貨🔥 iPhone 手機殼 波浪框 16 15 14 13 12 11 XS XR X 保護殼 軟殼 素色殼</t>
        </is>
      </c>
      <c r="C1693">
        <f>IMAGE("https://cf.shopee.tw/file/tw-11134207-7r98q-lsmohps59zwo9f_tn")</f>
        <v/>
      </c>
      <c r="D1693" t="inlineStr">
        <is>
          <t>白色波浪邊框,11</t>
        </is>
      </c>
      <c r="E1693" t="inlineStr">
        <is>
          <t>245438277657</t>
        </is>
      </c>
      <c r="F1693">
        <f>IMAGE("https://cf.shopee.tw/file/tw-11134207-7r991-lsmomennpwco0a_tn")</f>
        <v/>
      </c>
    </row>
    <row r="1694">
      <c r="A1694" t="inlineStr">
        <is>
          <t>25617644380</t>
        </is>
      </c>
      <c r="B1694" t="inlineStr">
        <is>
          <t>隔日到貨🔥 iPhone 手機殼 波浪框 16 15 14 13 12 11 XS XR X 保護殼 軟殼 素色殼</t>
        </is>
      </c>
      <c r="C1694">
        <f>IMAGE("https://cf.shopee.tw/file/tw-11134207-7r98q-lsmohps59zwo9f_tn")</f>
        <v/>
      </c>
      <c r="D1694" t="inlineStr">
        <is>
          <t>白色波浪邊框,12/12pro</t>
        </is>
      </c>
      <c r="E1694" t="inlineStr">
        <is>
          <t>245438277658</t>
        </is>
      </c>
      <c r="F1694">
        <f>IMAGE("https://cf.shopee.tw/file/tw-11134207-7r991-lsmomennpwco0a_tn")</f>
        <v/>
      </c>
    </row>
    <row r="1695">
      <c r="A1695" t="inlineStr">
        <is>
          <t>25617644380</t>
        </is>
      </c>
      <c r="B1695" t="inlineStr">
        <is>
          <t>隔日到貨🔥 iPhone 手機殼 波浪框 16 15 14 13 12 11 XS XR X 保護殼 軟殼 素色殼</t>
        </is>
      </c>
      <c r="C1695">
        <f>IMAGE("https://cf.shopee.tw/file/tw-11134207-7r98q-lsmohps59zwo9f_tn")</f>
        <v/>
      </c>
      <c r="D1695" t="inlineStr">
        <is>
          <t>白色波浪邊框,13/14</t>
        </is>
      </c>
      <c r="E1695" t="inlineStr">
        <is>
          <t>245438277661</t>
        </is>
      </c>
      <c r="F1695">
        <f>IMAGE("https://cf.shopee.tw/file/tw-11134207-7r991-lsmomennpwco0a_tn")</f>
        <v/>
      </c>
    </row>
    <row r="1696">
      <c r="A1696" t="inlineStr">
        <is>
          <t>25617644380</t>
        </is>
      </c>
      <c r="B1696" t="inlineStr">
        <is>
          <t>隔日到貨🔥 iPhone 手機殼 波浪框 16 15 14 13 12 11 XS XR X 保護殼 軟殼 素色殼</t>
        </is>
      </c>
      <c r="C1696">
        <f>IMAGE("https://cf.shopee.tw/file/tw-11134207-7r98q-lsmohps59zwo9f_tn")</f>
        <v/>
      </c>
      <c r="D1696" t="inlineStr">
        <is>
          <t>白色波浪邊框,13 pro</t>
        </is>
      </c>
      <c r="E1696" t="inlineStr">
        <is>
          <t>245438277662</t>
        </is>
      </c>
      <c r="F1696">
        <f>IMAGE("https://cf.shopee.tw/file/tw-11134207-7r991-lsmomennpwco0a_tn")</f>
        <v/>
      </c>
    </row>
    <row r="1697">
      <c r="A1697" t="inlineStr">
        <is>
          <t>25617644380</t>
        </is>
      </c>
      <c r="B1697" t="inlineStr">
        <is>
          <t>隔日到貨🔥 iPhone 手機殼 波浪框 16 15 14 13 12 11 XS XR X 保護殼 軟殼 素色殼</t>
        </is>
      </c>
      <c r="C1697">
        <f>IMAGE("https://cf.shopee.tw/file/tw-11134207-7r98q-lsmohps59zwo9f_tn")</f>
        <v/>
      </c>
      <c r="D1697" t="inlineStr">
        <is>
          <t>白色波浪邊框,13 pro Max</t>
        </is>
      </c>
      <c r="E1697" t="inlineStr">
        <is>
          <t>245438277663</t>
        </is>
      </c>
      <c r="F1697">
        <f>IMAGE("https://cf.shopee.tw/file/tw-11134207-7r991-lsmomennpwco0a_tn")</f>
        <v/>
      </c>
    </row>
    <row r="1698">
      <c r="A1698" t="inlineStr">
        <is>
          <t>25617644380</t>
        </is>
      </c>
      <c r="B1698" t="inlineStr">
        <is>
          <t>隔日到貨🔥 iPhone 手機殼 波浪框 16 15 14 13 12 11 XS XR X 保護殼 軟殼 素色殼</t>
        </is>
      </c>
      <c r="C1698">
        <f>IMAGE("https://cf.shopee.tw/file/tw-11134207-7r98q-lsmohps59zwo9f_tn")</f>
        <v/>
      </c>
      <c r="D1698" t="inlineStr">
        <is>
          <t>白色波浪邊框,14 pro</t>
        </is>
      </c>
      <c r="E1698" t="inlineStr">
        <is>
          <t>245438277668</t>
        </is>
      </c>
      <c r="F1698">
        <f>IMAGE("https://cf.shopee.tw/file/tw-11134207-7r991-lsmomennpwco0a_tn")</f>
        <v/>
      </c>
    </row>
    <row r="1699">
      <c r="A1699" t="inlineStr">
        <is>
          <t>25617644380</t>
        </is>
      </c>
      <c r="B1699" t="inlineStr">
        <is>
          <t>隔日到貨🔥 iPhone 手機殼 波浪框 16 15 14 13 12 11 XS XR X 保護殼 軟殼 素色殼</t>
        </is>
      </c>
      <c r="C1699">
        <f>IMAGE("https://cf.shopee.tw/file/tw-11134207-7r98q-lsmohps59zwo9f_tn")</f>
        <v/>
      </c>
      <c r="D1699" t="inlineStr">
        <is>
          <t>白色波浪邊框,14 pro Max</t>
        </is>
      </c>
      <c r="E1699" t="inlineStr"/>
      <c r="F1699">
        <f>IMAGE("https://cf.shopee.tw/file/tw-11134207-7r991-lsmomennpwco0a_tn")</f>
        <v/>
      </c>
    </row>
    <row r="1700">
      <c r="A1700" t="inlineStr">
        <is>
          <t>25617644380</t>
        </is>
      </c>
      <c r="B1700" t="inlineStr">
        <is>
          <t>隔日到貨🔥 iPhone 手機殼 波浪框 16 15 14 13 12 11 XS XR X 保護殼 軟殼 素色殼</t>
        </is>
      </c>
      <c r="C1700">
        <f>IMAGE("https://cf.shopee.tw/file/tw-11134207-7r98q-lsmohps59zwo9f_tn")</f>
        <v/>
      </c>
      <c r="D1700" t="inlineStr">
        <is>
          <t>白色波浪邊框,14Plus/15Plus</t>
        </is>
      </c>
      <c r="E1700" t="inlineStr">
        <is>
          <t>245438277673</t>
        </is>
      </c>
      <c r="F1700">
        <f>IMAGE("https://cf.shopee.tw/file/tw-11134207-7r991-lsmomennpwco0a_tn")</f>
        <v/>
      </c>
    </row>
    <row r="1701">
      <c r="A1701" t="inlineStr">
        <is>
          <t>25617644380</t>
        </is>
      </c>
      <c r="B1701" t="inlineStr">
        <is>
          <t>隔日到貨🔥 iPhone 手機殼 波浪框 16 15 14 13 12 11 XS XR X 保護殼 軟殼 素色殼</t>
        </is>
      </c>
      <c r="C1701">
        <f>IMAGE("https://cf.shopee.tw/file/tw-11134207-7r98q-lsmohps59zwo9f_tn")</f>
        <v/>
      </c>
      <c r="D1701" t="inlineStr">
        <is>
          <t>白色波浪邊框,15</t>
        </is>
      </c>
      <c r="E1701" t="inlineStr">
        <is>
          <t>245438277670</t>
        </is>
      </c>
      <c r="F1701">
        <f>IMAGE("https://cf.shopee.tw/file/tw-11134207-7r991-lsmomennpwco0a_tn")</f>
        <v/>
      </c>
    </row>
    <row r="1702">
      <c r="A1702" t="inlineStr">
        <is>
          <t>25617644380</t>
        </is>
      </c>
      <c r="B1702" t="inlineStr">
        <is>
          <t>隔日到貨🔥 iPhone 手機殼 波浪框 16 15 14 13 12 11 XS XR X 保護殼 軟殼 素色殼</t>
        </is>
      </c>
      <c r="C1702">
        <f>IMAGE("https://cf.shopee.tw/file/tw-11134207-7r98q-lsmohps59zwo9f_tn")</f>
        <v/>
      </c>
      <c r="D1702" t="inlineStr">
        <is>
          <t>白色波浪邊框,15 Pro</t>
        </is>
      </c>
      <c r="E1702" t="inlineStr">
        <is>
          <t>245438277671</t>
        </is>
      </c>
      <c r="F1702">
        <f>IMAGE("https://cf.shopee.tw/file/tw-11134207-7r991-lsmomennpwco0a_tn")</f>
        <v/>
      </c>
    </row>
    <row r="1703">
      <c r="A1703" t="inlineStr">
        <is>
          <t>25617644380</t>
        </is>
      </c>
      <c r="B1703" t="inlineStr">
        <is>
          <t>隔日到貨🔥 iPhone 手機殼 波浪框 16 15 14 13 12 11 XS XR X 保護殼 軟殼 素色殼</t>
        </is>
      </c>
      <c r="C1703">
        <f>IMAGE("https://cf.shopee.tw/file/tw-11134207-7r98q-lsmohps59zwo9f_tn")</f>
        <v/>
      </c>
      <c r="D1703" t="inlineStr">
        <is>
          <t>白色波浪邊框,15 Pro Max</t>
        </is>
      </c>
      <c r="E1703" t="inlineStr">
        <is>
          <t>245438277672</t>
        </is>
      </c>
      <c r="F1703">
        <f>IMAGE("https://cf.shopee.tw/file/tw-11134207-7r991-lsmomennpwco0a_tn")</f>
        <v/>
      </c>
    </row>
    <row r="1704">
      <c r="A1704" t="inlineStr">
        <is>
          <t>25617644380</t>
        </is>
      </c>
      <c r="B1704" t="inlineStr">
        <is>
          <t>隔日到貨🔥 iPhone 手機殼 波浪框 16 15 14 13 12 11 XS XR X 保護殼 軟殼 素色殼</t>
        </is>
      </c>
      <c r="C1704">
        <f>IMAGE("https://cf.shopee.tw/file/tw-11134207-7r98q-lsmohps59zwo9f_tn")</f>
        <v/>
      </c>
      <c r="D1704" t="inlineStr">
        <is>
          <t>白色波浪邊框,16</t>
        </is>
      </c>
      <c r="E1704" t="inlineStr">
        <is>
          <t>217961335123</t>
        </is>
      </c>
      <c r="F1704">
        <f>IMAGE("https://cf.shopee.tw/file/tw-11134207-7r991-lsmomennpwco0a_tn")</f>
        <v/>
      </c>
    </row>
    <row r="1705">
      <c r="A1705" t="inlineStr">
        <is>
          <t>25617644380</t>
        </is>
      </c>
      <c r="B1705" t="inlineStr">
        <is>
          <t>隔日到貨🔥 iPhone 手機殼 波浪框 16 15 14 13 12 11 XS XR X 保護殼 軟殼 素色殼</t>
        </is>
      </c>
      <c r="C1705">
        <f>IMAGE("https://cf.shopee.tw/file/tw-11134207-7r98q-lsmohps59zwo9f_tn")</f>
        <v/>
      </c>
      <c r="D1705" t="inlineStr">
        <is>
          <t>白色波浪邊框,16 Pro</t>
        </is>
      </c>
      <c r="E1705" t="inlineStr">
        <is>
          <t>217961335124</t>
        </is>
      </c>
      <c r="F1705">
        <f>IMAGE("https://cf.shopee.tw/file/tw-11134207-7r991-lsmomennpwco0a_tn")</f>
        <v/>
      </c>
    </row>
    <row r="1706">
      <c r="A1706" t="inlineStr">
        <is>
          <t>25617644380</t>
        </is>
      </c>
      <c r="B1706" t="inlineStr">
        <is>
          <t>隔日到貨🔥 iPhone 手機殼 波浪框 16 15 14 13 12 11 XS XR X 保護殼 軟殼 素色殼</t>
        </is>
      </c>
      <c r="C1706">
        <f>IMAGE("https://cf.shopee.tw/file/tw-11134207-7r98q-lsmohps59zwo9f_tn")</f>
        <v/>
      </c>
      <c r="D1706" t="inlineStr">
        <is>
          <t>白色波浪邊框,16 Pro Max</t>
        </is>
      </c>
      <c r="E1706" t="inlineStr">
        <is>
          <t>217961335125</t>
        </is>
      </c>
      <c r="F1706">
        <f>IMAGE("https://cf.shopee.tw/file/tw-11134207-7r991-lsmomennpwco0a_tn")</f>
        <v/>
      </c>
    </row>
    <row r="1707">
      <c r="A1707" t="inlineStr">
        <is>
          <t>25617644380</t>
        </is>
      </c>
      <c r="B1707" t="inlineStr">
        <is>
          <t>隔日到貨🔥 iPhone 手機殼 波浪框 16 15 14 13 12 11 XS XR X 保護殼 軟殼 素色殼</t>
        </is>
      </c>
      <c r="C1707">
        <f>IMAGE("https://cf.shopee.tw/file/tw-11134207-7r98q-lsmohps59zwo9f_tn")</f>
        <v/>
      </c>
      <c r="D1707" t="inlineStr">
        <is>
          <t>粉色波浪邊框,X / XS</t>
        </is>
      </c>
      <c r="E1707" t="inlineStr"/>
      <c r="F1707">
        <f>IMAGE("https://cf.shopee.tw/file/tw-11134207-7r98x-lsmoppw173yq14_tn")</f>
        <v/>
      </c>
    </row>
    <row r="1708">
      <c r="A1708" t="inlineStr">
        <is>
          <t>25617644380</t>
        </is>
      </c>
      <c r="B1708" t="inlineStr">
        <is>
          <t>隔日到貨🔥 iPhone 手機殼 波浪框 16 15 14 13 12 11 XS XR X 保護殼 軟殼 素色殼</t>
        </is>
      </c>
      <c r="C1708">
        <f>IMAGE("https://cf.shopee.tw/file/tw-11134207-7r98q-lsmohps59zwo9f_tn")</f>
        <v/>
      </c>
      <c r="D1708" t="inlineStr">
        <is>
          <t>粉色波浪邊框,XR</t>
        </is>
      </c>
      <c r="E1708" t="inlineStr">
        <is>
          <t>245438277674</t>
        </is>
      </c>
      <c r="F1708">
        <f>IMAGE("https://cf.shopee.tw/file/tw-11134207-7r98x-lsmoppw173yq14_tn")</f>
        <v/>
      </c>
    </row>
    <row r="1709">
      <c r="A1709" t="inlineStr">
        <is>
          <t>25617644380</t>
        </is>
      </c>
      <c r="B1709" t="inlineStr">
        <is>
          <t>隔日到貨🔥 iPhone 手機殼 波浪框 16 15 14 13 12 11 XS XR X 保護殼 軟殼 素色殼</t>
        </is>
      </c>
      <c r="C1709">
        <f>IMAGE("https://cf.shopee.tw/file/tw-11134207-7r98q-lsmohps59zwo9f_tn")</f>
        <v/>
      </c>
      <c r="D1709" t="inlineStr">
        <is>
          <t>粉色波浪邊框,11</t>
        </is>
      </c>
      <c r="E1709" t="inlineStr">
        <is>
          <t>245438277675</t>
        </is>
      </c>
      <c r="F1709">
        <f>IMAGE("https://cf.shopee.tw/file/tw-11134207-7r98x-lsmoppw173yq14_tn")</f>
        <v/>
      </c>
    </row>
    <row r="1710">
      <c r="A1710" t="inlineStr">
        <is>
          <t>25617644380</t>
        </is>
      </c>
      <c r="B1710" t="inlineStr">
        <is>
          <t>隔日到貨🔥 iPhone 手機殼 波浪框 16 15 14 13 12 11 XS XR X 保護殼 軟殼 素色殼</t>
        </is>
      </c>
      <c r="C1710">
        <f>IMAGE("https://cf.shopee.tw/file/tw-11134207-7r98q-lsmohps59zwo9f_tn")</f>
        <v/>
      </c>
      <c r="D1710" t="inlineStr">
        <is>
          <t>粉色波浪邊框,12/12pro</t>
        </is>
      </c>
      <c r="E1710" t="inlineStr">
        <is>
          <t>245438277676</t>
        </is>
      </c>
      <c r="F1710">
        <f>IMAGE("https://cf.shopee.tw/file/tw-11134207-7r98x-lsmoppw173yq14_tn")</f>
        <v/>
      </c>
    </row>
    <row r="1711">
      <c r="A1711" t="inlineStr">
        <is>
          <t>25617644380</t>
        </is>
      </c>
      <c r="B1711" t="inlineStr">
        <is>
          <t>隔日到貨🔥 iPhone 手機殼 波浪框 16 15 14 13 12 11 XS XR X 保護殼 軟殼 素色殼</t>
        </is>
      </c>
      <c r="C1711">
        <f>IMAGE("https://cf.shopee.tw/file/tw-11134207-7r98q-lsmohps59zwo9f_tn")</f>
        <v/>
      </c>
      <c r="D1711" t="inlineStr">
        <is>
          <t>粉色波浪邊框,13/14</t>
        </is>
      </c>
      <c r="E1711" t="inlineStr">
        <is>
          <t>245438277679</t>
        </is>
      </c>
      <c r="F1711">
        <f>IMAGE("https://cf.shopee.tw/file/tw-11134207-7r98x-lsmoppw173yq14_tn")</f>
        <v/>
      </c>
    </row>
    <row r="1712">
      <c r="A1712" t="inlineStr">
        <is>
          <t>25617644380</t>
        </is>
      </c>
      <c r="B1712" t="inlineStr">
        <is>
          <t>隔日到貨🔥 iPhone 手機殼 波浪框 16 15 14 13 12 11 XS XR X 保護殼 軟殼 素色殼</t>
        </is>
      </c>
      <c r="C1712">
        <f>IMAGE("https://cf.shopee.tw/file/tw-11134207-7r98q-lsmohps59zwo9f_tn")</f>
        <v/>
      </c>
      <c r="D1712" t="inlineStr">
        <is>
          <t>粉色波浪邊框,13 pro</t>
        </is>
      </c>
      <c r="E1712" t="inlineStr"/>
      <c r="F1712">
        <f>IMAGE("https://cf.shopee.tw/file/tw-11134207-7r98x-lsmoppw173yq14_tn")</f>
        <v/>
      </c>
    </row>
    <row r="1713">
      <c r="A1713" t="inlineStr">
        <is>
          <t>25617644380</t>
        </is>
      </c>
      <c r="B1713" t="inlineStr">
        <is>
          <t>隔日到貨🔥 iPhone 手機殼 波浪框 16 15 14 13 12 11 XS XR X 保護殼 軟殼 素色殼</t>
        </is>
      </c>
      <c r="C1713">
        <f>IMAGE("https://cf.shopee.tw/file/tw-11134207-7r98q-lsmohps59zwo9f_tn")</f>
        <v/>
      </c>
      <c r="D1713" t="inlineStr">
        <is>
          <t>粉色波浪邊框,13 pro Max</t>
        </is>
      </c>
      <c r="E1713" t="inlineStr">
        <is>
          <t>245438277681</t>
        </is>
      </c>
      <c r="F1713">
        <f>IMAGE("https://cf.shopee.tw/file/tw-11134207-7r98x-lsmoppw173yq14_tn")</f>
        <v/>
      </c>
    </row>
    <row r="1714">
      <c r="A1714" t="inlineStr">
        <is>
          <t>25617644380</t>
        </is>
      </c>
      <c r="B1714" t="inlineStr">
        <is>
          <t>隔日到貨🔥 iPhone 手機殼 波浪框 16 15 14 13 12 11 XS XR X 保護殼 軟殼 素色殼</t>
        </is>
      </c>
      <c r="C1714">
        <f>IMAGE("https://cf.shopee.tw/file/tw-11134207-7r98q-lsmohps59zwo9f_tn")</f>
        <v/>
      </c>
      <c r="D1714" t="inlineStr">
        <is>
          <t>粉色波浪邊框,14 pro</t>
        </is>
      </c>
      <c r="E1714" t="inlineStr">
        <is>
          <t>245438277683</t>
        </is>
      </c>
      <c r="F1714">
        <f>IMAGE("https://cf.shopee.tw/file/tw-11134207-7r98x-lsmoppw173yq14_tn")</f>
        <v/>
      </c>
    </row>
    <row r="1715">
      <c r="A1715" t="inlineStr">
        <is>
          <t>25617644380</t>
        </is>
      </c>
      <c r="B1715" t="inlineStr">
        <is>
          <t>隔日到貨🔥 iPhone 手機殼 波浪框 16 15 14 13 12 11 XS XR X 保護殼 軟殼 素色殼</t>
        </is>
      </c>
      <c r="C1715">
        <f>IMAGE("https://cf.shopee.tw/file/tw-11134207-7r98q-lsmohps59zwo9f_tn")</f>
        <v/>
      </c>
      <c r="D1715" t="inlineStr">
        <is>
          <t>粉色波浪邊框,14 pro Max</t>
        </is>
      </c>
      <c r="E1715" t="inlineStr">
        <is>
          <t>245438277684</t>
        </is>
      </c>
      <c r="F1715">
        <f>IMAGE("https://cf.shopee.tw/file/tw-11134207-7r98x-lsmoppw173yq14_tn")</f>
        <v/>
      </c>
    </row>
    <row r="1716">
      <c r="A1716" t="inlineStr">
        <is>
          <t>25617644380</t>
        </is>
      </c>
      <c r="B1716" t="inlineStr">
        <is>
          <t>隔日到貨🔥 iPhone 手機殼 波浪框 16 15 14 13 12 11 XS XR X 保護殼 軟殼 素色殼</t>
        </is>
      </c>
      <c r="C1716">
        <f>IMAGE("https://cf.shopee.tw/file/tw-11134207-7r98q-lsmohps59zwo9f_tn")</f>
        <v/>
      </c>
      <c r="D1716" t="inlineStr">
        <is>
          <t>粉色波浪邊框,14Plus/15Plus</t>
        </is>
      </c>
      <c r="E1716" t="inlineStr"/>
      <c r="F1716">
        <f>IMAGE("https://cf.shopee.tw/file/tw-11134207-7r98x-lsmoppw173yq14_tn")</f>
        <v/>
      </c>
    </row>
    <row r="1717">
      <c r="A1717" t="inlineStr">
        <is>
          <t>25617644380</t>
        </is>
      </c>
      <c r="B1717" t="inlineStr">
        <is>
          <t>隔日到貨🔥 iPhone 手機殼 波浪框 16 15 14 13 12 11 XS XR X 保護殼 軟殼 素色殼</t>
        </is>
      </c>
      <c r="C1717">
        <f>IMAGE("https://cf.shopee.tw/file/tw-11134207-7r98q-lsmohps59zwo9f_tn")</f>
        <v/>
      </c>
      <c r="D1717" t="inlineStr">
        <is>
          <t>粉色波浪邊框,15</t>
        </is>
      </c>
      <c r="E1717" t="inlineStr">
        <is>
          <t>245438277685</t>
        </is>
      </c>
      <c r="F1717">
        <f>IMAGE("https://cf.shopee.tw/file/tw-11134207-7r98x-lsmoppw173yq14_tn")</f>
        <v/>
      </c>
    </row>
    <row r="1718">
      <c r="A1718" t="inlineStr">
        <is>
          <t>25617644380</t>
        </is>
      </c>
      <c r="B1718" t="inlineStr">
        <is>
          <t>隔日到貨🔥 iPhone 手機殼 波浪框 16 15 14 13 12 11 XS XR X 保護殼 軟殼 素色殼</t>
        </is>
      </c>
      <c r="C1718">
        <f>IMAGE("https://cf.shopee.tw/file/tw-11134207-7r98q-lsmohps59zwo9f_tn")</f>
        <v/>
      </c>
      <c r="D1718" t="inlineStr">
        <is>
          <t>粉色波浪邊框,15 Pro</t>
        </is>
      </c>
      <c r="E1718" t="inlineStr"/>
      <c r="F1718">
        <f>IMAGE("https://cf.shopee.tw/file/tw-11134207-7r98x-lsmoppw173yq14_tn")</f>
        <v/>
      </c>
    </row>
    <row r="1719">
      <c r="A1719" t="inlineStr">
        <is>
          <t>25617644380</t>
        </is>
      </c>
      <c r="B1719" t="inlineStr">
        <is>
          <t>隔日到貨🔥 iPhone 手機殼 波浪框 16 15 14 13 12 11 XS XR X 保護殼 軟殼 素色殼</t>
        </is>
      </c>
      <c r="C1719">
        <f>IMAGE("https://cf.shopee.tw/file/tw-11134207-7r98q-lsmohps59zwo9f_tn")</f>
        <v/>
      </c>
      <c r="D1719" t="inlineStr">
        <is>
          <t>粉色波浪邊框,15 Pro Max</t>
        </is>
      </c>
      <c r="E1719" t="inlineStr"/>
      <c r="F1719">
        <f>IMAGE("https://cf.shopee.tw/file/tw-11134207-7r98x-lsmoppw173yq14_tn")</f>
        <v/>
      </c>
    </row>
    <row r="1720">
      <c r="A1720" t="inlineStr">
        <is>
          <t>25617644380</t>
        </is>
      </c>
      <c r="B1720" t="inlineStr">
        <is>
          <t>隔日到貨🔥 iPhone 手機殼 波浪框 16 15 14 13 12 11 XS XR X 保護殼 軟殼 素色殼</t>
        </is>
      </c>
      <c r="C1720">
        <f>IMAGE("https://cf.shopee.tw/file/tw-11134207-7r98q-lsmohps59zwo9f_tn")</f>
        <v/>
      </c>
      <c r="D1720" t="inlineStr">
        <is>
          <t>粉色波浪邊框,16</t>
        </is>
      </c>
      <c r="E1720" t="inlineStr">
        <is>
          <t>217961335126</t>
        </is>
      </c>
      <c r="F1720">
        <f>IMAGE("https://cf.shopee.tw/file/tw-11134207-7r98x-lsmoppw173yq14_tn")</f>
        <v/>
      </c>
    </row>
    <row r="1721">
      <c r="A1721" t="inlineStr">
        <is>
          <t>25617644380</t>
        </is>
      </c>
      <c r="B1721" t="inlineStr">
        <is>
          <t>隔日到貨🔥 iPhone 手機殼 波浪框 16 15 14 13 12 11 XS XR X 保護殼 軟殼 素色殼</t>
        </is>
      </c>
      <c r="C1721">
        <f>IMAGE("https://cf.shopee.tw/file/tw-11134207-7r98q-lsmohps59zwo9f_tn")</f>
        <v/>
      </c>
      <c r="D1721" t="inlineStr">
        <is>
          <t>粉色波浪邊框,16 Pro</t>
        </is>
      </c>
      <c r="E1721" t="inlineStr">
        <is>
          <t>217961335127</t>
        </is>
      </c>
      <c r="F1721">
        <f>IMAGE("https://cf.shopee.tw/file/tw-11134207-7r98x-lsmoppw173yq14_tn")</f>
        <v/>
      </c>
    </row>
    <row r="1722">
      <c r="A1722" t="inlineStr">
        <is>
          <t>25617644380</t>
        </is>
      </c>
      <c r="B1722" t="inlineStr">
        <is>
          <t>隔日到貨🔥 iPhone 手機殼 波浪框 16 15 14 13 12 11 XS XR X 保護殼 軟殼 素色殼</t>
        </is>
      </c>
      <c r="C1722">
        <f>IMAGE("https://cf.shopee.tw/file/tw-11134207-7r98q-lsmohps59zwo9f_tn")</f>
        <v/>
      </c>
      <c r="D1722" t="inlineStr">
        <is>
          <t>粉色波浪邊框,16 Pro Max</t>
        </is>
      </c>
      <c r="E1722" t="inlineStr">
        <is>
          <t>217961335128</t>
        </is>
      </c>
      <c r="F1722">
        <f>IMAGE("https://cf.shopee.tw/file/tw-11134207-7r98x-lsmoppw173yq14_tn")</f>
        <v/>
      </c>
    </row>
    <row r="1723">
      <c r="A1723" t="inlineStr">
        <is>
          <t>25617644380</t>
        </is>
      </c>
      <c r="B1723" t="inlineStr">
        <is>
          <t>隔日到貨🔥 iPhone 手機殼 波浪框 16 15 14 13 12 11 XS XR X 保護殼 軟殼 素色殼</t>
        </is>
      </c>
      <c r="C1723">
        <f>IMAGE("https://cf.shopee.tw/file/tw-11134207-7r98q-lsmohps59zwo9f_tn")</f>
        <v/>
      </c>
      <c r="D1723" t="inlineStr">
        <is>
          <t>淡藍波浪邊框,X / XS</t>
        </is>
      </c>
      <c r="E1723" t="inlineStr"/>
      <c r="F1723">
        <f>IMAGE("https://cf.shopee.tw/file/tw-11134207-7r98y-lsmoppw18ij6dc_tn")</f>
        <v/>
      </c>
    </row>
    <row r="1724">
      <c r="A1724" t="inlineStr">
        <is>
          <t>25617644380</t>
        </is>
      </c>
      <c r="B1724" t="inlineStr">
        <is>
          <t>隔日到貨🔥 iPhone 手機殼 波浪框 16 15 14 13 12 11 XS XR X 保護殼 軟殼 素色殼</t>
        </is>
      </c>
      <c r="C1724">
        <f>IMAGE("https://cf.shopee.tw/file/tw-11134207-7r98q-lsmohps59zwo9f_tn")</f>
        <v/>
      </c>
      <c r="D1724" t="inlineStr">
        <is>
          <t>淡藍波浪邊框,XR</t>
        </is>
      </c>
      <c r="E1724" t="inlineStr">
        <is>
          <t>245438277689</t>
        </is>
      </c>
      <c r="F1724">
        <f>IMAGE("https://cf.shopee.tw/file/tw-11134207-7r98y-lsmoppw18ij6dc_tn")</f>
        <v/>
      </c>
    </row>
    <row r="1725">
      <c r="A1725" t="inlineStr">
        <is>
          <t>25617644380</t>
        </is>
      </c>
      <c r="B1725" t="inlineStr">
        <is>
          <t>隔日到貨🔥 iPhone 手機殼 波浪框 16 15 14 13 12 11 XS XR X 保護殼 軟殼 素色殼</t>
        </is>
      </c>
      <c r="C1725">
        <f>IMAGE("https://cf.shopee.tw/file/tw-11134207-7r98q-lsmohps59zwo9f_tn")</f>
        <v/>
      </c>
      <c r="D1725" t="inlineStr">
        <is>
          <t>淡藍波浪邊框,11</t>
        </is>
      </c>
      <c r="E1725" t="inlineStr">
        <is>
          <t>245438277690</t>
        </is>
      </c>
      <c r="F1725">
        <f>IMAGE("https://cf.shopee.tw/file/tw-11134207-7r98y-lsmoppw18ij6dc_tn")</f>
        <v/>
      </c>
    </row>
    <row r="1726">
      <c r="A1726" t="inlineStr">
        <is>
          <t>25617644380</t>
        </is>
      </c>
      <c r="B1726" t="inlineStr">
        <is>
          <t>隔日到貨🔥 iPhone 手機殼 波浪框 16 15 14 13 12 11 XS XR X 保護殼 軟殼 素色殼</t>
        </is>
      </c>
      <c r="C1726">
        <f>IMAGE("https://cf.shopee.tw/file/tw-11134207-7r98q-lsmohps59zwo9f_tn")</f>
        <v/>
      </c>
      <c r="D1726" t="inlineStr">
        <is>
          <t>淡藍波浪邊框,12/12pro</t>
        </is>
      </c>
      <c r="E1726" t="inlineStr">
        <is>
          <t>245438277691</t>
        </is>
      </c>
      <c r="F1726">
        <f>IMAGE("https://cf.shopee.tw/file/tw-11134207-7r98y-lsmoppw18ij6dc_tn")</f>
        <v/>
      </c>
    </row>
    <row r="1727">
      <c r="A1727" t="inlineStr">
        <is>
          <t>25617644380</t>
        </is>
      </c>
      <c r="B1727" t="inlineStr">
        <is>
          <t>隔日到貨🔥 iPhone 手機殼 波浪框 16 15 14 13 12 11 XS XR X 保護殼 軟殼 素色殼</t>
        </is>
      </c>
      <c r="C1727">
        <f>IMAGE("https://cf.shopee.tw/file/tw-11134207-7r98q-lsmohps59zwo9f_tn")</f>
        <v/>
      </c>
      <c r="D1727" t="inlineStr">
        <is>
          <t>淡藍波浪邊框,13 pro</t>
        </is>
      </c>
      <c r="E1727" t="inlineStr">
        <is>
          <t>245438277695</t>
        </is>
      </c>
      <c r="F1727">
        <f>IMAGE("https://cf.shopee.tw/file/tw-11134207-7r98y-lsmoppw18ij6dc_tn")</f>
        <v/>
      </c>
    </row>
    <row r="1728">
      <c r="A1728" t="inlineStr">
        <is>
          <t>25617644380</t>
        </is>
      </c>
      <c r="B1728" t="inlineStr">
        <is>
          <t>隔日到貨🔥 iPhone 手機殼 波浪框 16 15 14 13 12 11 XS XR X 保護殼 軟殼 素色殼</t>
        </is>
      </c>
      <c r="C1728">
        <f>IMAGE("https://cf.shopee.tw/file/tw-11134207-7r98q-lsmohps59zwo9f_tn")</f>
        <v/>
      </c>
      <c r="D1728" t="inlineStr">
        <is>
          <t>淡藍波浪邊框,13 pro Max</t>
        </is>
      </c>
      <c r="E1728" t="inlineStr"/>
      <c r="F1728">
        <f>IMAGE("https://cf.shopee.tw/file/tw-11134207-7r98y-lsmoppw18ij6dc_tn")</f>
        <v/>
      </c>
    </row>
    <row r="1729">
      <c r="A1729" t="inlineStr">
        <is>
          <t>25617644380</t>
        </is>
      </c>
      <c r="B1729" t="inlineStr">
        <is>
          <t>隔日到貨🔥 iPhone 手機殼 波浪框 16 15 14 13 12 11 XS XR X 保護殼 軟殼 素色殼</t>
        </is>
      </c>
      <c r="C1729">
        <f>IMAGE("https://cf.shopee.tw/file/tw-11134207-7r98q-lsmohps59zwo9f_tn")</f>
        <v/>
      </c>
      <c r="D1729" t="inlineStr">
        <is>
          <t>淡藍波浪邊框,14 pro</t>
        </is>
      </c>
      <c r="E1729" t="inlineStr">
        <is>
          <t>245438277698</t>
        </is>
      </c>
      <c r="F1729">
        <f>IMAGE("https://cf.shopee.tw/file/tw-11134207-7r98y-lsmoppw18ij6dc_tn")</f>
        <v/>
      </c>
    </row>
    <row r="1730">
      <c r="A1730" t="inlineStr">
        <is>
          <t>25617644380</t>
        </is>
      </c>
      <c r="B1730" t="inlineStr">
        <is>
          <t>隔日到貨🔥 iPhone 手機殼 波浪框 16 15 14 13 12 11 XS XR X 保護殼 軟殼 素色殼</t>
        </is>
      </c>
      <c r="C1730">
        <f>IMAGE("https://cf.shopee.tw/file/tw-11134207-7r98q-lsmohps59zwo9f_tn")</f>
        <v/>
      </c>
      <c r="D1730" t="inlineStr">
        <is>
          <t>淡藍波浪邊框,14 pro Max</t>
        </is>
      </c>
      <c r="E1730" t="inlineStr">
        <is>
          <t>245438277699</t>
        </is>
      </c>
      <c r="F1730">
        <f>IMAGE("https://cf.shopee.tw/file/tw-11134207-7r98y-lsmoppw18ij6dc_tn")</f>
        <v/>
      </c>
    </row>
    <row r="1731">
      <c r="A1731" t="inlineStr">
        <is>
          <t>25617644380</t>
        </is>
      </c>
      <c r="B1731" t="inlineStr">
        <is>
          <t>隔日到貨🔥 iPhone 手機殼 波浪框 16 15 14 13 12 11 XS XR X 保護殼 軟殼 素色殼</t>
        </is>
      </c>
      <c r="C1731">
        <f>IMAGE("https://cf.shopee.tw/file/tw-11134207-7r98q-lsmohps59zwo9f_tn")</f>
        <v/>
      </c>
      <c r="D1731" t="inlineStr">
        <is>
          <t>淡藍波浪邊框,14Plus/15Plus</t>
        </is>
      </c>
      <c r="E1731" t="inlineStr">
        <is>
          <t>245438277703</t>
        </is>
      </c>
      <c r="F1731">
        <f>IMAGE("https://cf.shopee.tw/file/tw-11134207-7r98y-lsmoppw18ij6dc_tn")</f>
        <v/>
      </c>
    </row>
    <row r="1732">
      <c r="A1732" t="inlineStr">
        <is>
          <t>25617644380</t>
        </is>
      </c>
      <c r="B1732" t="inlineStr">
        <is>
          <t>隔日到貨🔥 iPhone 手機殼 波浪框 16 15 14 13 12 11 XS XR X 保護殼 軟殼 素色殼</t>
        </is>
      </c>
      <c r="C1732">
        <f>IMAGE("https://cf.shopee.tw/file/tw-11134207-7r98q-lsmohps59zwo9f_tn")</f>
        <v/>
      </c>
      <c r="D1732" t="inlineStr">
        <is>
          <t>淡藍波浪邊框,15</t>
        </is>
      </c>
      <c r="E1732" t="inlineStr">
        <is>
          <t>245438277700</t>
        </is>
      </c>
      <c r="F1732">
        <f>IMAGE("https://cf.shopee.tw/file/tw-11134207-7r98y-lsmoppw18ij6dc_tn")</f>
        <v/>
      </c>
    </row>
    <row r="1733">
      <c r="A1733" t="inlineStr">
        <is>
          <t>25617644380</t>
        </is>
      </c>
      <c r="B1733" t="inlineStr">
        <is>
          <t>隔日到貨🔥 iPhone 手機殼 波浪框 16 15 14 13 12 11 XS XR X 保護殼 軟殼 素色殼</t>
        </is>
      </c>
      <c r="C1733">
        <f>IMAGE("https://cf.shopee.tw/file/tw-11134207-7r98q-lsmohps59zwo9f_tn")</f>
        <v/>
      </c>
      <c r="D1733" t="inlineStr">
        <is>
          <t>淡藍波浪邊框,15 Pro</t>
        </is>
      </c>
      <c r="E1733" t="inlineStr">
        <is>
          <t>245438277701</t>
        </is>
      </c>
      <c r="F1733">
        <f>IMAGE("https://cf.shopee.tw/file/tw-11134207-7r98y-lsmoppw18ij6dc_tn")</f>
        <v/>
      </c>
    </row>
    <row r="1734">
      <c r="A1734" t="inlineStr">
        <is>
          <t>25617644380</t>
        </is>
      </c>
      <c r="B1734" t="inlineStr">
        <is>
          <t>隔日到貨🔥 iPhone 手機殼 波浪框 16 15 14 13 12 11 XS XR X 保護殼 軟殼 素色殼</t>
        </is>
      </c>
      <c r="C1734">
        <f>IMAGE("https://cf.shopee.tw/file/tw-11134207-7r98q-lsmohps59zwo9f_tn")</f>
        <v/>
      </c>
      <c r="D1734" t="inlineStr">
        <is>
          <t>淡藍波浪邊框,15 Pro Max</t>
        </is>
      </c>
      <c r="E1734" t="inlineStr">
        <is>
          <t>245438277702</t>
        </is>
      </c>
      <c r="F1734">
        <f>IMAGE("https://cf.shopee.tw/file/tw-11134207-7r98y-lsmoppw18ij6dc_tn")</f>
        <v/>
      </c>
    </row>
    <row r="1735">
      <c r="A1735" t="inlineStr">
        <is>
          <t>25617644380</t>
        </is>
      </c>
      <c r="B1735" t="inlineStr">
        <is>
          <t>隔日到貨🔥 iPhone 手機殼 波浪框 16 15 14 13 12 11 XS XR X 保護殼 軟殼 素色殼</t>
        </is>
      </c>
      <c r="C1735">
        <f>IMAGE("https://cf.shopee.tw/file/tw-11134207-7r98q-lsmohps59zwo9f_tn")</f>
        <v/>
      </c>
      <c r="D1735" t="inlineStr">
        <is>
          <t>淡藍波浪邊框,16</t>
        </is>
      </c>
      <c r="E1735" t="inlineStr">
        <is>
          <t>217961335129</t>
        </is>
      </c>
      <c r="F1735">
        <f>IMAGE("https://cf.shopee.tw/file/tw-11134207-7r98y-lsmoppw18ij6dc_tn")</f>
        <v/>
      </c>
    </row>
    <row r="1736">
      <c r="A1736" t="inlineStr">
        <is>
          <t>25617644380</t>
        </is>
      </c>
      <c r="B1736" t="inlineStr">
        <is>
          <t>隔日到貨🔥 iPhone 手機殼 波浪框 16 15 14 13 12 11 XS XR X 保護殼 軟殼 素色殼</t>
        </is>
      </c>
      <c r="C1736">
        <f>IMAGE("https://cf.shopee.tw/file/tw-11134207-7r98q-lsmohps59zwo9f_tn")</f>
        <v/>
      </c>
      <c r="D1736" t="inlineStr">
        <is>
          <t>淡藍波浪邊框,16 Pro</t>
        </is>
      </c>
      <c r="E1736" t="inlineStr">
        <is>
          <t>217961335130</t>
        </is>
      </c>
      <c r="F1736">
        <f>IMAGE("https://cf.shopee.tw/file/tw-11134207-7r98y-lsmoppw18ij6dc_tn")</f>
        <v/>
      </c>
    </row>
    <row r="1737">
      <c r="A1737" t="inlineStr">
        <is>
          <t>25617644380</t>
        </is>
      </c>
      <c r="B1737" t="inlineStr">
        <is>
          <t>隔日到貨🔥 iPhone 手機殼 波浪框 16 15 14 13 12 11 XS XR X 保護殼 軟殼 素色殼</t>
        </is>
      </c>
      <c r="C1737">
        <f>IMAGE("https://cf.shopee.tw/file/tw-11134207-7r98q-lsmohps59zwo9f_tn")</f>
        <v/>
      </c>
      <c r="D1737" t="inlineStr">
        <is>
          <t>淡藍波浪邊框,16 Pro Max</t>
        </is>
      </c>
      <c r="E1737" t="inlineStr"/>
      <c r="F1737">
        <f>IMAGE("https://cf.shopee.tw/file/tw-11134207-7r98y-lsmoppw18ij6dc_tn")</f>
        <v/>
      </c>
    </row>
    <row r="1738">
      <c r="A1738" t="inlineStr">
        <is>
          <t>25617644380</t>
        </is>
      </c>
      <c r="B1738" t="inlineStr">
        <is>
          <t>隔日到貨🔥 iPhone 手機殼 波浪框 16 15 14 13 12 11 XS XR X 保護殼 軟殼 素色殼</t>
        </is>
      </c>
      <c r="C1738">
        <f>IMAGE("https://cf.shopee.tw/file/tw-11134207-7r98q-lsmohps59zwo9f_tn")</f>
        <v/>
      </c>
      <c r="D1738" t="inlineStr">
        <is>
          <t>黃色波浪邊框,X / XS</t>
        </is>
      </c>
      <c r="E1738" t="inlineStr"/>
      <c r="F1738">
        <f>IMAGE("https://cf.shopee.tw/file/tw-11134207-7r98y-lsmoqo495b6a5a_tn")</f>
        <v/>
      </c>
    </row>
    <row r="1739">
      <c r="A1739" t="inlineStr">
        <is>
          <t>25617644380</t>
        </is>
      </c>
      <c r="B1739" t="inlineStr">
        <is>
          <t>隔日到貨🔥 iPhone 手機殼 波浪框 16 15 14 13 12 11 XS XR X 保護殼 軟殼 素色殼</t>
        </is>
      </c>
      <c r="C1739">
        <f>IMAGE("https://cf.shopee.tw/file/tw-11134207-7r98q-lsmohps59zwo9f_tn")</f>
        <v/>
      </c>
      <c r="D1739" t="inlineStr">
        <is>
          <t>黃色波浪邊框,XR</t>
        </is>
      </c>
      <c r="E1739" t="inlineStr">
        <is>
          <t>245438277704</t>
        </is>
      </c>
      <c r="F1739">
        <f>IMAGE("https://cf.shopee.tw/file/tw-11134207-7r98y-lsmoqo495b6a5a_tn")</f>
        <v/>
      </c>
    </row>
    <row r="1740">
      <c r="A1740" t="inlineStr">
        <is>
          <t>25617644380</t>
        </is>
      </c>
      <c r="B1740" t="inlineStr">
        <is>
          <t>隔日到貨🔥 iPhone 手機殼 波浪框 16 15 14 13 12 11 XS XR X 保護殼 軟殼 素色殼</t>
        </is>
      </c>
      <c r="C1740">
        <f>IMAGE("https://cf.shopee.tw/file/tw-11134207-7r98q-lsmohps59zwo9f_tn")</f>
        <v/>
      </c>
      <c r="D1740" t="inlineStr">
        <is>
          <t>黃色波浪邊框,11</t>
        </is>
      </c>
      <c r="E1740" t="inlineStr">
        <is>
          <t>245438277705</t>
        </is>
      </c>
      <c r="F1740">
        <f>IMAGE("https://cf.shopee.tw/file/tw-11134207-7r98y-lsmoqo495b6a5a_tn")</f>
        <v/>
      </c>
    </row>
    <row r="1741">
      <c r="A1741" t="inlineStr">
        <is>
          <t>25617644380</t>
        </is>
      </c>
      <c r="B1741" t="inlineStr">
        <is>
          <t>隔日到貨🔥 iPhone 手機殼 波浪框 16 15 14 13 12 11 XS XR X 保護殼 軟殼 素色殼</t>
        </is>
      </c>
      <c r="C1741">
        <f>IMAGE("https://cf.shopee.tw/file/tw-11134207-7r98q-lsmohps59zwo9f_tn")</f>
        <v/>
      </c>
      <c r="D1741" t="inlineStr">
        <is>
          <t>黃色波浪邊框,13/14</t>
        </is>
      </c>
      <c r="E1741" t="inlineStr">
        <is>
          <t>245438277709</t>
        </is>
      </c>
      <c r="F1741">
        <f>IMAGE("https://cf.shopee.tw/file/tw-11134207-7r98y-lsmoqo495b6a5a_tn")</f>
        <v/>
      </c>
    </row>
    <row r="1742">
      <c r="A1742" t="inlineStr">
        <is>
          <t>25617644380</t>
        </is>
      </c>
      <c r="B1742" t="inlineStr">
        <is>
          <t>隔日到貨🔥 iPhone 手機殼 波浪框 16 15 14 13 12 11 XS XR X 保護殼 軟殼 素色殼</t>
        </is>
      </c>
      <c r="C1742">
        <f>IMAGE("https://cf.shopee.tw/file/tw-11134207-7r98q-lsmohps59zwo9f_tn")</f>
        <v/>
      </c>
      <c r="D1742" t="inlineStr">
        <is>
          <t>黃色波浪邊框,13 pro</t>
        </is>
      </c>
      <c r="E1742" t="inlineStr"/>
      <c r="F1742">
        <f>IMAGE("https://cf.shopee.tw/file/tw-11134207-7r98y-lsmoqo495b6a5a_tn")</f>
        <v/>
      </c>
    </row>
    <row r="1743">
      <c r="A1743" t="inlineStr">
        <is>
          <t>25617644380</t>
        </is>
      </c>
      <c r="B1743" t="inlineStr">
        <is>
          <t>隔日到貨🔥 iPhone 手機殼 波浪框 16 15 14 13 12 11 XS XR X 保護殼 軟殼 素色殼</t>
        </is>
      </c>
      <c r="C1743">
        <f>IMAGE("https://cf.shopee.tw/file/tw-11134207-7r98q-lsmohps59zwo9f_tn")</f>
        <v/>
      </c>
      <c r="D1743" t="inlineStr">
        <is>
          <t>黃色波浪邊框,13 pro Max</t>
        </is>
      </c>
      <c r="E1743" t="inlineStr"/>
      <c r="F1743">
        <f>IMAGE("https://cf.shopee.tw/file/tw-11134207-7r98y-lsmoqo495b6a5a_tn")</f>
        <v/>
      </c>
    </row>
    <row r="1744">
      <c r="A1744" t="inlineStr">
        <is>
          <t>25617644380</t>
        </is>
      </c>
      <c r="B1744" t="inlineStr">
        <is>
          <t>隔日到貨🔥 iPhone 手機殼 波浪框 16 15 14 13 12 11 XS XR X 保護殼 軟殼 素色殼</t>
        </is>
      </c>
      <c r="C1744">
        <f>IMAGE("https://cf.shopee.tw/file/tw-11134207-7r98q-lsmohps59zwo9f_tn")</f>
        <v/>
      </c>
      <c r="D1744" t="inlineStr">
        <is>
          <t>黃色波浪邊框,14 pro</t>
        </is>
      </c>
      <c r="E1744" t="inlineStr">
        <is>
          <t>245438277713</t>
        </is>
      </c>
      <c r="F1744">
        <f>IMAGE("https://cf.shopee.tw/file/tw-11134207-7r98y-lsmoqo495b6a5a_tn")</f>
        <v/>
      </c>
    </row>
    <row r="1745">
      <c r="A1745" t="inlineStr">
        <is>
          <t>25617644380</t>
        </is>
      </c>
      <c r="B1745" t="inlineStr">
        <is>
          <t>隔日到貨🔥 iPhone 手機殼 波浪框 16 15 14 13 12 11 XS XR X 保護殼 軟殼 素色殼</t>
        </is>
      </c>
      <c r="C1745">
        <f>IMAGE("https://cf.shopee.tw/file/tw-11134207-7r98q-lsmohps59zwo9f_tn")</f>
        <v/>
      </c>
      <c r="D1745" t="inlineStr">
        <is>
          <t>黃色波浪邊框,14 pro Max</t>
        </is>
      </c>
      <c r="E1745" t="inlineStr"/>
      <c r="F1745">
        <f>IMAGE("https://cf.shopee.tw/file/tw-11134207-7r98y-lsmoqo495b6a5a_tn")</f>
        <v/>
      </c>
    </row>
    <row r="1746">
      <c r="A1746" t="inlineStr">
        <is>
          <t>25617644380</t>
        </is>
      </c>
      <c r="B1746" t="inlineStr">
        <is>
          <t>隔日到貨🔥 iPhone 手機殼 波浪框 16 15 14 13 12 11 XS XR X 保護殼 軟殼 素色殼</t>
        </is>
      </c>
      <c r="C1746">
        <f>IMAGE("https://cf.shopee.tw/file/tw-11134207-7r98q-lsmohps59zwo9f_tn")</f>
        <v/>
      </c>
      <c r="D1746" t="inlineStr">
        <is>
          <t>黃色波浪邊框,14Plus/15Plus</t>
        </is>
      </c>
      <c r="E1746" t="inlineStr"/>
      <c r="F1746">
        <f>IMAGE("https://cf.shopee.tw/file/tw-11134207-7r98y-lsmoqo495b6a5a_tn")</f>
        <v/>
      </c>
    </row>
    <row r="1747">
      <c r="A1747" t="inlineStr">
        <is>
          <t>25617644380</t>
        </is>
      </c>
      <c r="B1747" t="inlineStr">
        <is>
          <t>隔日到貨🔥 iPhone 手機殼 波浪框 16 15 14 13 12 11 XS XR X 保護殼 軟殼 素色殼</t>
        </is>
      </c>
      <c r="C1747">
        <f>IMAGE("https://cf.shopee.tw/file/tw-11134207-7r98q-lsmohps59zwo9f_tn")</f>
        <v/>
      </c>
      <c r="D1747" t="inlineStr">
        <is>
          <t>黃色波浪邊框,15 Pro</t>
        </is>
      </c>
      <c r="E1747" t="inlineStr">
        <is>
          <t>245438277716</t>
        </is>
      </c>
      <c r="F1747">
        <f>IMAGE("https://cf.shopee.tw/file/tw-11134207-7r98y-lsmoqo495b6a5a_tn")</f>
        <v/>
      </c>
    </row>
    <row r="1748">
      <c r="A1748" t="inlineStr">
        <is>
          <t>25617644380</t>
        </is>
      </c>
      <c r="B1748" t="inlineStr">
        <is>
          <t>隔日到貨🔥 iPhone 手機殼 波浪框 16 15 14 13 12 11 XS XR X 保護殼 軟殼 素色殼</t>
        </is>
      </c>
      <c r="C1748">
        <f>IMAGE("https://cf.shopee.tw/file/tw-11134207-7r98q-lsmohps59zwo9f_tn")</f>
        <v/>
      </c>
      <c r="D1748" t="inlineStr">
        <is>
          <t>黃色波浪邊框,15 Pro Max</t>
        </is>
      </c>
      <c r="E1748" t="inlineStr">
        <is>
          <t>89524612347</t>
        </is>
      </c>
      <c r="F1748">
        <f>IMAGE("https://cf.shopee.tw/file/tw-11134207-7r98y-lsmoqo495b6a5a_tn")</f>
        <v/>
      </c>
    </row>
    <row r="1749">
      <c r="A1749" t="inlineStr">
        <is>
          <t>25617644380</t>
        </is>
      </c>
      <c r="B1749" t="inlineStr">
        <is>
          <t>隔日到貨🔥 iPhone 手機殼 波浪框 16 15 14 13 12 11 XS XR X 保護殼 軟殼 素色殼</t>
        </is>
      </c>
      <c r="C1749">
        <f>IMAGE("https://cf.shopee.tw/file/tw-11134207-7r98q-lsmohps59zwo9f_tn")</f>
        <v/>
      </c>
      <c r="D1749" t="inlineStr">
        <is>
          <t>黃色波浪邊框,16</t>
        </is>
      </c>
      <c r="E1749" t="inlineStr">
        <is>
          <t>217961335132</t>
        </is>
      </c>
      <c r="F1749">
        <f>IMAGE("https://cf.shopee.tw/file/tw-11134207-7r98y-lsmoqo495b6a5a_tn")</f>
        <v/>
      </c>
    </row>
    <row r="1750">
      <c r="A1750" t="inlineStr">
        <is>
          <t>25617644380</t>
        </is>
      </c>
      <c r="B1750" t="inlineStr">
        <is>
          <t>隔日到貨🔥 iPhone 手機殼 波浪框 16 15 14 13 12 11 XS XR X 保護殼 軟殼 素色殼</t>
        </is>
      </c>
      <c r="C1750">
        <f>IMAGE("https://cf.shopee.tw/file/tw-11134207-7r98q-lsmohps59zwo9f_tn")</f>
        <v/>
      </c>
      <c r="D1750" t="inlineStr">
        <is>
          <t>黃色波浪邊框,16 Pro</t>
        </is>
      </c>
      <c r="E1750" t="inlineStr">
        <is>
          <t>217961335133</t>
        </is>
      </c>
      <c r="F1750">
        <f>IMAGE("https://cf.shopee.tw/file/tw-11134207-7r98y-lsmoqo495b6a5a_tn")</f>
        <v/>
      </c>
    </row>
    <row r="1751">
      <c r="A1751" t="inlineStr">
        <is>
          <t>25617644380</t>
        </is>
      </c>
      <c r="B1751" t="inlineStr">
        <is>
          <t>隔日到貨🔥 iPhone 手機殼 波浪框 16 15 14 13 12 11 XS XR X 保護殼 軟殼 素色殼</t>
        </is>
      </c>
      <c r="C1751">
        <f>IMAGE("https://cf.shopee.tw/file/tw-11134207-7r98q-lsmohps59zwo9f_tn")</f>
        <v/>
      </c>
      <c r="D1751" t="inlineStr">
        <is>
          <t>黃色波浪邊框,16 Pro Max</t>
        </is>
      </c>
      <c r="E1751" t="inlineStr"/>
      <c r="F1751">
        <f>IMAGE("https://cf.shopee.tw/file/tw-11134207-7r98y-lsmoqo495b6a5a_tn")</f>
        <v/>
      </c>
    </row>
    <row r="1752">
      <c r="A1752" t="inlineStr">
        <is>
          <t>25617644380</t>
        </is>
      </c>
      <c r="B1752" t="inlineStr">
        <is>
          <t>隔日到貨🔥 iPhone 手機殼 波浪框 16 15 14 13 12 11 XS XR X 保護殼 軟殼 素色殼</t>
        </is>
      </c>
      <c r="C1752">
        <f>IMAGE("https://cf.shopee.tw/file/tw-11134207-7r98q-lsmohps59zwo9f_tn")</f>
        <v/>
      </c>
      <c r="D1752" t="inlineStr">
        <is>
          <t>紫色波浪邊框,X / XS</t>
        </is>
      </c>
      <c r="E1752" t="inlineStr"/>
      <c r="F1752">
        <f>IMAGE("https://cf.shopee.tw/file/tw-11134207-7r98v-lsmoqo496pqq47_tn")</f>
        <v/>
      </c>
    </row>
    <row r="1753">
      <c r="A1753" t="inlineStr">
        <is>
          <t>25617644380</t>
        </is>
      </c>
      <c r="B1753" t="inlineStr">
        <is>
          <t>隔日到貨🔥 iPhone 手機殼 波浪框 16 15 14 13 12 11 XS XR X 保護殼 軟殼 素色殼</t>
        </is>
      </c>
      <c r="C1753">
        <f>IMAGE("https://cf.shopee.tw/file/tw-11134207-7r98q-lsmohps59zwo9f_tn")</f>
        <v/>
      </c>
      <c r="D1753" t="inlineStr">
        <is>
          <t>紫色波浪邊框,XR</t>
        </is>
      </c>
      <c r="E1753" t="inlineStr">
        <is>
          <t>89524612349</t>
        </is>
      </c>
      <c r="F1753">
        <f>IMAGE("https://cf.shopee.tw/file/tw-11134207-7r98v-lsmoqo496pqq47_tn")</f>
        <v/>
      </c>
    </row>
    <row r="1754">
      <c r="A1754" t="inlineStr">
        <is>
          <t>25617644380</t>
        </is>
      </c>
      <c r="B1754" t="inlineStr">
        <is>
          <t>隔日到貨🔥 iPhone 手機殼 波浪框 16 15 14 13 12 11 XS XR X 保護殼 軟殼 素色殼</t>
        </is>
      </c>
      <c r="C1754">
        <f>IMAGE("https://cf.shopee.tw/file/tw-11134207-7r98q-lsmohps59zwo9f_tn")</f>
        <v/>
      </c>
      <c r="D1754" t="inlineStr">
        <is>
          <t>紫色波浪邊框,11</t>
        </is>
      </c>
      <c r="E1754" t="inlineStr">
        <is>
          <t>89524612350</t>
        </is>
      </c>
      <c r="F1754">
        <f>IMAGE("https://cf.shopee.tw/file/tw-11134207-7r98v-lsmoqo496pqq47_tn")</f>
        <v/>
      </c>
    </row>
    <row r="1755">
      <c r="A1755" t="inlineStr">
        <is>
          <t>25617644380</t>
        </is>
      </c>
      <c r="B1755" t="inlineStr">
        <is>
          <t>隔日到貨🔥 iPhone 手機殼 波浪框 16 15 14 13 12 11 XS XR X 保護殼 軟殼 素色殼</t>
        </is>
      </c>
      <c r="C1755">
        <f>IMAGE("https://cf.shopee.tw/file/tw-11134207-7r98q-lsmohps59zwo9f_tn")</f>
        <v/>
      </c>
      <c r="D1755" t="inlineStr">
        <is>
          <t>紫色波浪邊框,12/12pro</t>
        </is>
      </c>
      <c r="E1755" t="inlineStr">
        <is>
          <t>89524612351</t>
        </is>
      </c>
      <c r="F1755">
        <f>IMAGE("https://cf.shopee.tw/file/tw-11134207-7r98v-lsmoqo496pqq47_tn")</f>
        <v/>
      </c>
    </row>
    <row r="1756">
      <c r="A1756" t="inlineStr">
        <is>
          <t>25617644380</t>
        </is>
      </c>
      <c r="B1756" t="inlineStr">
        <is>
          <t>隔日到貨🔥 iPhone 手機殼 波浪框 16 15 14 13 12 11 XS XR X 保護殼 軟殼 素色殼</t>
        </is>
      </c>
      <c r="C1756">
        <f>IMAGE("https://cf.shopee.tw/file/tw-11134207-7r98q-lsmohps59zwo9f_tn")</f>
        <v/>
      </c>
      <c r="D1756" t="inlineStr">
        <is>
          <t>紫色波浪邊框,13/14</t>
        </is>
      </c>
      <c r="E1756" t="inlineStr">
        <is>
          <t>98883672350</t>
        </is>
      </c>
      <c r="F1756">
        <f>IMAGE("https://cf.shopee.tw/file/tw-11134207-7r98v-lsmoqo496pqq47_tn")</f>
        <v/>
      </c>
    </row>
    <row r="1757">
      <c r="A1757" t="inlineStr">
        <is>
          <t>25617644380</t>
        </is>
      </c>
      <c r="B1757" t="inlineStr">
        <is>
          <t>隔日到貨🔥 iPhone 手機殼 波浪框 16 15 14 13 12 11 XS XR X 保護殼 軟殼 素色殼</t>
        </is>
      </c>
      <c r="C1757">
        <f>IMAGE("https://cf.shopee.tw/file/tw-11134207-7r98q-lsmohps59zwo9f_tn")</f>
        <v/>
      </c>
      <c r="D1757" t="inlineStr">
        <is>
          <t>紫色波浪邊框,13 pro</t>
        </is>
      </c>
      <c r="E1757" t="inlineStr"/>
      <c r="F1757">
        <f>IMAGE("https://cf.shopee.tw/file/tw-11134207-7r98v-lsmoqo496pqq47_tn")</f>
        <v/>
      </c>
    </row>
    <row r="1758">
      <c r="A1758" t="inlineStr">
        <is>
          <t>25617644380</t>
        </is>
      </c>
      <c r="B1758" t="inlineStr">
        <is>
          <t>隔日到貨🔥 iPhone 手機殼 波浪框 16 15 14 13 12 11 XS XR X 保護殼 軟殼 素色殼</t>
        </is>
      </c>
      <c r="C1758">
        <f>IMAGE("https://cf.shopee.tw/file/tw-11134207-7r98q-lsmohps59zwo9f_tn")</f>
        <v/>
      </c>
      <c r="D1758" t="inlineStr">
        <is>
          <t>紫色波浪邊框,13 pro Max</t>
        </is>
      </c>
      <c r="E1758" t="inlineStr"/>
      <c r="F1758">
        <f>IMAGE("https://cf.shopee.tw/file/tw-11134207-7r98v-lsmoqo496pqq47_tn")</f>
        <v/>
      </c>
    </row>
    <row r="1759">
      <c r="A1759" t="inlineStr">
        <is>
          <t>25617644380</t>
        </is>
      </c>
      <c r="B1759" t="inlineStr">
        <is>
          <t>隔日到貨🔥 iPhone 手機殼 波浪框 16 15 14 13 12 11 XS XR X 保護殼 軟殼 素色殼</t>
        </is>
      </c>
      <c r="C1759">
        <f>IMAGE("https://cf.shopee.tw/file/tw-11134207-7r98q-lsmohps59zwo9f_tn")</f>
        <v/>
      </c>
      <c r="D1759" t="inlineStr">
        <is>
          <t>紫色波浪邊框,14 pro</t>
        </is>
      </c>
      <c r="E1759" t="inlineStr"/>
      <c r="F1759">
        <f>IMAGE("https://cf.shopee.tw/file/tw-11134207-7r98v-lsmoqo496pqq47_tn")</f>
        <v/>
      </c>
    </row>
    <row r="1760">
      <c r="A1760" t="inlineStr">
        <is>
          <t>25617644380</t>
        </is>
      </c>
      <c r="B1760" t="inlineStr">
        <is>
          <t>隔日到貨🔥 iPhone 手機殼 波浪框 16 15 14 13 12 11 XS XR X 保護殼 軟殼 素色殼</t>
        </is>
      </c>
      <c r="C1760">
        <f>IMAGE("https://cf.shopee.tw/file/tw-11134207-7r98q-lsmohps59zwo9f_tn")</f>
        <v/>
      </c>
      <c r="D1760" t="inlineStr">
        <is>
          <t>紫色波浪邊框,14 pro Max</t>
        </is>
      </c>
      <c r="E1760" t="inlineStr"/>
      <c r="F1760">
        <f>IMAGE("https://cf.shopee.tw/file/tw-11134207-7r98v-lsmoqo496pqq47_tn")</f>
        <v/>
      </c>
    </row>
    <row r="1761">
      <c r="A1761" t="inlineStr">
        <is>
          <t>25617644380</t>
        </is>
      </c>
      <c r="B1761" t="inlineStr">
        <is>
          <t>隔日到貨🔥 iPhone 手機殼 波浪框 16 15 14 13 12 11 XS XR X 保護殼 軟殼 素色殼</t>
        </is>
      </c>
      <c r="C1761">
        <f>IMAGE("https://cf.shopee.tw/file/tw-11134207-7r98q-lsmohps59zwo9f_tn")</f>
        <v/>
      </c>
      <c r="D1761" t="inlineStr">
        <is>
          <t>紫色波浪邊框,14Plus/15Plus</t>
        </is>
      </c>
      <c r="E1761" t="inlineStr">
        <is>
          <t>98883672359</t>
        </is>
      </c>
      <c r="F1761">
        <f>IMAGE("https://cf.shopee.tw/file/tw-11134207-7r98v-lsmoqo496pqq47_tn")</f>
        <v/>
      </c>
    </row>
    <row r="1762">
      <c r="A1762" t="inlineStr">
        <is>
          <t>25617644380</t>
        </is>
      </c>
      <c r="B1762" t="inlineStr">
        <is>
          <t>隔日到貨🔥 iPhone 手機殼 波浪框 16 15 14 13 12 11 XS XR X 保護殼 軟殼 素色殼</t>
        </is>
      </c>
      <c r="C1762">
        <f>IMAGE("https://cf.shopee.tw/file/tw-11134207-7r98q-lsmohps59zwo9f_tn")</f>
        <v/>
      </c>
      <c r="D1762" t="inlineStr">
        <is>
          <t>紫色波浪邊框,15</t>
        </is>
      </c>
      <c r="E1762" t="inlineStr">
        <is>
          <t>98883672356</t>
        </is>
      </c>
      <c r="F1762">
        <f>IMAGE("https://cf.shopee.tw/file/tw-11134207-7r98v-lsmoqo496pqq47_tn")</f>
        <v/>
      </c>
    </row>
    <row r="1763">
      <c r="A1763" t="inlineStr">
        <is>
          <t>25617644380</t>
        </is>
      </c>
      <c r="B1763" t="inlineStr">
        <is>
          <t>隔日到貨🔥 iPhone 手機殼 波浪框 16 15 14 13 12 11 XS XR X 保護殼 軟殼 素色殼</t>
        </is>
      </c>
      <c r="C1763">
        <f>IMAGE("https://cf.shopee.tw/file/tw-11134207-7r98q-lsmohps59zwo9f_tn")</f>
        <v/>
      </c>
      <c r="D1763" t="inlineStr">
        <is>
          <t>紫色波浪邊框,15 Pro</t>
        </is>
      </c>
      <c r="E1763" t="inlineStr">
        <is>
          <t>98883672357</t>
        </is>
      </c>
      <c r="F1763">
        <f>IMAGE("https://cf.shopee.tw/file/tw-11134207-7r98v-lsmoqo496pqq47_tn")</f>
        <v/>
      </c>
    </row>
    <row r="1764">
      <c r="A1764" t="inlineStr">
        <is>
          <t>25617644380</t>
        </is>
      </c>
      <c r="B1764" t="inlineStr">
        <is>
          <t>隔日到貨🔥 iPhone 手機殼 波浪框 16 15 14 13 12 11 XS XR X 保護殼 軟殼 素色殼</t>
        </is>
      </c>
      <c r="C1764">
        <f>IMAGE("https://cf.shopee.tw/file/tw-11134207-7r98q-lsmohps59zwo9f_tn")</f>
        <v/>
      </c>
      <c r="D1764" t="inlineStr">
        <is>
          <t>紫色波浪邊框,15 Pro Max</t>
        </is>
      </c>
      <c r="E1764" t="inlineStr">
        <is>
          <t>98883672358</t>
        </is>
      </c>
      <c r="F1764">
        <f>IMAGE("https://cf.shopee.tw/file/tw-11134207-7r98v-lsmoqo496pqq47_tn")</f>
        <v/>
      </c>
    </row>
    <row r="1765">
      <c r="A1765" t="inlineStr">
        <is>
          <t>25617644380</t>
        </is>
      </c>
      <c r="B1765" t="inlineStr">
        <is>
          <t>隔日到貨🔥 iPhone 手機殼 波浪框 16 15 14 13 12 11 XS XR X 保護殼 軟殼 素色殼</t>
        </is>
      </c>
      <c r="C1765">
        <f>IMAGE("https://cf.shopee.tw/file/tw-11134207-7r98q-lsmohps59zwo9f_tn")</f>
        <v/>
      </c>
      <c r="D1765" t="inlineStr">
        <is>
          <t>紫色波浪邊框,16</t>
        </is>
      </c>
      <c r="E1765" t="inlineStr"/>
      <c r="F1765">
        <f>IMAGE("https://cf.shopee.tw/file/tw-11134207-7r98v-lsmoqo496pqq47_tn")</f>
        <v/>
      </c>
    </row>
    <row r="1766">
      <c r="A1766" t="inlineStr">
        <is>
          <t>25617644380</t>
        </is>
      </c>
      <c r="B1766" t="inlineStr">
        <is>
          <t>隔日到貨🔥 iPhone 手機殼 波浪框 16 15 14 13 12 11 XS XR X 保護殼 軟殼 素色殼</t>
        </is>
      </c>
      <c r="C1766">
        <f>IMAGE("https://cf.shopee.tw/file/tw-11134207-7r98q-lsmohps59zwo9f_tn")</f>
        <v/>
      </c>
      <c r="D1766" t="inlineStr">
        <is>
          <t>紫色波浪邊框,16 Pro</t>
        </is>
      </c>
      <c r="E1766" t="inlineStr">
        <is>
          <t>187961342059</t>
        </is>
      </c>
      <c r="F1766">
        <f>IMAGE("https://cf.shopee.tw/file/tw-11134207-7r98v-lsmoqo496pqq47_tn")</f>
        <v/>
      </c>
    </row>
    <row r="1767">
      <c r="A1767" t="inlineStr">
        <is>
          <t>25617644380</t>
        </is>
      </c>
      <c r="B1767" t="inlineStr">
        <is>
          <t>隔日到貨🔥 iPhone 手機殼 波浪框 16 15 14 13 12 11 XS XR X 保護殼 軟殼 素色殼</t>
        </is>
      </c>
      <c r="C1767">
        <f>IMAGE("https://cf.shopee.tw/file/tw-11134207-7r98q-lsmohps59zwo9f_tn")</f>
        <v/>
      </c>
      <c r="D1767" t="inlineStr">
        <is>
          <t>紫色波浪邊框,16 Pro Max</t>
        </is>
      </c>
      <c r="E1767" t="inlineStr"/>
      <c r="F1767">
        <f>IMAGE("https://cf.shopee.tw/file/tw-11134207-7r98v-lsmoqo496pqq47_tn")</f>
        <v/>
      </c>
    </row>
    <row r="1768">
      <c r="A1768" t="inlineStr">
        <is>
          <t>41207454368</t>
        </is>
      </c>
      <c r="B1768" t="inlineStr">
        <is>
          <t>隔日到貨🔥 iPhone 手機殼 16 15 14 13 12 11 pro Max X XR SE 保護殼 軟殼</t>
        </is>
      </c>
      <c r="C1768">
        <f>IMAGE("https://cf.shopee.tw/file/tw-11134207-7ra0i-mbtmn86fu7g90d_tn")</f>
        <v/>
      </c>
      <c r="D1768" t="inlineStr">
        <is>
          <t>粉絲帶蝴蝶結,X / XS</t>
        </is>
      </c>
      <c r="E1768" t="inlineStr">
        <is>
          <t>280633324557</t>
        </is>
      </c>
      <c r="F1768">
        <f>IMAGE("https://cf.shopee.tw/file/tw-11134207-7ra0i-mbtmn86fu7g90d_tn")</f>
        <v/>
      </c>
    </row>
    <row r="1769">
      <c r="A1769" t="inlineStr">
        <is>
          <t>41207454368</t>
        </is>
      </c>
      <c r="B1769" t="inlineStr">
        <is>
          <t>隔日到貨🔥 iPhone 手機殼 16 15 14 13 12 11 pro Max X XR SE 保護殼 軟殼</t>
        </is>
      </c>
      <c r="C1769">
        <f>IMAGE("https://cf.shopee.tw/file/tw-11134207-7ra0i-mbtmn86fu7g90d_tn")</f>
        <v/>
      </c>
      <c r="D1769" t="inlineStr">
        <is>
          <t>粉絲帶蝴蝶結,7/8/SE2/SE3</t>
        </is>
      </c>
      <c r="E1769" t="inlineStr">
        <is>
          <t>280633324555</t>
        </is>
      </c>
      <c r="F1769">
        <f>IMAGE("https://cf.shopee.tw/file/tw-11134207-7ra0i-mbtmn86fu7g90d_tn")</f>
        <v/>
      </c>
    </row>
    <row r="1770">
      <c r="A1770" t="inlineStr">
        <is>
          <t>41207454368</t>
        </is>
      </c>
      <c r="B1770" t="inlineStr">
        <is>
          <t>隔日到貨🔥 iPhone 手機殼 16 15 14 13 12 11 pro Max X XR SE 保護殼 軟殼</t>
        </is>
      </c>
      <c r="C1770">
        <f>IMAGE("https://cf.shopee.tw/file/tw-11134207-7ra0i-mbtmn86fu7g90d_tn")</f>
        <v/>
      </c>
      <c r="D1770" t="inlineStr">
        <is>
          <t>粉絲帶蝴蝶結,7 Plus / 8 Plus</t>
        </is>
      </c>
      <c r="E1770" t="inlineStr">
        <is>
          <t>280633324556</t>
        </is>
      </c>
      <c r="F1770">
        <f>IMAGE("https://cf.shopee.tw/file/tw-11134207-7ra0i-mbtmn86fu7g90d_tn")</f>
        <v/>
      </c>
    </row>
    <row r="1771">
      <c r="A1771" t="inlineStr">
        <is>
          <t>41207454368</t>
        </is>
      </c>
      <c r="B1771" t="inlineStr">
        <is>
          <t>隔日到貨🔥 iPhone 手機殼 16 15 14 13 12 11 pro Max X XR SE 保護殼 軟殼</t>
        </is>
      </c>
      <c r="C1771">
        <f>IMAGE("https://cf.shopee.tw/file/tw-11134207-7ra0i-mbtmn86fu7g90d_tn")</f>
        <v/>
      </c>
      <c r="D1771" t="inlineStr">
        <is>
          <t>粉絲帶蝴蝶結,XR</t>
        </is>
      </c>
      <c r="E1771" t="inlineStr">
        <is>
          <t>280633324558</t>
        </is>
      </c>
      <c r="F1771">
        <f>IMAGE("https://cf.shopee.tw/file/tw-11134207-7ra0i-mbtmn86fu7g90d_tn")</f>
        <v/>
      </c>
    </row>
    <row r="1772">
      <c r="A1772" t="inlineStr">
        <is>
          <t>41207454368</t>
        </is>
      </c>
      <c r="B1772" t="inlineStr">
        <is>
          <t>隔日到貨🔥 iPhone 手機殼 16 15 14 13 12 11 pro Max X XR SE 保護殼 軟殼</t>
        </is>
      </c>
      <c r="C1772">
        <f>IMAGE("https://cf.shopee.tw/file/tw-11134207-7ra0i-mbtmn86fu7g90d_tn")</f>
        <v/>
      </c>
      <c r="D1772" t="inlineStr">
        <is>
          <t>粉絲帶蝴蝶結,XS Max</t>
        </is>
      </c>
      <c r="E1772" t="inlineStr">
        <is>
          <t>280633324559</t>
        </is>
      </c>
      <c r="F1772">
        <f>IMAGE("https://cf.shopee.tw/file/tw-11134207-7ra0i-mbtmn86fu7g90d_tn")</f>
        <v/>
      </c>
    </row>
    <row r="1773">
      <c r="A1773" t="inlineStr">
        <is>
          <t>41207454368</t>
        </is>
      </c>
      <c r="B1773" t="inlineStr">
        <is>
          <t>隔日到貨🔥 iPhone 手機殼 16 15 14 13 12 11 pro Max X XR SE 保護殼 軟殼</t>
        </is>
      </c>
      <c r="C1773">
        <f>IMAGE("https://cf.shopee.tw/file/tw-11134207-7ra0i-mbtmn86fu7g90d_tn")</f>
        <v/>
      </c>
      <c r="D1773" t="inlineStr">
        <is>
          <t>粉絲帶蝴蝶結,11</t>
        </is>
      </c>
      <c r="E1773" t="inlineStr">
        <is>
          <t>280633324560</t>
        </is>
      </c>
      <c r="F1773">
        <f>IMAGE("https://cf.shopee.tw/file/tw-11134207-7ra0i-mbtmn86fu7g90d_tn")</f>
        <v/>
      </c>
    </row>
    <row r="1774">
      <c r="A1774" t="inlineStr">
        <is>
          <t>41207454368</t>
        </is>
      </c>
      <c r="B1774" t="inlineStr">
        <is>
          <t>隔日到貨🔥 iPhone 手機殼 16 15 14 13 12 11 pro Max X XR SE 保護殼 軟殼</t>
        </is>
      </c>
      <c r="C1774">
        <f>IMAGE("https://cf.shopee.tw/file/tw-11134207-7ra0i-mbtmn86fu7g90d_tn")</f>
        <v/>
      </c>
      <c r="D1774" t="inlineStr">
        <is>
          <t>粉絲帶蝴蝶結,11 pro</t>
        </is>
      </c>
      <c r="E1774" t="inlineStr">
        <is>
          <t>280633324561</t>
        </is>
      </c>
      <c r="F1774">
        <f>IMAGE("https://cf.shopee.tw/file/tw-11134207-7ra0i-mbtmn86fu7g90d_tn")</f>
        <v/>
      </c>
    </row>
    <row r="1775">
      <c r="A1775" t="inlineStr">
        <is>
          <t>41207454368</t>
        </is>
      </c>
      <c r="B1775" t="inlineStr">
        <is>
          <t>隔日到貨🔥 iPhone 手機殼 16 15 14 13 12 11 pro Max X XR SE 保護殼 軟殼</t>
        </is>
      </c>
      <c r="C1775">
        <f>IMAGE("https://cf.shopee.tw/file/tw-11134207-7ra0i-mbtmn86fu7g90d_tn")</f>
        <v/>
      </c>
      <c r="D1775" t="inlineStr">
        <is>
          <t>粉絲帶蝴蝶結,11 pro Max</t>
        </is>
      </c>
      <c r="E1775" t="inlineStr">
        <is>
          <t>280633324562</t>
        </is>
      </c>
      <c r="F1775">
        <f>IMAGE("https://cf.shopee.tw/file/tw-11134207-7ra0i-mbtmn86fu7g90d_tn")</f>
        <v/>
      </c>
    </row>
    <row r="1776">
      <c r="A1776" t="inlineStr">
        <is>
          <t>41207454368</t>
        </is>
      </c>
      <c r="B1776" t="inlineStr">
        <is>
          <t>隔日到貨🔥 iPhone 手機殼 16 15 14 13 12 11 pro Max X XR SE 保護殼 軟殼</t>
        </is>
      </c>
      <c r="C1776">
        <f>IMAGE("https://cf.shopee.tw/file/tw-11134207-7ra0i-mbtmn86fu7g90d_tn")</f>
        <v/>
      </c>
      <c r="D1776" t="inlineStr">
        <is>
          <t>粉絲帶蝴蝶結,12</t>
        </is>
      </c>
      <c r="E1776" t="inlineStr">
        <is>
          <t>280633324563</t>
        </is>
      </c>
      <c r="F1776">
        <f>IMAGE("https://cf.shopee.tw/file/tw-11134207-7ra0i-mbtmn86fu7g90d_tn")</f>
        <v/>
      </c>
    </row>
    <row r="1777">
      <c r="A1777" t="inlineStr">
        <is>
          <t>41207454368</t>
        </is>
      </c>
      <c r="B1777" t="inlineStr">
        <is>
          <t>隔日到貨🔥 iPhone 手機殼 16 15 14 13 12 11 pro Max X XR SE 保護殼 軟殼</t>
        </is>
      </c>
      <c r="C1777">
        <f>IMAGE("https://cf.shopee.tw/file/tw-11134207-7ra0i-mbtmn86fu7g90d_tn")</f>
        <v/>
      </c>
      <c r="D1777" t="inlineStr">
        <is>
          <t>粉絲帶蝴蝶結,12 pro</t>
        </is>
      </c>
      <c r="E1777" t="inlineStr">
        <is>
          <t>280633324564</t>
        </is>
      </c>
      <c r="F1777">
        <f>IMAGE("https://cf.shopee.tw/file/tw-11134207-7ra0i-mbtmn86fu7g90d_tn")</f>
        <v/>
      </c>
    </row>
    <row r="1778">
      <c r="A1778" t="inlineStr">
        <is>
          <t>41207454368</t>
        </is>
      </c>
      <c r="B1778" t="inlineStr">
        <is>
          <t>隔日到貨🔥 iPhone 手機殼 16 15 14 13 12 11 pro Max X XR SE 保護殼 軟殼</t>
        </is>
      </c>
      <c r="C1778">
        <f>IMAGE("https://cf.shopee.tw/file/tw-11134207-7ra0i-mbtmn86fu7g90d_tn")</f>
        <v/>
      </c>
      <c r="D1778" t="inlineStr">
        <is>
          <t>粉絲帶蝴蝶結,12 pro Max</t>
        </is>
      </c>
      <c r="E1778" t="inlineStr">
        <is>
          <t>280633324565</t>
        </is>
      </c>
      <c r="F1778">
        <f>IMAGE("https://cf.shopee.tw/file/tw-11134207-7ra0i-mbtmn86fu7g90d_tn")</f>
        <v/>
      </c>
    </row>
    <row r="1779">
      <c r="A1779" t="inlineStr">
        <is>
          <t>41207454368</t>
        </is>
      </c>
      <c r="B1779" t="inlineStr">
        <is>
          <t>隔日到貨🔥 iPhone 手機殼 16 15 14 13 12 11 pro Max X XR SE 保護殼 軟殼</t>
        </is>
      </c>
      <c r="C1779">
        <f>IMAGE("https://cf.shopee.tw/file/tw-11134207-7ra0i-mbtmn86fu7g90d_tn")</f>
        <v/>
      </c>
      <c r="D1779" t="inlineStr">
        <is>
          <t>粉絲帶蝴蝶結,12 mini</t>
        </is>
      </c>
      <c r="E1779" t="inlineStr">
        <is>
          <t>275633329340</t>
        </is>
      </c>
      <c r="F1779">
        <f>IMAGE("https://cf.shopee.tw/file/tw-11134207-7ra0i-mbtmn86fu7g90d_tn")</f>
        <v/>
      </c>
    </row>
    <row r="1780">
      <c r="A1780" t="inlineStr">
        <is>
          <t>41207454368</t>
        </is>
      </c>
      <c r="B1780" t="inlineStr">
        <is>
          <t>隔日到貨🔥 iPhone 手機殼 16 15 14 13 12 11 pro Max X XR SE 保護殼 軟殼</t>
        </is>
      </c>
      <c r="C1780">
        <f>IMAGE("https://cf.shopee.tw/file/tw-11134207-7ra0i-mbtmn86fu7g90d_tn")</f>
        <v/>
      </c>
      <c r="D1780" t="inlineStr">
        <is>
          <t>粉絲帶蝴蝶結,13</t>
        </is>
      </c>
      <c r="E1780" t="inlineStr">
        <is>
          <t>280633324566</t>
        </is>
      </c>
      <c r="F1780">
        <f>IMAGE("https://cf.shopee.tw/file/tw-11134207-7ra0i-mbtmn86fu7g90d_tn")</f>
        <v/>
      </c>
    </row>
    <row r="1781">
      <c r="A1781" t="inlineStr">
        <is>
          <t>41207454368</t>
        </is>
      </c>
      <c r="B1781" t="inlineStr">
        <is>
          <t>隔日到貨🔥 iPhone 手機殼 16 15 14 13 12 11 pro Max X XR SE 保護殼 軟殼</t>
        </is>
      </c>
      <c r="C1781">
        <f>IMAGE("https://cf.shopee.tw/file/tw-11134207-7ra0i-mbtmn86fu7g90d_tn")</f>
        <v/>
      </c>
      <c r="D1781" t="inlineStr">
        <is>
          <t>粉絲帶蝴蝶結,13 pro</t>
        </is>
      </c>
      <c r="E1781" t="inlineStr">
        <is>
          <t>275633329326</t>
        </is>
      </c>
      <c r="F1781">
        <f>IMAGE("https://cf.shopee.tw/file/tw-11134207-7ra0i-mbtmn86fu7g90d_tn")</f>
        <v/>
      </c>
    </row>
    <row r="1782">
      <c r="A1782" t="inlineStr">
        <is>
          <t>41207454368</t>
        </is>
      </c>
      <c r="B1782" t="inlineStr">
        <is>
          <t>隔日到貨🔥 iPhone 手機殼 16 15 14 13 12 11 pro Max X XR SE 保護殼 軟殼</t>
        </is>
      </c>
      <c r="C1782">
        <f>IMAGE("https://cf.shopee.tw/file/tw-11134207-7ra0i-mbtmn86fu7g90d_tn")</f>
        <v/>
      </c>
      <c r="D1782" t="inlineStr">
        <is>
          <t>粉絲帶蝴蝶結,13 pro Max</t>
        </is>
      </c>
      <c r="E1782" t="inlineStr">
        <is>
          <t>275633329327</t>
        </is>
      </c>
      <c r="F1782">
        <f>IMAGE("https://cf.shopee.tw/file/tw-11134207-7ra0i-mbtmn86fu7g90d_tn")</f>
        <v/>
      </c>
    </row>
    <row r="1783">
      <c r="A1783" t="inlineStr">
        <is>
          <t>41207454368</t>
        </is>
      </c>
      <c r="B1783" t="inlineStr">
        <is>
          <t>隔日到貨🔥 iPhone 手機殼 16 15 14 13 12 11 pro Max X XR SE 保護殼 軟殼</t>
        </is>
      </c>
      <c r="C1783">
        <f>IMAGE("https://cf.shopee.tw/file/tw-11134207-7ra0i-mbtmn86fu7g90d_tn")</f>
        <v/>
      </c>
      <c r="D1783" t="inlineStr">
        <is>
          <t>粉絲帶蝴蝶結,13 mini</t>
        </is>
      </c>
      <c r="E1783" t="inlineStr">
        <is>
          <t>275633329341</t>
        </is>
      </c>
      <c r="F1783">
        <f>IMAGE("https://cf.shopee.tw/file/tw-11134207-7ra0i-mbtmn86fu7g90d_tn")</f>
        <v/>
      </c>
    </row>
    <row r="1784">
      <c r="A1784" t="inlineStr">
        <is>
          <t>41207454368</t>
        </is>
      </c>
      <c r="B1784" t="inlineStr">
        <is>
          <t>隔日到貨🔥 iPhone 手機殼 16 15 14 13 12 11 pro Max X XR SE 保護殼 軟殼</t>
        </is>
      </c>
      <c r="C1784">
        <f>IMAGE("https://cf.shopee.tw/file/tw-11134207-7ra0i-mbtmn86fu7g90d_tn")</f>
        <v/>
      </c>
      <c r="D1784" t="inlineStr">
        <is>
          <t>粉絲帶蝴蝶結,14</t>
        </is>
      </c>
      <c r="E1784" t="inlineStr">
        <is>
          <t>275633329328</t>
        </is>
      </c>
      <c r="F1784">
        <f>IMAGE("https://cf.shopee.tw/file/tw-11134207-7ra0i-mbtmn86fu7g90d_tn")</f>
        <v/>
      </c>
    </row>
    <row r="1785">
      <c r="A1785" t="inlineStr">
        <is>
          <t>41207454368</t>
        </is>
      </c>
      <c r="B1785" t="inlineStr">
        <is>
          <t>隔日到貨🔥 iPhone 手機殼 16 15 14 13 12 11 pro Max X XR SE 保護殼 軟殼</t>
        </is>
      </c>
      <c r="C1785">
        <f>IMAGE("https://cf.shopee.tw/file/tw-11134207-7ra0i-mbtmn86fu7g90d_tn")</f>
        <v/>
      </c>
      <c r="D1785" t="inlineStr">
        <is>
          <t>粉絲帶蝴蝶結,14 pro</t>
        </is>
      </c>
      <c r="E1785" t="inlineStr">
        <is>
          <t>275633329329</t>
        </is>
      </c>
      <c r="F1785">
        <f>IMAGE("https://cf.shopee.tw/file/tw-11134207-7ra0i-mbtmn86fu7g90d_tn")</f>
        <v/>
      </c>
    </row>
    <row r="1786">
      <c r="A1786" t="inlineStr">
        <is>
          <t>41207454368</t>
        </is>
      </c>
      <c r="B1786" t="inlineStr">
        <is>
          <t>隔日到貨🔥 iPhone 手機殼 16 15 14 13 12 11 pro Max X XR SE 保護殼 軟殼</t>
        </is>
      </c>
      <c r="C1786">
        <f>IMAGE("https://cf.shopee.tw/file/tw-11134207-7ra0i-mbtmn86fu7g90d_tn")</f>
        <v/>
      </c>
      <c r="D1786" t="inlineStr">
        <is>
          <t>粉絲帶蝴蝶結,14 pro Max</t>
        </is>
      </c>
      <c r="E1786" t="inlineStr"/>
      <c r="F1786">
        <f>IMAGE("https://cf.shopee.tw/file/tw-11134207-7ra0i-mbtmn86fu7g90d_tn")</f>
        <v/>
      </c>
    </row>
    <row r="1787">
      <c r="A1787" t="inlineStr">
        <is>
          <t>41207454368</t>
        </is>
      </c>
      <c r="B1787" t="inlineStr">
        <is>
          <t>隔日到貨🔥 iPhone 手機殼 16 15 14 13 12 11 pro Max X XR SE 保護殼 軟殼</t>
        </is>
      </c>
      <c r="C1787">
        <f>IMAGE("https://cf.shopee.tw/file/tw-11134207-7ra0i-mbtmn86fu7g90d_tn")</f>
        <v/>
      </c>
      <c r="D1787" t="inlineStr">
        <is>
          <t>粉絲帶蝴蝶結,14 Plus</t>
        </is>
      </c>
      <c r="E1787" t="inlineStr">
        <is>
          <t>275633329331</t>
        </is>
      </c>
      <c r="F1787">
        <f>IMAGE("https://cf.shopee.tw/file/tw-11134207-7ra0i-mbtmn86fu7g90d_tn")</f>
        <v/>
      </c>
    </row>
    <row r="1788">
      <c r="A1788" t="inlineStr">
        <is>
          <t>41207454368</t>
        </is>
      </c>
      <c r="B1788" t="inlineStr">
        <is>
          <t>隔日到貨🔥 iPhone 手機殼 16 15 14 13 12 11 pro Max X XR SE 保護殼 軟殼</t>
        </is>
      </c>
      <c r="C1788">
        <f>IMAGE("https://cf.shopee.tw/file/tw-11134207-7ra0i-mbtmn86fu7g90d_tn")</f>
        <v/>
      </c>
      <c r="D1788" t="inlineStr">
        <is>
          <t>粉絲帶蝴蝶結,15</t>
        </is>
      </c>
      <c r="E1788" t="inlineStr">
        <is>
          <t>275633329332</t>
        </is>
      </c>
      <c r="F1788">
        <f>IMAGE("https://cf.shopee.tw/file/tw-11134207-7ra0i-mbtmn86fu7g90d_tn")</f>
        <v/>
      </c>
    </row>
    <row r="1789">
      <c r="A1789" t="inlineStr">
        <is>
          <t>41207454368</t>
        </is>
      </c>
      <c r="B1789" t="inlineStr">
        <is>
          <t>隔日到貨🔥 iPhone 手機殼 16 15 14 13 12 11 pro Max X XR SE 保護殼 軟殼</t>
        </is>
      </c>
      <c r="C1789">
        <f>IMAGE("https://cf.shopee.tw/file/tw-11134207-7ra0i-mbtmn86fu7g90d_tn")</f>
        <v/>
      </c>
      <c r="D1789" t="inlineStr">
        <is>
          <t>粉絲帶蝴蝶結,15 pro</t>
        </is>
      </c>
      <c r="E1789" t="inlineStr">
        <is>
          <t>275633329333</t>
        </is>
      </c>
      <c r="F1789">
        <f>IMAGE("https://cf.shopee.tw/file/tw-11134207-7ra0i-mbtmn86fu7g90d_tn")</f>
        <v/>
      </c>
    </row>
    <row r="1790">
      <c r="A1790" t="inlineStr">
        <is>
          <t>41207454368</t>
        </is>
      </c>
      <c r="B1790" t="inlineStr">
        <is>
          <t>隔日到貨🔥 iPhone 手機殼 16 15 14 13 12 11 pro Max X XR SE 保護殼 軟殼</t>
        </is>
      </c>
      <c r="C1790">
        <f>IMAGE("https://cf.shopee.tw/file/tw-11134207-7ra0i-mbtmn86fu7g90d_tn")</f>
        <v/>
      </c>
      <c r="D1790" t="inlineStr">
        <is>
          <t>粉絲帶蝴蝶結,15 pro Max</t>
        </is>
      </c>
      <c r="E1790" t="inlineStr"/>
      <c r="F1790">
        <f>IMAGE("https://cf.shopee.tw/file/tw-11134207-7ra0i-mbtmn86fu7g90d_tn")</f>
        <v/>
      </c>
    </row>
    <row r="1791">
      <c r="A1791" t="inlineStr">
        <is>
          <t>41207454368</t>
        </is>
      </c>
      <c r="B1791" t="inlineStr">
        <is>
          <t>隔日到貨🔥 iPhone 手機殼 16 15 14 13 12 11 pro Max X XR SE 保護殼 軟殼</t>
        </is>
      </c>
      <c r="C1791">
        <f>IMAGE("https://cf.shopee.tw/file/tw-11134207-7ra0i-mbtmn86fu7g90d_tn")</f>
        <v/>
      </c>
      <c r="D1791" t="inlineStr">
        <is>
          <t>粉絲帶蝴蝶結,15 Plus</t>
        </is>
      </c>
      <c r="E1791" t="inlineStr">
        <is>
          <t>275633329335</t>
        </is>
      </c>
      <c r="F1791">
        <f>IMAGE("https://cf.shopee.tw/file/tw-11134207-7ra0i-mbtmn86fu7g90d_tn")</f>
        <v/>
      </c>
    </row>
    <row r="1792">
      <c r="A1792" t="inlineStr">
        <is>
          <t>41207454368</t>
        </is>
      </c>
      <c r="B1792" t="inlineStr">
        <is>
          <t>隔日到貨🔥 iPhone 手機殼 16 15 14 13 12 11 pro Max X XR SE 保護殼 軟殼</t>
        </is>
      </c>
      <c r="C1792">
        <f>IMAGE("https://cf.shopee.tw/file/tw-11134207-7ra0i-mbtmn86fu7g90d_tn")</f>
        <v/>
      </c>
      <c r="D1792" t="inlineStr">
        <is>
          <t>粉絲帶蝴蝶結,16</t>
        </is>
      </c>
      <c r="E1792" t="inlineStr">
        <is>
          <t>275633329336</t>
        </is>
      </c>
      <c r="F1792">
        <f>IMAGE("https://cf.shopee.tw/file/tw-11134207-7ra0i-mbtmn86fu7g90d_tn")</f>
        <v/>
      </c>
    </row>
    <row r="1793">
      <c r="A1793" t="inlineStr">
        <is>
          <t>41207454368</t>
        </is>
      </c>
      <c r="B1793" t="inlineStr">
        <is>
          <t>隔日到貨🔥 iPhone 手機殼 16 15 14 13 12 11 pro Max X XR SE 保護殼 軟殼</t>
        </is>
      </c>
      <c r="C1793">
        <f>IMAGE("https://cf.shopee.tw/file/tw-11134207-7ra0i-mbtmn86fu7g90d_tn")</f>
        <v/>
      </c>
      <c r="D1793" t="inlineStr">
        <is>
          <t>粉絲帶蝴蝶結,16 pro</t>
        </is>
      </c>
      <c r="E1793" t="inlineStr">
        <is>
          <t>275633329337</t>
        </is>
      </c>
      <c r="F1793">
        <f>IMAGE("https://cf.shopee.tw/file/tw-11134207-7ra0i-mbtmn86fu7g90d_tn")</f>
        <v/>
      </c>
    </row>
    <row r="1794">
      <c r="A1794" t="inlineStr">
        <is>
          <t>41207454368</t>
        </is>
      </c>
      <c r="B1794" t="inlineStr">
        <is>
          <t>隔日到貨🔥 iPhone 手機殼 16 15 14 13 12 11 pro Max X XR SE 保護殼 軟殼</t>
        </is>
      </c>
      <c r="C1794">
        <f>IMAGE("https://cf.shopee.tw/file/tw-11134207-7ra0i-mbtmn86fu7g90d_tn")</f>
        <v/>
      </c>
      <c r="D1794" t="inlineStr">
        <is>
          <t>粉絲帶蝴蝶結,16 pro Max</t>
        </is>
      </c>
      <c r="E1794" t="inlineStr"/>
      <c r="F1794">
        <f>IMAGE("https://cf.shopee.tw/file/tw-11134207-7ra0i-mbtmn86fu7g90d_tn")</f>
        <v/>
      </c>
    </row>
    <row r="1795">
      <c r="A1795" t="inlineStr">
        <is>
          <t>41207454368</t>
        </is>
      </c>
      <c r="B1795" t="inlineStr">
        <is>
          <t>隔日到貨🔥 iPhone 手機殼 16 15 14 13 12 11 pro Max X XR SE 保護殼 軟殼</t>
        </is>
      </c>
      <c r="C1795">
        <f>IMAGE("https://cf.shopee.tw/file/tw-11134207-7ra0i-mbtmn86fu7g90d_tn")</f>
        <v/>
      </c>
      <c r="D1795" t="inlineStr">
        <is>
          <t>粉絲帶蝴蝶結,16 Plus</t>
        </is>
      </c>
      <c r="E1795" t="inlineStr">
        <is>
          <t>275633329339</t>
        </is>
      </c>
      <c r="F1795">
        <f>IMAGE("https://cf.shopee.tw/file/tw-11134207-7ra0i-mbtmn86fu7g90d_tn")</f>
        <v/>
      </c>
    </row>
    <row r="1796">
      <c r="A1796" t="inlineStr">
        <is>
          <t>41207454368</t>
        </is>
      </c>
      <c r="B1796" t="inlineStr">
        <is>
          <t>隔日到貨🔥 iPhone 手機殼 16 15 14 13 12 11 pro Max X XR SE 保護殼 軟殼</t>
        </is>
      </c>
      <c r="C1796">
        <f>IMAGE("https://cf.shopee.tw/file/tw-11134207-7ra0i-mbtmn86fu7g90d_tn")</f>
        <v/>
      </c>
      <c r="D1796" t="inlineStr">
        <is>
          <t>粉絲帶蝴蝶結,17</t>
        </is>
      </c>
      <c r="E1796" t="inlineStr">
        <is>
          <t>395267058251</t>
        </is>
      </c>
      <c r="F1796">
        <f>IMAGE("https://cf.shopee.tw/file/tw-11134207-7ra0i-mbtmn86fu7g90d_tn")</f>
        <v/>
      </c>
    </row>
    <row r="1797">
      <c r="A1797" t="inlineStr">
        <is>
          <t>41207454368</t>
        </is>
      </c>
      <c r="B1797" t="inlineStr">
        <is>
          <t>隔日到貨🔥 iPhone 手機殼 16 15 14 13 12 11 pro Max X XR SE 保護殼 軟殼</t>
        </is>
      </c>
      <c r="C1797">
        <f>IMAGE("https://cf.shopee.tw/file/tw-11134207-7ra0i-mbtmn86fu7g90d_tn")</f>
        <v/>
      </c>
      <c r="D1797" t="inlineStr">
        <is>
          <t>粉絲帶蝴蝶結,17 pro</t>
        </is>
      </c>
      <c r="E1797" t="inlineStr">
        <is>
          <t>395267058252</t>
        </is>
      </c>
      <c r="F1797">
        <f>IMAGE("https://cf.shopee.tw/file/tw-11134207-7ra0i-mbtmn86fu7g90d_tn")</f>
        <v/>
      </c>
    </row>
    <row r="1798">
      <c r="A1798" t="inlineStr">
        <is>
          <t>41207454368</t>
        </is>
      </c>
      <c r="B1798" t="inlineStr">
        <is>
          <t>隔日到貨🔥 iPhone 手機殼 16 15 14 13 12 11 pro Max X XR SE 保護殼 軟殼</t>
        </is>
      </c>
      <c r="C1798">
        <f>IMAGE("https://cf.shopee.tw/file/tw-11134207-7ra0i-mbtmn86fu7g90d_tn")</f>
        <v/>
      </c>
      <c r="D1798" t="inlineStr">
        <is>
          <t>粉絲帶蝴蝶結,17 pro Max</t>
        </is>
      </c>
      <c r="E1798" t="inlineStr">
        <is>
          <t>395267058253</t>
        </is>
      </c>
      <c r="F1798">
        <f>IMAGE("https://cf.shopee.tw/file/tw-11134207-7ra0i-mbtmn86fu7g90d_tn")</f>
        <v/>
      </c>
    </row>
    <row r="1799">
      <c r="A1799" t="inlineStr">
        <is>
          <t>23244459752</t>
        </is>
      </c>
      <c r="B1799" t="inlineStr">
        <is>
          <t>隔日到貨🔥 韓系 帆布袋 B37 帆布包 單肩包 帆布袋 手提袋 單肩包 提袋 環保袋 購物袋 收納包 簡約文青</t>
        </is>
      </c>
      <c r="C1799">
        <f>IMAGE("https://cf.shopee.tw/file/tw-11134207-7qula-lk3sb0f3m4sm89_tn")</f>
        <v/>
      </c>
      <c r="D1799" t="inlineStr">
        <is>
          <t>可愛兔兔</t>
        </is>
      </c>
      <c r="E1799" t="inlineStr"/>
      <c r="F1799">
        <f>IMAGE("https://cf.shopee.tw/file/tw-11134207-7qul2-lhlik3az66ry43_tn")</f>
        <v/>
      </c>
    </row>
    <row r="1800">
      <c r="A1800" t="inlineStr">
        <is>
          <t>23244459752</t>
        </is>
      </c>
      <c r="B1800" t="inlineStr">
        <is>
          <t>隔日到貨🔥 韓系 帆布袋 B37 帆布包 單肩包 帆布袋 手提袋 單肩包 提袋 環保袋 購物袋 收納包 簡約文青</t>
        </is>
      </c>
      <c r="C1800">
        <f>IMAGE("https://cf.shopee.tw/file/tw-11134207-7qula-lk3sb0f3m4sm89_tn")</f>
        <v/>
      </c>
      <c r="D1800" t="inlineStr">
        <is>
          <t>GentleWoman（無吸扣）</t>
        </is>
      </c>
      <c r="E1800" t="inlineStr"/>
      <c r="F1800">
        <f>IMAGE("https://cf.shopee.tw/file/tw-11134207-7qukx-lhlin4pl2i6o6e_tn")</f>
        <v/>
      </c>
    </row>
    <row r="1801">
      <c r="A1801" t="inlineStr">
        <is>
          <t>23244459752</t>
        </is>
      </c>
      <c r="B1801" t="inlineStr">
        <is>
          <t>隔日到貨🔥 韓系 帆布袋 B37 帆布包 單肩包 帆布袋 手提袋 單肩包 提袋 環保袋 購物袋 收納包 簡約文青</t>
        </is>
      </c>
      <c r="C1801">
        <f>IMAGE("https://cf.shopee.tw/file/tw-11134207-7qula-lk3sb0f3m4sm89_tn")</f>
        <v/>
      </c>
      <c r="D1801" t="inlineStr">
        <is>
          <t>Gentlewoman(有吸扣）</t>
        </is>
      </c>
      <c r="E1801" t="inlineStr"/>
      <c r="F1801">
        <f>IMAGE("https://cf.shopee.tw/file/tw-11134207-7qul6-lhlin4pl3wr4ae_tn")</f>
        <v/>
      </c>
    </row>
    <row r="1802">
      <c r="A1802" t="inlineStr">
        <is>
          <t>23244459752</t>
        </is>
      </c>
      <c r="B1802" t="inlineStr">
        <is>
          <t>隔日到貨🔥 韓系 帆布袋 B37 帆布包 單肩包 帆布袋 手提袋 單肩包 提袋 環保袋 購物袋 收納包 簡約文青</t>
        </is>
      </c>
      <c r="C1802">
        <f>IMAGE("https://cf.shopee.tw/file/tw-11134207-7qula-lk3sb0f3m4sm89_tn")</f>
        <v/>
      </c>
      <c r="D1802" t="inlineStr">
        <is>
          <t>古希臘（拉鍊款）</t>
        </is>
      </c>
      <c r="E1802" t="inlineStr"/>
      <c r="F1802">
        <f>IMAGE("https://cf.shopee.tw/file/tw-11134207-7qul2-lhlipz9izsumc9_tn")</f>
        <v/>
      </c>
    </row>
    <row r="1803">
      <c r="A1803" t="inlineStr">
        <is>
          <t>23244459752</t>
        </is>
      </c>
      <c r="B1803" t="inlineStr">
        <is>
          <t>隔日到貨🔥 韓系 帆布袋 B37 帆布包 單肩包 帆布袋 手提袋 單肩包 提袋 環保袋 購物袋 收納包 簡約文青</t>
        </is>
      </c>
      <c r="C1803">
        <f>IMAGE("https://cf.shopee.tw/file/tw-11134207-7qula-lk3sb0f3m4sm89_tn")</f>
        <v/>
      </c>
      <c r="D1803" t="inlineStr">
        <is>
          <t>HELLO RABBIT</t>
        </is>
      </c>
      <c r="E1803" t="inlineStr"/>
      <c r="F1803">
        <f>IMAGE("https://cf.shopee.tw/file/tw-11134207-7qul5-lhlipz9j17f20d_tn")</f>
        <v/>
      </c>
    </row>
    <row r="1804">
      <c r="A1804" t="inlineStr">
        <is>
          <t>23244459752</t>
        </is>
      </c>
      <c r="B1804" t="inlineStr">
        <is>
          <t>隔日到貨🔥 韓系 帆布袋 B37 帆布包 單肩包 帆布袋 手提袋 單肩包 提袋 環保袋 購物袋 收納包 簡約文青</t>
        </is>
      </c>
      <c r="C1804">
        <f>IMAGE("https://cf.shopee.tw/file/tw-11134207-7qula-lk3sb0f3m4sm89_tn")</f>
        <v/>
      </c>
      <c r="D1804" t="inlineStr">
        <is>
          <t>nice ok藍</t>
        </is>
      </c>
      <c r="E1804" t="inlineStr"/>
      <c r="F1804">
        <f>IMAGE("https://cf.shopee.tw/file/tw-11134207-7qul5-lhliqlw5vo9ce4_tn")</f>
        <v/>
      </c>
    </row>
    <row r="1805">
      <c r="A1805" t="inlineStr">
        <is>
          <t>23244459752</t>
        </is>
      </c>
      <c r="B1805" t="inlineStr">
        <is>
          <t>隔日到貨🔥 韓系 帆布袋 B37 帆布包 單肩包 帆布袋 手提袋 單肩包 提袋 環保袋 購物袋 收納包 簡約文青</t>
        </is>
      </c>
      <c r="C1805">
        <f>IMAGE("https://cf.shopee.tw/file/tw-11134207-7qula-lk3sb0f3m4sm89_tn")</f>
        <v/>
      </c>
      <c r="D1805" t="inlineStr">
        <is>
          <t>小熊for you （黑）</t>
        </is>
      </c>
      <c r="E1805" t="inlineStr"/>
      <c r="F1805">
        <f>IMAGE("https://cf.shopee.tw/file/tw-11134207-7qul3-lhliqvp3j7bie4_tn")</f>
        <v/>
      </c>
    </row>
    <row r="1806">
      <c r="A1806" t="inlineStr">
        <is>
          <t>23244459752</t>
        </is>
      </c>
      <c r="B1806" t="inlineStr">
        <is>
          <t>隔日到貨🔥 韓系 帆布袋 B37 帆布包 單肩包 帆布袋 手提袋 單肩包 提袋 環保袋 購物袋 收納包 簡約文青</t>
        </is>
      </c>
      <c r="C1806">
        <f>IMAGE("https://cf.shopee.tw/file/tw-11134207-7qula-lk3sb0f3m4sm89_tn")</f>
        <v/>
      </c>
      <c r="D1806" t="inlineStr">
        <is>
          <t>擁抱狗狗</t>
        </is>
      </c>
      <c r="E1806" t="inlineStr">
        <is>
          <t>167688526092</t>
        </is>
      </c>
      <c r="F1806">
        <f>IMAGE("https://cf.shopee.tw/file/tw-11134207-7qul3-lhlirqt801cee4_tn")</f>
        <v/>
      </c>
    </row>
    <row r="1807">
      <c r="A1807" t="inlineStr">
        <is>
          <t>23244459752</t>
        </is>
      </c>
      <c r="B1807" t="inlineStr">
        <is>
          <t>隔日到貨🔥 韓系 帆布袋 B37 帆布包 單肩包 帆布袋 手提袋 單肩包 提袋 環保袋 購物袋 收納包 簡約文青</t>
        </is>
      </c>
      <c r="C1807">
        <f>IMAGE("https://cf.shopee.tw/file/tw-11134207-7qula-lk3sb0f3m4sm89_tn")</f>
        <v/>
      </c>
      <c r="D1807" t="inlineStr">
        <is>
          <t>手拿麵包熊</t>
        </is>
      </c>
      <c r="E1807" t="inlineStr">
        <is>
          <t>167688526101</t>
        </is>
      </c>
      <c r="F1807">
        <f>IMAGE("https://cf.shopee.tw/file/tw-11134207-7qukw-lhlirqt81fwu14_tn")</f>
        <v/>
      </c>
    </row>
    <row r="1808">
      <c r="A1808" t="inlineStr">
        <is>
          <t>23244459752</t>
        </is>
      </c>
      <c r="B1808" t="inlineStr">
        <is>
          <t>隔日到貨🔥 韓系 帆布袋 B37 帆布包 單肩包 帆布袋 手提袋 單肩包 提袋 環保袋 購物袋 收納包 簡約文青</t>
        </is>
      </c>
      <c r="C1808">
        <f>IMAGE("https://cf.shopee.tw/file/tw-11134207-7qula-lk3sb0f3m4sm89_tn")</f>
        <v/>
      </c>
      <c r="D1808" t="inlineStr">
        <is>
          <t>藍熊</t>
        </is>
      </c>
      <c r="E1808" t="inlineStr">
        <is>
          <t>167688526094</t>
        </is>
      </c>
      <c r="F1808">
        <f>IMAGE("https://cf.shopee.tw/file/tw-11134207-7qul7-lhlflyjifnimc8_tn")</f>
        <v/>
      </c>
    </row>
    <row r="1809">
      <c r="A1809" t="inlineStr">
        <is>
          <t>23244459752</t>
        </is>
      </c>
      <c r="B1809" t="inlineStr">
        <is>
          <t>隔日到貨🔥 韓系 帆布袋 B37 帆布包 單肩包 帆布袋 手提袋 單肩包 提袋 環保袋 購物袋 收納包 簡約文青</t>
        </is>
      </c>
      <c r="C1809">
        <f>IMAGE("https://cf.shopee.tw/file/tw-11134207-7qula-lk3sb0f3m4sm89_tn")</f>
        <v/>
      </c>
      <c r="D1809" t="inlineStr">
        <is>
          <t>黃熊</t>
        </is>
      </c>
      <c r="E1809" t="inlineStr">
        <is>
          <t>167688526082</t>
        </is>
      </c>
      <c r="F1809">
        <f>IMAGE("https://cf.shopee.tw/file/tw-11134207-7qul7-lhlflyjta55c1a_tn")</f>
        <v/>
      </c>
    </row>
    <row r="1810">
      <c r="A1810" t="inlineStr">
        <is>
          <t>23244459752</t>
        </is>
      </c>
      <c r="B1810" t="inlineStr">
        <is>
          <t>隔日到貨🔥 韓系 帆布袋 B37 帆布包 單肩包 帆布袋 手提袋 單肩包 提袋 環保袋 購物袋 收納包 簡約文青</t>
        </is>
      </c>
      <c r="C1810">
        <f>IMAGE("https://cf.shopee.tw/file/tw-11134207-7qula-lk3sb0f3m4sm89_tn")</f>
        <v/>
      </c>
      <c r="D1810" t="inlineStr">
        <is>
          <t>紅熊</t>
        </is>
      </c>
      <c r="E1810" t="inlineStr">
        <is>
          <t>167688526095</t>
        </is>
      </c>
      <c r="F1810">
        <f>IMAGE("https://cf.shopee.tw/file/tw-11134207-7qul9-lhlflyjsuowg26_tn")</f>
        <v/>
      </c>
    </row>
    <row r="1811">
      <c r="A1811" t="inlineStr">
        <is>
          <t>23244459752</t>
        </is>
      </c>
      <c r="B1811" t="inlineStr">
        <is>
          <t>隔日到貨🔥 韓系 帆布袋 B37 帆布包 單肩包 帆布袋 手提袋 單肩包 提袋 環保袋 購物袋 收納包 簡約文青</t>
        </is>
      </c>
      <c r="C1811">
        <f>IMAGE("https://cf.shopee.tw/file/tw-11134207-7qula-lk3sb0f3m4sm89_tn")</f>
        <v/>
      </c>
      <c r="D1811" t="inlineStr">
        <is>
          <t>咖啡熊</t>
        </is>
      </c>
      <c r="E1811" t="inlineStr">
        <is>
          <t>167688526076</t>
        </is>
      </c>
      <c r="F1811">
        <f>IMAGE("https://cf.shopee.tw/file/tw-11134207-7qul1-lhlflyjsf8nkc9_tn")</f>
        <v/>
      </c>
    </row>
    <row r="1812">
      <c r="A1812" t="inlineStr">
        <is>
          <t>23244459752</t>
        </is>
      </c>
      <c r="B1812" t="inlineStr">
        <is>
          <t>隔日到貨🔥 韓系 帆布袋 B37 帆布包 單肩包 帆布袋 手提袋 單肩包 提袋 環保袋 購物袋 收納包 簡約文青</t>
        </is>
      </c>
      <c r="C1812">
        <f>IMAGE("https://cf.shopee.tw/file/tw-11134207-7qula-lk3sb0f3m4sm89_tn")</f>
        <v/>
      </c>
      <c r="D1812" t="inlineStr">
        <is>
          <t>Oft.Paris</t>
        </is>
      </c>
      <c r="E1812" t="inlineStr">
        <is>
          <t>167688526088</t>
        </is>
      </c>
      <c r="F1812">
        <f>IMAGE("https://cf.shopee.tw/file/tw-11134207-7quky-lhlii7gghxam4c_tn")</f>
        <v/>
      </c>
    </row>
    <row r="1813">
      <c r="A1813" t="inlineStr">
        <is>
          <t>23244459752</t>
        </is>
      </c>
      <c r="B1813" t="inlineStr">
        <is>
          <t>隔日到貨🔥 韓系 帆布袋 B37 帆布包 單肩包 帆布袋 手提袋 單肩包 提袋 環保袋 購物袋 收納包 簡約文青</t>
        </is>
      </c>
      <c r="C1813">
        <f>IMAGE("https://cf.shopee.tw/file/tw-11134207-7qula-lk3sb0f3m4sm89_tn")</f>
        <v/>
      </c>
      <c r="D1813" t="inlineStr">
        <is>
          <t>Cafe</t>
        </is>
      </c>
      <c r="E1813" t="inlineStr">
        <is>
          <t>167688526098</t>
        </is>
      </c>
      <c r="F1813">
        <f>IMAGE("https://cf.shopee.tw/file/tw-11134207-7qul5-lhlikb1jvxlabb_tn")</f>
        <v/>
      </c>
    </row>
    <row r="1814">
      <c r="A1814" t="inlineStr">
        <is>
          <t>23244459752</t>
        </is>
      </c>
      <c r="B1814" t="inlineStr">
        <is>
          <t>隔日到貨🔥 韓系 帆布袋 B37 帆布包 單肩包 帆布袋 手提袋 單肩包 提袋 環保袋 購物袋 收納包 簡約文青</t>
        </is>
      </c>
      <c r="C1814">
        <f>IMAGE("https://cf.shopee.tw/file/tw-11134207-7qula-lk3sb0f3m4sm89_tn")</f>
        <v/>
      </c>
      <c r="D1814" t="inlineStr">
        <is>
          <t>空白小手提</t>
        </is>
      </c>
      <c r="E1814" t="inlineStr">
        <is>
          <t>167688526083</t>
        </is>
      </c>
      <c r="F1814">
        <f>IMAGE("https://cf.shopee.tw/file/tw-11134207-7qul5-lk294bxx4swdeb_tn")</f>
        <v/>
      </c>
    </row>
    <row r="1815">
      <c r="A1815" t="inlineStr">
        <is>
          <t>23244459752</t>
        </is>
      </c>
      <c r="B1815" t="inlineStr">
        <is>
          <t>隔日到貨🔥 韓系 帆布袋 B37 帆布包 單肩包 帆布袋 手提袋 單肩包 提袋 環保袋 購物袋 收納包 簡約文青</t>
        </is>
      </c>
      <c r="C1815">
        <f>IMAGE("https://cf.shopee.tw/file/tw-11134207-7qula-lk3sb0f3m4sm89_tn")</f>
        <v/>
      </c>
      <c r="D1815" t="inlineStr">
        <is>
          <t>純黑色小手提</t>
        </is>
      </c>
      <c r="E1815" t="inlineStr"/>
      <c r="F1815">
        <f>IMAGE("https://cf.shopee.tw/file/tw-11134207-7qul3-lk294bxx67gtef_tn")</f>
        <v/>
      </c>
    </row>
    <row r="1816">
      <c r="A1816" t="inlineStr">
        <is>
          <t>23244459752</t>
        </is>
      </c>
      <c r="B1816" t="inlineStr">
        <is>
          <t>隔日到貨🔥 韓系 帆布袋 B37 帆布包 單肩包 帆布袋 手提袋 單肩包 提袋 環保袋 購物袋 收納包 簡約文青</t>
        </is>
      </c>
      <c r="C1816">
        <f>IMAGE("https://cf.shopee.tw/file/tw-11134207-7qula-lk3sb0f3m4sm89_tn")</f>
        <v/>
      </c>
      <c r="D1816" t="inlineStr">
        <is>
          <t>純紫色小手提</t>
        </is>
      </c>
      <c r="E1816" t="inlineStr">
        <is>
          <t>167688526089</t>
        </is>
      </c>
      <c r="F1816">
        <f>IMAGE("https://cf.shopee.tw/file/tw-11134207-7qul2-lhlik3az7lce8e_tn")</f>
        <v/>
      </c>
    </row>
    <row r="1817">
      <c r="A1817" t="inlineStr">
        <is>
          <t>23244459752</t>
        </is>
      </c>
      <c r="B1817" t="inlineStr">
        <is>
          <t>隔日到貨🔥 韓系 帆布袋 B37 帆布包 單肩包 帆布袋 手提袋 單肩包 提袋 環保袋 購物袋 收納包 簡約文青</t>
        </is>
      </c>
      <c r="C1817">
        <f>IMAGE("https://cf.shopee.tw/file/tw-11134207-7qula-lk3sb0f3m4sm89_tn")</f>
        <v/>
      </c>
      <c r="D1817" t="inlineStr">
        <is>
          <t>Sleep 貓</t>
        </is>
      </c>
      <c r="E1817" t="inlineStr">
        <is>
          <t>167688526096</t>
        </is>
      </c>
      <c r="F1817">
        <f>IMAGE("https://cf.shopee.tw/file/tw-11134207-7qul3-lhlii7gggiq6d1_tn")</f>
        <v/>
      </c>
    </row>
    <row r="1818">
      <c r="A1818" t="inlineStr">
        <is>
          <t>23244459752</t>
        </is>
      </c>
      <c r="B1818" t="inlineStr">
        <is>
          <t>隔日到貨🔥 韓系 帆布袋 B37 帆布包 單肩包 帆布袋 手提袋 單肩包 提袋 環保袋 購物袋 收納包 簡約文青</t>
        </is>
      </c>
      <c r="C1818">
        <f>IMAGE("https://cf.shopee.tw/file/tw-11134207-7qula-lk3sb0f3m4sm89_tn")</f>
        <v/>
      </c>
      <c r="D1818" t="inlineStr">
        <is>
          <t>花朵貓</t>
        </is>
      </c>
      <c r="E1818" t="inlineStr">
        <is>
          <t>167688526084</t>
        </is>
      </c>
      <c r="F1818">
        <f>IMAGE("https://cf.shopee.tw/file/tw-11134207-7qul2-lhlilntmgq8e44_tn")</f>
        <v/>
      </c>
    </row>
    <row r="1819">
      <c r="A1819" t="inlineStr">
        <is>
          <t>23244459752</t>
        </is>
      </c>
      <c r="B1819" t="inlineStr">
        <is>
          <t>隔日到貨🔥 韓系 帆布袋 B37 帆布包 單肩包 帆布袋 手提袋 單肩包 提袋 環保袋 購物袋 收納包 簡約文青</t>
        </is>
      </c>
      <c r="C1819">
        <f>IMAGE("https://cf.shopee.tw/file/tw-11134207-7qula-lk3sb0f3m4sm89_tn")</f>
        <v/>
      </c>
      <c r="D1819" t="inlineStr">
        <is>
          <t>彩虹梨包</t>
        </is>
      </c>
      <c r="E1819" t="inlineStr">
        <is>
          <t>167688526091</t>
        </is>
      </c>
      <c r="F1819">
        <f>IMAGE("https://cf.shopee.tw/file/tw-11134207-7qul5-lhliqlw5x2ts80_tn")</f>
        <v/>
      </c>
    </row>
    <row r="1820">
      <c r="A1820" t="inlineStr">
        <is>
          <t>23244459752</t>
        </is>
      </c>
      <c r="B1820" t="inlineStr">
        <is>
          <t>隔日到貨🔥 韓系 帆布袋 B37 帆布包 單肩包 帆布袋 手提袋 單肩包 提袋 環保袋 購物袋 收納包 簡約文青</t>
        </is>
      </c>
      <c r="C1820">
        <f>IMAGE("https://cf.shopee.tw/file/tw-11134207-7qula-lk3sb0f3m4sm89_tn")</f>
        <v/>
      </c>
      <c r="D1820" t="inlineStr">
        <is>
          <t>Yummy 格子</t>
        </is>
      </c>
      <c r="E1820" t="inlineStr"/>
      <c r="F1820">
        <f>IMAGE("https://cf.shopee.tw/file/tw-11134207-7qul2-lhliqvp3klvyb4_tn")</f>
        <v/>
      </c>
    </row>
    <row r="1821">
      <c r="A1821" t="inlineStr">
        <is>
          <t>23244459752</t>
        </is>
      </c>
      <c r="B1821" t="inlineStr">
        <is>
          <t>隔日到貨🔥 韓系 帆布袋 B37 帆布包 單肩包 帆布袋 手提袋 單肩包 提袋 環保袋 購物袋 收納包 簡約文青</t>
        </is>
      </c>
      <c r="C1821">
        <f>IMAGE("https://cf.shopee.tw/file/tw-11134207-7qula-lk3sb0f3m4sm89_tn")</f>
        <v/>
      </c>
      <c r="D1821" t="inlineStr">
        <is>
          <t>胖嘟嘟女孩</t>
        </is>
      </c>
      <c r="E1821" t="inlineStr"/>
      <c r="F1821">
        <f>IMAGE("https://cf.shopee.tw/file/tw-11134207-7quky-lhlir5wgllsg51_tn")</f>
        <v/>
      </c>
    </row>
    <row r="1822">
      <c r="A1822" t="inlineStr">
        <is>
          <t>23244459752</t>
        </is>
      </c>
      <c r="B1822" t="inlineStr">
        <is>
          <t>隔日到貨🔥 韓系 帆布袋 B37 帆布包 單肩包 帆布袋 手提袋 單肩包 提袋 環保袋 購物袋 收納包 簡約文青</t>
        </is>
      </c>
      <c r="C1822">
        <f>IMAGE("https://cf.shopee.tw/file/tw-11134207-7qula-lk3sb0f3m4sm89_tn")</f>
        <v/>
      </c>
      <c r="D1822" t="inlineStr">
        <is>
          <t>零星格</t>
        </is>
      </c>
      <c r="E1822" t="inlineStr">
        <is>
          <t>167688526081</t>
        </is>
      </c>
      <c r="F1822">
        <f>IMAGE("https://cf.shopee.tw/file/tw-11134207-7qul4-lhlircjmx0i64e_tn")</f>
        <v/>
      </c>
    </row>
    <row r="1823">
      <c r="A1823" t="inlineStr">
        <is>
          <t>23244459752</t>
        </is>
      </c>
      <c r="B1823" t="inlineStr">
        <is>
          <t>隔日到貨🔥 韓系 帆布袋 B37 帆布包 單肩包 帆布袋 手提袋 單肩包 提袋 環保袋 購物袋 收納包 簡約文青</t>
        </is>
      </c>
      <c r="C1823">
        <f>IMAGE("https://cf.shopee.tw/file/tw-11134207-7qula-lk3sb0f3m4sm89_tn")</f>
        <v/>
      </c>
      <c r="D1823" t="inlineStr">
        <is>
          <t>小熊 for you (白）</t>
        </is>
      </c>
      <c r="E1823" t="inlineStr"/>
      <c r="F1823">
        <f>IMAGE("https://cf.shopee.tw/file/tw-11134207-7qul6-lhlir5wgn0cw12_tn")</f>
        <v/>
      </c>
    </row>
    <row r="1824">
      <c r="A1824" t="inlineStr">
        <is>
          <t>23244459752</t>
        </is>
      </c>
      <c r="B1824" t="inlineStr">
        <is>
          <t>隔日到貨🔥 韓系 帆布袋 B37 帆布包 單肩包 帆布袋 手提袋 單肩包 提袋 環保袋 購物袋 收納包 簡約文青</t>
        </is>
      </c>
      <c r="C1824">
        <f>IMAGE("https://cf.shopee.tw/file/tw-11134207-7qula-lk3sb0f3m4sm89_tn")</f>
        <v/>
      </c>
      <c r="D1824" t="inlineStr">
        <is>
          <t>小熊 for you （黃）</t>
        </is>
      </c>
      <c r="E1824" t="inlineStr">
        <is>
          <t>167688526093</t>
        </is>
      </c>
      <c r="F1824">
        <f>IMAGE("https://cf.shopee.tw/file/tw-11134207-7qul2-lhlircjmvlxq0c_tn")</f>
        <v/>
      </c>
    </row>
    <row r="1825">
      <c r="A1825" t="inlineStr">
        <is>
          <t>23244459752</t>
        </is>
      </c>
      <c r="B1825" t="inlineStr">
        <is>
          <t>隔日到貨🔥 韓系 帆布袋 B37 帆布包 單肩包 帆布袋 手提袋 單肩包 提袋 環保袋 購物袋 收納包 簡約文青</t>
        </is>
      </c>
      <c r="C1825">
        <f>IMAGE("https://cf.shopee.tw/file/tw-11134207-7qula-lk3sb0f3m4sm89_tn")</f>
        <v/>
      </c>
      <c r="D1825" t="inlineStr">
        <is>
          <t>粉色</t>
        </is>
      </c>
      <c r="E1825" t="inlineStr">
        <is>
          <t>167791945734</t>
        </is>
      </c>
      <c r="F1825">
        <f>IMAGE("https://cf.shopee.tw/file/tw-11134207-7qula-lk29wzg3otvxc8_tn")</f>
        <v/>
      </c>
    </row>
    <row r="1826">
      <c r="A1826" t="inlineStr">
        <is>
          <t>23244459752</t>
        </is>
      </c>
      <c r="B1826" t="inlineStr">
        <is>
          <t>隔日到貨🔥 韓系 帆布袋 B37 帆布包 單肩包 帆布袋 手提袋 單肩包 提袋 環保袋 購物袋 收納包 簡約文青</t>
        </is>
      </c>
      <c r="C1826">
        <f>IMAGE("https://cf.shopee.tw/file/tw-11134207-7qula-lk3sb0f3m4sm89_tn")</f>
        <v/>
      </c>
      <c r="D1826" t="inlineStr">
        <is>
          <t>薑黃</t>
        </is>
      </c>
      <c r="E1826" t="inlineStr"/>
      <c r="F1826">
        <f>IMAGE("https://cf.shopee.tw/file/tw-11134207-7qula-lk29xd4lpivab2_tn")</f>
        <v/>
      </c>
    </row>
    <row r="1827">
      <c r="A1827" t="inlineStr">
        <is>
          <t>28666513407</t>
        </is>
      </c>
      <c r="B1827" t="inlineStr">
        <is>
          <t>隔日到貨🔥 ins 羊毛刺繡字母襪 加厚 襪子 羊毛襪 冬襪 禦寒 長襪 堆堆襪 冬天襪子 保暖襪 中筒襪 女襪</t>
        </is>
      </c>
      <c r="C1827">
        <f>IMAGE("https://cf.shopee.tw/file/tw-11134207-7rasj-m26t4rr2rrut76_tn")</f>
        <v/>
      </c>
      <c r="D1827" t="inlineStr">
        <is>
          <t>黑色</t>
        </is>
      </c>
      <c r="E1827" t="inlineStr">
        <is>
          <t>215526099509</t>
        </is>
      </c>
      <c r="F1827">
        <f>IMAGE("https://cf.shopee.tw/file/tw-11134207-7rasf-m26t4rr2dpga39_tn")</f>
        <v/>
      </c>
    </row>
    <row r="1828">
      <c r="A1828" t="inlineStr">
        <is>
          <t>28666513407</t>
        </is>
      </c>
      <c r="B1828" t="inlineStr">
        <is>
          <t>隔日到貨🔥 ins 羊毛刺繡字母襪 加厚 襪子 羊毛襪 冬襪 禦寒 長襪 堆堆襪 冬天襪子 保暖襪 中筒襪 女襪</t>
        </is>
      </c>
      <c r="C1828">
        <f>IMAGE("https://cf.shopee.tw/file/tw-11134207-7rasj-m26t4rr2rrut76_tn")</f>
        <v/>
      </c>
      <c r="D1828" t="inlineStr">
        <is>
          <t>月白</t>
        </is>
      </c>
      <c r="E1828" t="inlineStr">
        <is>
          <t>215526099510</t>
        </is>
      </c>
      <c r="F1828">
        <f>IMAGE("https://cf.shopee.tw/file/tw-11134207-7rasl-m26t4rr2dq6ddb_tn")</f>
        <v/>
      </c>
    </row>
    <row r="1829">
      <c r="A1829" t="inlineStr">
        <is>
          <t>28666513407</t>
        </is>
      </c>
      <c r="B1829" t="inlineStr">
        <is>
          <t>隔日到貨🔥 ins 羊毛刺繡字母襪 加厚 襪子 羊毛襪 冬襪 禦寒 長襪 堆堆襪 冬天襪子 保暖襪 中筒襪 女襪</t>
        </is>
      </c>
      <c r="C1829">
        <f>IMAGE("https://cf.shopee.tw/file/tw-11134207-7rasj-m26t4rr2rrut76_tn")</f>
        <v/>
      </c>
      <c r="D1829" t="inlineStr">
        <is>
          <t>中奶白</t>
        </is>
      </c>
      <c r="E1829" t="inlineStr">
        <is>
          <t>215526099511</t>
        </is>
      </c>
      <c r="F1829">
        <f>IMAGE("https://cf.shopee.tw/file/tw-11134207-7rasg-m26t4rr2t6f971_tn")</f>
        <v/>
      </c>
    </row>
    <row r="1830">
      <c r="A1830" t="inlineStr">
        <is>
          <t>28666513407</t>
        </is>
      </c>
      <c r="B1830" t="inlineStr">
        <is>
          <t>隔日到貨🔥 ins 羊毛刺繡字母襪 加厚 襪子 羊毛襪 冬襪 禦寒 長襪 堆堆襪 冬天襪子 保暖襪 中筒襪 女襪</t>
        </is>
      </c>
      <c r="C1830">
        <f>IMAGE("https://cf.shopee.tw/file/tw-11134207-7rasj-m26t4rr2rrut76_tn")</f>
        <v/>
      </c>
      <c r="D1830" t="inlineStr">
        <is>
          <t>米杏</t>
        </is>
      </c>
      <c r="E1830" t="inlineStr">
        <is>
          <t>215526099512</t>
        </is>
      </c>
      <c r="F1830">
        <f>IMAGE("https://cf.shopee.tw/file/tw-11134207-7rasa-m26t4rrmeasaad_tn")</f>
        <v/>
      </c>
    </row>
    <row r="1831">
      <c r="A1831" t="inlineStr">
        <is>
          <t>28666513407</t>
        </is>
      </c>
      <c r="B1831" t="inlineStr">
        <is>
          <t>隔日到貨🔥 ins 羊毛刺繡字母襪 加厚 襪子 羊毛襪 冬襪 禦寒 長襪 堆堆襪 冬天襪子 保暖襪 中筒襪 女襪</t>
        </is>
      </c>
      <c r="C1831">
        <f>IMAGE("https://cf.shopee.tw/file/tw-11134207-7rasj-m26t4rr2rrut76_tn")</f>
        <v/>
      </c>
      <c r="D1831" t="inlineStr">
        <is>
          <t>卡其</t>
        </is>
      </c>
      <c r="E1831" t="inlineStr"/>
      <c r="F1831">
        <f>IMAGE("https://cf.shopee.tw/file/tw-11134207-7rasj-m26t7xnzn3fe46_tn")</f>
        <v/>
      </c>
    </row>
    <row r="1832">
      <c r="A1832" t="inlineStr">
        <is>
          <t>28666513407</t>
        </is>
      </c>
      <c r="B1832" t="inlineStr">
        <is>
          <t>隔日到貨🔥 ins 羊毛刺繡字母襪 加厚 襪子 羊毛襪 冬襪 禦寒 長襪 堆堆襪 冬天襪子 保暖襪 中筒襪 女襪</t>
        </is>
      </c>
      <c r="C1832">
        <f>IMAGE("https://cf.shopee.tw/file/tw-11134207-7rasj-m26t4rr2rrut76_tn")</f>
        <v/>
      </c>
      <c r="D1832" t="inlineStr">
        <is>
          <t>咖啡</t>
        </is>
      </c>
      <c r="E1832" t="inlineStr"/>
      <c r="F1832">
        <f>IMAGE("https://cf.shopee.tw/file/tw-11134207-7rasb-m26t7xnzohzu81_tn")</f>
        <v/>
      </c>
    </row>
    <row r="1833">
      <c r="A1833" t="inlineStr">
        <is>
          <t>14526168997</t>
        </is>
      </c>
      <c r="B1833" t="inlineStr">
        <is>
          <t>隔日到貨🔥 手機支架 可折疊 金屬支架 可伸縮 懶人支架 多功能伸縮 手機配件</t>
        </is>
      </c>
      <c r="C1833">
        <f>IMAGE("https://cf.shopee.tw/file/a0118f54f9f5680984f5030b7006546b_tn")</f>
        <v/>
      </c>
      <c r="D1833" t="inlineStr">
        <is>
          <t>少女粉</t>
        </is>
      </c>
      <c r="E1833" t="inlineStr">
        <is>
          <t>151223193435</t>
        </is>
      </c>
      <c r="F1833">
        <f>IMAGE("https://cf.shopee.tw/file/711390c105b4ab7e6fd117b0baacbd0f_tn")</f>
        <v/>
      </c>
    </row>
    <row r="1834">
      <c r="A1834" t="inlineStr">
        <is>
          <t>14526168997</t>
        </is>
      </c>
      <c r="B1834" t="inlineStr">
        <is>
          <t>隔日到貨🔥 手機支架 可折疊 金屬支架 可伸縮 懶人支架 多功能伸縮 手機配件</t>
        </is>
      </c>
      <c r="C1834">
        <f>IMAGE("https://cf.shopee.tw/file/a0118f54f9f5680984f5030b7006546b_tn")</f>
        <v/>
      </c>
      <c r="D1834" t="inlineStr">
        <is>
          <t>珍珠白</t>
        </is>
      </c>
      <c r="E1834" t="inlineStr">
        <is>
          <t>151223193432</t>
        </is>
      </c>
      <c r="F1834">
        <f>IMAGE("https://cf.shopee.tw/file/7128d22ae6c0188e33c0577037f03477_tn")</f>
        <v/>
      </c>
    </row>
    <row r="1835">
      <c r="A1835" t="inlineStr">
        <is>
          <t>14526168997</t>
        </is>
      </c>
      <c r="B1835" t="inlineStr">
        <is>
          <t>隔日到貨🔥 手機支架 可折疊 金屬支架 可伸縮 懶人支架 多功能伸縮 手機配件</t>
        </is>
      </c>
      <c r="C1835">
        <f>IMAGE("https://cf.shopee.tw/file/a0118f54f9f5680984f5030b7006546b_tn")</f>
        <v/>
      </c>
      <c r="D1835" t="inlineStr">
        <is>
          <t>清新綠</t>
        </is>
      </c>
      <c r="E1835" t="inlineStr">
        <is>
          <t>151223193433</t>
        </is>
      </c>
      <c r="F1835">
        <f>IMAGE("https://cf.shopee.tw/file/d31db485630b2b830d0ceb7ffee6bd10_tn")</f>
        <v/>
      </c>
    </row>
    <row r="1836">
      <c r="A1836" t="inlineStr">
        <is>
          <t>14526168997</t>
        </is>
      </c>
      <c r="B1836" t="inlineStr">
        <is>
          <t>隔日到貨🔥 手機支架 可折疊 金屬支架 可伸縮 懶人支架 多功能伸縮 手機配件</t>
        </is>
      </c>
      <c r="C1836">
        <f>IMAGE("https://cf.shopee.tw/file/a0118f54f9f5680984f5030b7006546b_tn")</f>
        <v/>
      </c>
      <c r="D1836" t="inlineStr">
        <is>
          <t>黑色</t>
        </is>
      </c>
      <c r="E1836" t="inlineStr">
        <is>
          <t>151223193434</t>
        </is>
      </c>
      <c r="F1836">
        <f>IMAGE("https://cf.shopee.tw/file/a868f8ad09bbc74e412f4bf88eeb7325_tn")</f>
        <v/>
      </c>
    </row>
    <row r="1837">
      <c r="A1837" t="inlineStr">
        <is>
          <t>14526168997</t>
        </is>
      </c>
      <c r="B1837" t="inlineStr">
        <is>
          <t>隔日到貨🔥 手機支架 可折疊 金屬支架 可伸縮 懶人支架 多功能伸縮 手機配件</t>
        </is>
      </c>
      <c r="C1837">
        <f>IMAGE("https://cf.shopee.tw/file/a0118f54f9f5680984f5030b7006546b_tn")</f>
        <v/>
      </c>
      <c r="D1837" t="inlineStr">
        <is>
          <t>珍珠白—基礎版 (海綿面板)</t>
        </is>
      </c>
      <c r="E1837" t="inlineStr"/>
      <c r="F1837">
        <f>IMAGE("https://cf.shopee.tw/file/c1e507d6ba80f6212ad16f282bd6746b_tn")</f>
        <v/>
      </c>
    </row>
    <row r="1838">
      <c r="A1838" t="inlineStr">
        <is>
          <t>18195479361</t>
        </is>
      </c>
      <c r="B1838" t="inlineStr">
        <is>
          <t>隔日到貨🔥 純色棉襪 女襪 S11 長襪 棉襪 白長襪 中筒襪 襪子 白色襪子 女生襪子 女長襪 襪子女 白襪</t>
        </is>
      </c>
      <c r="C1838">
        <f>IMAGE("https://cf.shopee.tw/file/tw-11134207-7r991-logtdqlcmo6y15_tn")</f>
        <v/>
      </c>
      <c r="D1838" t="inlineStr">
        <is>
          <t>黑色</t>
        </is>
      </c>
      <c r="E1838" t="inlineStr">
        <is>
          <t>194771042428</t>
        </is>
      </c>
      <c r="F1838">
        <f>IMAGE("https://cf.shopee.tw/file/tw-11134207-7r98t-logtgrhx7zbeaa_tn")</f>
        <v/>
      </c>
    </row>
    <row r="1839">
      <c r="A1839" t="inlineStr">
        <is>
          <t>18195479361</t>
        </is>
      </c>
      <c r="B1839" t="inlineStr">
        <is>
          <t>隔日到貨🔥 純色棉襪 女襪 S11 長襪 棉襪 白長襪 中筒襪 襪子 白色襪子 女生襪子 女長襪 襪子女 白襪</t>
        </is>
      </c>
      <c r="C1839">
        <f>IMAGE("https://cf.shopee.tw/file/tw-11134207-7r991-logtdqlcmo6y15_tn")</f>
        <v/>
      </c>
      <c r="D1839" t="inlineStr">
        <is>
          <t>白色</t>
        </is>
      </c>
      <c r="E1839" t="inlineStr">
        <is>
          <t>194771042429</t>
        </is>
      </c>
      <c r="F1839">
        <f>IMAGE("https://cf.shopee.tw/file/tw-11134207-7r98z-logtgrhx9dvu1b_tn")</f>
        <v/>
      </c>
    </row>
    <row r="1840">
      <c r="A1840" t="inlineStr">
        <is>
          <t>18195479361</t>
        </is>
      </c>
      <c r="B1840" t="inlineStr">
        <is>
          <t>隔日到貨🔥 純色棉襪 女襪 S11 長襪 棉襪 白長襪 中筒襪 襪子 白色襪子 女生襪子 女長襪 襪子女 白襪</t>
        </is>
      </c>
      <c r="C1840">
        <f>IMAGE("https://cf.shopee.tw/file/tw-11134207-7r991-logtdqlcmo6y15_tn")</f>
        <v/>
      </c>
      <c r="D1840" t="inlineStr">
        <is>
          <t>奶白</t>
        </is>
      </c>
      <c r="E1840" t="inlineStr">
        <is>
          <t>194771042430</t>
        </is>
      </c>
      <c r="F1840">
        <f>IMAGE("https://cf.shopee.tw/file/tw-11134207-7r98u-logtgx5aycxma9_tn")</f>
        <v/>
      </c>
    </row>
    <row r="1841">
      <c r="A1841" t="inlineStr">
        <is>
          <t>18195479361</t>
        </is>
      </c>
      <c r="B1841" t="inlineStr">
        <is>
          <t>隔日到貨🔥 純色棉襪 女襪 S11 長襪 棉襪 白長襪 中筒襪 襪子 白色襪子 女生襪子 女長襪 襪子女 白襪</t>
        </is>
      </c>
      <c r="C1841">
        <f>IMAGE("https://cf.shopee.tw/file/tw-11134207-7r991-logtdqlcmo6y15_tn")</f>
        <v/>
      </c>
      <c r="D1841" t="inlineStr">
        <is>
          <t>灰色</t>
        </is>
      </c>
      <c r="E1841" t="inlineStr">
        <is>
          <t>204771042427</t>
        </is>
      </c>
      <c r="F1841">
        <f>IMAGE("https://cf.shopee.tw/file/tw-11134207-7r98x-logtgx5azri248_tn")</f>
        <v/>
      </c>
    </row>
    <row r="1842">
      <c r="A1842" t="inlineStr">
        <is>
          <t>18195479361</t>
        </is>
      </c>
      <c r="B1842" t="inlineStr">
        <is>
          <t>隔日到貨🔥 純色棉襪 女襪 S11 長襪 棉襪 白長襪 中筒襪 襪子 白色襪子 女生襪子 女長襪 襪子女 白襪</t>
        </is>
      </c>
      <c r="C1842">
        <f>IMAGE("https://cf.shopee.tw/file/tw-11134207-7r991-logtdqlcmo6y15_tn")</f>
        <v/>
      </c>
      <c r="D1842" t="inlineStr">
        <is>
          <t>粉色</t>
        </is>
      </c>
      <c r="E1842" t="inlineStr">
        <is>
          <t>204771042428</t>
        </is>
      </c>
      <c r="F1842">
        <f>IMAGE("https://cf.shopee.tw/file/tw-11134207-7r98y-logth3zoxsp610_tn")</f>
        <v/>
      </c>
    </row>
    <row r="1843">
      <c r="A1843" t="inlineStr">
        <is>
          <t>11323305339</t>
        </is>
      </c>
      <c r="B1843" t="inlineStr">
        <is>
          <t>隔日到貨🔥 ins風 手機氣囊 多功能指環扣 伸縮折疊 立體氣囊 手機架 適合各手機 氣囊 黏貼式 懶人氣囊</t>
        </is>
      </c>
      <c r="C1843">
        <f>IMAGE("https://cf.shopee.tw/file/6ff26715b88166b2e2f60170741086f8_tn")</f>
        <v/>
      </c>
      <c r="D1843" t="inlineStr">
        <is>
          <t>M78 柚子</t>
        </is>
      </c>
      <c r="E1843" t="inlineStr">
        <is>
          <t>83981116495</t>
        </is>
      </c>
      <c r="F1843">
        <f>IMAGE("https://cf.shopee.tw/file/b825aacae0f6c8e92f9c761de2859f51_tn")</f>
        <v/>
      </c>
    </row>
    <row r="1844">
      <c r="A1844" t="inlineStr">
        <is>
          <t>11323305339</t>
        </is>
      </c>
      <c r="B1844" t="inlineStr">
        <is>
          <t>隔日到貨🔥 ins風 手機氣囊 多功能指環扣 伸縮折疊 立體氣囊 手機架 適合各手機 氣囊 黏貼式 懶人氣囊</t>
        </is>
      </c>
      <c r="C1844">
        <f>IMAGE("https://cf.shopee.tw/file/6ff26715b88166b2e2f60170741086f8_tn")</f>
        <v/>
      </c>
      <c r="D1844" t="inlineStr">
        <is>
          <t>M79 灰色小狗</t>
        </is>
      </c>
      <c r="E1844" t="inlineStr">
        <is>
          <t>83981116499</t>
        </is>
      </c>
      <c r="F1844">
        <f>IMAGE("https://cf.shopee.tw/file/3e686b325dbb56a73709657436984e4d_tn")</f>
        <v/>
      </c>
    </row>
    <row r="1845">
      <c r="A1845" t="inlineStr">
        <is>
          <t>11323305339</t>
        </is>
      </c>
      <c r="B1845" t="inlineStr">
        <is>
          <t>隔日到貨🔥 ins風 手機氣囊 多功能指環扣 伸縮折疊 立體氣囊 手機架 適合各手機 氣囊 黏貼式 懶人氣囊</t>
        </is>
      </c>
      <c r="C1845">
        <f>IMAGE("https://cf.shopee.tw/file/6ff26715b88166b2e2f60170741086f8_tn")</f>
        <v/>
      </c>
      <c r="D1845" t="inlineStr">
        <is>
          <t>M80 小狗</t>
        </is>
      </c>
      <c r="E1845" t="inlineStr">
        <is>
          <t>83981116500</t>
        </is>
      </c>
      <c r="F1845">
        <f>IMAGE("https://cf.shopee.tw/file/0c2d9c87e3e333390f4c6e4396fea873_tn")</f>
        <v/>
      </c>
    </row>
    <row r="1846">
      <c r="A1846" t="inlineStr">
        <is>
          <t>11323305339</t>
        </is>
      </c>
      <c r="B1846" t="inlineStr">
        <is>
          <t>隔日到貨🔥 ins風 手機氣囊 多功能指環扣 伸縮折疊 立體氣囊 手機架 適合各手機 氣囊 黏貼式 懶人氣囊</t>
        </is>
      </c>
      <c r="C1846">
        <f>IMAGE("https://cf.shopee.tw/file/6ff26715b88166b2e2f60170741086f8_tn")</f>
        <v/>
      </c>
      <c r="D1846" t="inlineStr">
        <is>
          <t>M81 帽子查理</t>
        </is>
      </c>
      <c r="E1846" t="inlineStr"/>
      <c r="F1846">
        <f>IMAGE("https://cf.shopee.tw/file/f2cc6a3bb5fde886860af1abec75d3c0_tn")</f>
        <v/>
      </c>
    </row>
    <row r="1847">
      <c r="A1847" t="inlineStr">
        <is>
          <t>11323305339</t>
        </is>
      </c>
      <c r="B1847" t="inlineStr">
        <is>
          <t>隔日到貨🔥 ins風 手機氣囊 多功能指環扣 伸縮折疊 立體氣囊 手機架 適合各手機 氣囊 黏貼式 懶人氣囊</t>
        </is>
      </c>
      <c r="C1847">
        <f>IMAGE("https://cf.shopee.tw/file/6ff26715b88166b2e2f60170741086f8_tn")</f>
        <v/>
      </c>
      <c r="D1847" t="inlineStr">
        <is>
          <t>M82 綠色飛機</t>
        </is>
      </c>
      <c r="E1847" t="inlineStr">
        <is>
          <t>83981116510</t>
        </is>
      </c>
      <c r="F1847">
        <f>IMAGE("https://cf.shopee.tw/file/9ac59b04edb77f27aaf1a6916a2a4de8_tn")</f>
        <v/>
      </c>
    </row>
    <row r="1848">
      <c r="A1848" t="inlineStr">
        <is>
          <t>11323305339</t>
        </is>
      </c>
      <c r="B1848" t="inlineStr">
        <is>
          <t>隔日到貨🔥 ins風 手機氣囊 多功能指環扣 伸縮折疊 立體氣囊 手機架 適合各手機 氣囊 黏貼式 懶人氣囊</t>
        </is>
      </c>
      <c r="C1848">
        <f>IMAGE("https://cf.shopee.tw/file/6ff26715b88166b2e2f60170741086f8_tn")</f>
        <v/>
      </c>
      <c r="D1848" t="inlineStr">
        <is>
          <t>M83 箭頭</t>
        </is>
      </c>
      <c r="E1848" t="inlineStr"/>
      <c r="F1848">
        <f>IMAGE("https://cf.shopee.tw/file/3cec7557e3791734fb0a8171227b3055_tn")</f>
        <v/>
      </c>
    </row>
    <row r="1849">
      <c r="A1849" t="inlineStr">
        <is>
          <t>11323305339</t>
        </is>
      </c>
      <c r="B1849" t="inlineStr">
        <is>
          <t>隔日到貨🔥 ins風 手機氣囊 多功能指環扣 伸縮折疊 立體氣囊 手機架 適合各手機 氣囊 黏貼式 懶人氣囊</t>
        </is>
      </c>
      <c r="C1849">
        <f>IMAGE("https://cf.shopee.tw/file/6ff26715b88166b2e2f60170741086f8_tn")</f>
        <v/>
      </c>
      <c r="D1849" t="inlineStr">
        <is>
          <t>M84 烏龜笑臉</t>
        </is>
      </c>
      <c r="E1849" t="inlineStr"/>
      <c r="F1849">
        <f>IMAGE("https://cf.shopee.tw/file/00f6f998c3631fad0c436b6ea6273558_tn")</f>
        <v/>
      </c>
    </row>
    <row r="1850">
      <c r="A1850" t="inlineStr">
        <is>
          <t>11323305339</t>
        </is>
      </c>
      <c r="B1850" t="inlineStr">
        <is>
          <t>隔日到貨🔥 ins風 手機氣囊 多功能指環扣 伸縮折疊 立體氣囊 手機架 適合各手機 氣囊 黏貼式 懶人氣囊</t>
        </is>
      </c>
      <c r="C1850">
        <f>IMAGE("https://cf.shopee.tw/file/6ff26715b88166b2e2f60170741086f8_tn")</f>
        <v/>
      </c>
      <c r="D1850" t="inlineStr">
        <is>
          <t>M85 白色小狗</t>
        </is>
      </c>
      <c r="E1850" t="inlineStr">
        <is>
          <t>83981116512</t>
        </is>
      </c>
      <c r="F1850">
        <f>IMAGE("https://cf.shopee.tw/file/95f5cb4701f291c12ba9901cf8f00601_tn")</f>
        <v/>
      </c>
    </row>
    <row r="1851">
      <c r="A1851" t="inlineStr">
        <is>
          <t>11323305339</t>
        </is>
      </c>
      <c r="B1851" t="inlineStr">
        <is>
          <t>隔日到貨🔥 ins風 手機氣囊 多功能指環扣 伸縮折疊 立體氣囊 手機架 適合各手機 氣囊 黏貼式 懶人氣囊</t>
        </is>
      </c>
      <c r="C1851">
        <f>IMAGE("https://cf.shopee.tw/file/6ff26715b88166b2e2f60170741086f8_tn")</f>
        <v/>
      </c>
      <c r="D1851" t="inlineStr">
        <is>
          <t>M86 紅色小車</t>
        </is>
      </c>
      <c r="E1851" t="inlineStr">
        <is>
          <t>83981116502</t>
        </is>
      </c>
      <c r="F1851">
        <f>IMAGE("https://cf.shopee.tw/file/069311ecbdbe96d9b2238fc8540b759b_tn")</f>
        <v/>
      </c>
    </row>
    <row r="1852">
      <c r="A1852" t="inlineStr">
        <is>
          <t>11323305339</t>
        </is>
      </c>
      <c r="B1852" t="inlineStr">
        <is>
          <t>隔日到貨🔥 ins風 手機氣囊 多功能指環扣 伸縮折疊 立體氣囊 手機架 適合各手機 氣囊 黏貼式 懶人氣囊</t>
        </is>
      </c>
      <c r="C1852">
        <f>IMAGE("https://cf.shopee.tw/file/6ff26715b88166b2e2f60170741086f8_tn")</f>
        <v/>
      </c>
      <c r="D1852" t="inlineStr">
        <is>
          <t>M87 樹懶小熊</t>
        </is>
      </c>
      <c r="E1852" t="inlineStr">
        <is>
          <t>83981116508</t>
        </is>
      </c>
      <c r="F1852">
        <f>IMAGE("https://cf.shopee.tw/file/2770094ed402efae89997f077f6e9386_tn")</f>
        <v/>
      </c>
    </row>
    <row r="1853">
      <c r="A1853" t="inlineStr">
        <is>
          <t>11323305339</t>
        </is>
      </c>
      <c r="B1853" t="inlineStr">
        <is>
          <t>隔日到貨🔥 ins風 手機氣囊 多功能指環扣 伸縮折疊 立體氣囊 手機架 適合各手機 氣囊 黏貼式 懶人氣囊</t>
        </is>
      </c>
      <c r="C1853">
        <f>IMAGE("https://cf.shopee.tw/file/6ff26715b88166b2e2f60170741086f8_tn")</f>
        <v/>
      </c>
      <c r="D1853" t="inlineStr">
        <is>
          <t>M88 棕色小狗</t>
        </is>
      </c>
      <c r="E1853" t="inlineStr">
        <is>
          <t>83981116507</t>
        </is>
      </c>
      <c r="F1853">
        <f>IMAGE("https://cf.shopee.tw/file/5506090161d274fcda7ec90e5c474a31_tn")</f>
        <v/>
      </c>
    </row>
    <row r="1854">
      <c r="A1854" t="inlineStr">
        <is>
          <t>11323305339</t>
        </is>
      </c>
      <c r="B1854" t="inlineStr">
        <is>
          <t>隔日到貨🔥 ins風 手機氣囊 多功能指環扣 伸縮折疊 立體氣囊 手機架 適合各手機 氣囊 黏貼式 懶人氣囊</t>
        </is>
      </c>
      <c r="C1854">
        <f>IMAGE("https://cf.shopee.tw/file/6ff26715b88166b2e2f60170741086f8_tn")</f>
        <v/>
      </c>
      <c r="D1854" t="inlineStr">
        <is>
          <t>M89 玉米</t>
        </is>
      </c>
      <c r="E1854" t="inlineStr">
        <is>
          <t>83981116517</t>
        </is>
      </c>
      <c r="F1854">
        <f>IMAGE("https://cf.shopee.tw/file/e3a5fd20e23ae492019ddbce04369521_tn")</f>
        <v/>
      </c>
    </row>
    <row r="1855">
      <c r="A1855" t="inlineStr">
        <is>
          <t>11323305339</t>
        </is>
      </c>
      <c r="B1855" t="inlineStr">
        <is>
          <t>隔日到貨🔥 ins風 手機氣囊 多功能指環扣 伸縮折疊 立體氣囊 手機架 適合各手機 氣囊 黏貼式 懶人氣囊</t>
        </is>
      </c>
      <c r="C1855">
        <f>IMAGE("https://cf.shopee.tw/file/6ff26715b88166b2e2f60170741086f8_tn")</f>
        <v/>
      </c>
      <c r="D1855" t="inlineStr">
        <is>
          <t>M90 小栗子</t>
        </is>
      </c>
      <c r="E1855" t="inlineStr">
        <is>
          <t>83981116513</t>
        </is>
      </c>
      <c r="F1855">
        <f>IMAGE("https://cf.shopee.tw/file/1ea8e9984013aa16a42867ed870fa43a_tn")</f>
        <v/>
      </c>
    </row>
    <row r="1856">
      <c r="A1856" t="inlineStr">
        <is>
          <t>11323305339</t>
        </is>
      </c>
      <c r="B1856" t="inlineStr">
        <is>
          <t>隔日到貨🔥 ins風 手機氣囊 多功能指環扣 伸縮折疊 立體氣囊 手機架 適合各手機 氣囊 黏貼式 懶人氣囊</t>
        </is>
      </c>
      <c r="C1856">
        <f>IMAGE("https://cf.shopee.tw/file/6ff26715b88166b2e2f60170741086f8_tn")</f>
        <v/>
      </c>
      <c r="D1856" t="inlineStr">
        <is>
          <t>M91 鬍子爺爺</t>
        </is>
      </c>
      <c r="E1856" t="inlineStr">
        <is>
          <t>83981116514</t>
        </is>
      </c>
      <c r="F1856">
        <f>IMAGE("https://cf.shopee.tw/file/ebae99fb6069335ddd5183a0662ef24c_tn")</f>
        <v/>
      </c>
    </row>
    <row r="1857">
      <c r="A1857" t="inlineStr">
        <is>
          <t>11323305339</t>
        </is>
      </c>
      <c r="B1857" t="inlineStr">
        <is>
          <t>隔日到貨🔥 ins風 手機氣囊 多功能指環扣 伸縮折疊 立體氣囊 手機架 適合各手機 氣囊 黏貼式 懶人氣囊</t>
        </is>
      </c>
      <c r="C1857">
        <f>IMAGE("https://cf.shopee.tw/file/6ff26715b88166b2e2f60170741086f8_tn")</f>
        <v/>
      </c>
      <c r="D1857" t="inlineStr">
        <is>
          <t>M92 石頭像</t>
        </is>
      </c>
      <c r="E1857" t="inlineStr">
        <is>
          <t>83981116515</t>
        </is>
      </c>
      <c r="F1857">
        <f>IMAGE("https://cf.shopee.tw/file/842b66a10ba5c721fa16b0e8ae6aacfc_tn")</f>
        <v/>
      </c>
    </row>
    <row r="1858">
      <c r="A1858" t="inlineStr">
        <is>
          <t>11323305339</t>
        </is>
      </c>
      <c r="B1858" t="inlineStr">
        <is>
          <t>隔日到貨🔥 ins風 手機氣囊 多功能指環扣 伸縮折疊 立體氣囊 手機架 適合各手機 氣囊 黏貼式 懶人氣囊</t>
        </is>
      </c>
      <c r="C1858">
        <f>IMAGE("https://cf.shopee.tw/file/6ff26715b88166b2e2f60170741086f8_tn")</f>
        <v/>
      </c>
      <c r="D1858" t="inlineStr">
        <is>
          <t>M93 小猴子</t>
        </is>
      </c>
      <c r="E1858" t="inlineStr"/>
      <c r="F1858">
        <f>IMAGE("https://cf.shopee.tw/file/054ca604eb799d081cea0b6354b33427_tn")</f>
        <v/>
      </c>
    </row>
    <row r="1859">
      <c r="A1859" t="inlineStr">
        <is>
          <t>11323305339</t>
        </is>
      </c>
      <c r="B1859" t="inlineStr">
        <is>
          <t>隔日到貨🔥 ins風 手機氣囊 多功能指環扣 伸縮折疊 立體氣囊 手機架 適合各手機 氣囊 黏貼式 懶人氣囊</t>
        </is>
      </c>
      <c r="C1859">
        <f>IMAGE("https://cf.shopee.tw/file/6ff26715b88166b2e2f60170741086f8_tn")</f>
        <v/>
      </c>
      <c r="D1859" t="inlineStr">
        <is>
          <t>M94 黃色笑臉</t>
        </is>
      </c>
      <c r="E1859" t="inlineStr">
        <is>
          <t>83981116503</t>
        </is>
      </c>
      <c r="F1859">
        <f>IMAGE("https://cf.shopee.tw/file/fbcf99803a2c49f322762e5f6ee5942f_tn")</f>
        <v/>
      </c>
    </row>
    <row r="1860">
      <c r="A1860" t="inlineStr">
        <is>
          <t>11323305339</t>
        </is>
      </c>
      <c r="B1860" t="inlineStr">
        <is>
          <t>隔日到貨🔥 ins風 手機氣囊 多功能指環扣 伸縮折疊 立體氣囊 手機架 適合各手機 氣囊 黏貼式 懶人氣囊</t>
        </is>
      </c>
      <c r="C1860">
        <f>IMAGE("https://cf.shopee.tw/file/6ff26715b88166b2e2f60170741086f8_tn")</f>
        <v/>
      </c>
      <c r="D1860" t="inlineStr">
        <is>
          <t>M95 黃獅子</t>
        </is>
      </c>
      <c r="E1860" t="inlineStr">
        <is>
          <t>83981116504</t>
        </is>
      </c>
      <c r="F1860">
        <f>IMAGE("https://cf.shopee.tw/file/10e3f8c0bba672a68d01e2baeb289f88_tn")</f>
        <v/>
      </c>
    </row>
    <row r="1861">
      <c r="A1861" t="inlineStr">
        <is>
          <t>11323305339</t>
        </is>
      </c>
      <c r="B1861" t="inlineStr">
        <is>
          <t>隔日到貨🔥 ins風 手機氣囊 多功能指環扣 伸縮折疊 立體氣囊 手機架 適合各手機 氣囊 黏貼式 懶人氣囊</t>
        </is>
      </c>
      <c r="C1861">
        <f>IMAGE("https://cf.shopee.tw/file/6ff26715b88166b2e2f60170741086f8_tn")</f>
        <v/>
      </c>
      <c r="D1861" t="inlineStr">
        <is>
          <t>M96 搞怪笑臉</t>
        </is>
      </c>
      <c r="E1861" t="inlineStr">
        <is>
          <t>83981116505</t>
        </is>
      </c>
      <c r="F1861">
        <f>IMAGE("https://cf.shopee.tw/file/adca229b04e9abb5ce1bf5957421ad3c_tn")</f>
        <v/>
      </c>
    </row>
    <row r="1862">
      <c r="A1862" t="inlineStr">
        <is>
          <t>11323305339</t>
        </is>
      </c>
      <c r="B1862" t="inlineStr">
        <is>
          <t>隔日到貨🔥 ins風 手機氣囊 多功能指環扣 伸縮折疊 立體氣囊 手機架 適合各手機 氣囊 黏貼式 懶人氣囊</t>
        </is>
      </c>
      <c r="C1862">
        <f>IMAGE("https://cf.shopee.tw/file/6ff26715b88166b2e2f60170741086f8_tn")</f>
        <v/>
      </c>
      <c r="D1862" t="inlineStr">
        <is>
          <t>M97 黑色貓咪</t>
        </is>
      </c>
      <c r="E1862" t="inlineStr">
        <is>
          <t>83981116518</t>
        </is>
      </c>
      <c r="F1862">
        <f>IMAGE("https://cf.shopee.tw/file/8e90d49bd3d59a37f49cf507a4b857e2_tn")</f>
        <v/>
      </c>
    </row>
    <row r="1863">
      <c r="A1863" t="inlineStr">
        <is>
          <t>11323305339</t>
        </is>
      </c>
      <c r="B1863" t="inlineStr">
        <is>
          <t>隔日到貨🔥 ins風 手機氣囊 多功能指環扣 伸縮折疊 立體氣囊 手機架 適合各手機 氣囊 黏貼式 懶人氣囊</t>
        </is>
      </c>
      <c r="C1863">
        <f>IMAGE("https://cf.shopee.tw/file/6ff26715b88166b2e2f60170741086f8_tn")</f>
        <v/>
      </c>
      <c r="D1863" t="inlineStr">
        <is>
          <t>M98 黑色笑臉</t>
        </is>
      </c>
      <c r="E1863" t="inlineStr">
        <is>
          <t>83981116498</t>
        </is>
      </c>
      <c r="F1863">
        <f>IMAGE("https://cf.shopee.tw/file/474d6a4339e6b113803f0f56f69f344f_tn")</f>
        <v/>
      </c>
    </row>
    <row r="1864">
      <c r="A1864" t="inlineStr">
        <is>
          <t>11323305339</t>
        </is>
      </c>
      <c r="B1864" t="inlineStr">
        <is>
          <t>隔日到貨🔥 ins風 手機氣囊 多功能指環扣 伸縮折疊 立體氣囊 手機架 適合各手機 氣囊 黏貼式 懶人氣囊</t>
        </is>
      </c>
      <c r="C1864">
        <f>IMAGE("https://cf.shopee.tw/file/6ff26715b88166b2e2f60170741086f8_tn")</f>
        <v/>
      </c>
      <c r="D1864" t="inlineStr">
        <is>
          <t>M99 黑色小豬</t>
        </is>
      </c>
      <c r="E1864" t="inlineStr">
        <is>
          <t>83981116516</t>
        </is>
      </c>
      <c r="F1864">
        <f>IMAGE("https://cf.shopee.tw/file/b9e9edb32524c5e0da4be100dfe6b9a8_tn")</f>
        <v/>
      </c>
    </row>
    <row r="1865">
      <c r="A1865" t="inlineStr">
        <is>
          <t>11323305339</t>
        </is>
      </c>
      <c r="B1865" t="inlineStr">
        <is>
          <t>隔日到貨🔥 ins風 手機氣囊 多功能指環扣 伸縮折疊 立體氣囊 手機架 適合各手機 氣囊 黏貼式 懶人氣囊</t>
        </is>
      </c>
      <c r="C1865">
        <f>IMAGE("https://cf.shopee.tw/file/6ff26715b88166b2e2f60170741086f8_tn")</f>
        <v/>
      </c>
      <c r="D1865" t="inlineStr">
        <is>
          <t>M100 黃色小狗</t>
        </is>
      </c>
      <c r="E1865" t="inlineStr">
        <is>
          <t>83981116497</t>
        </is>
      </c>
      <c r="F1865">
        <f>IMAGE("https://cf.shopee.tw/file/517f41006ec5066980c407dc43ddcc7c_tn")</f>
        <v/>
      </c>
    </row>
    <row r="1866">
      <c r="A1866" t="inlineStr">
        <is>
          <t>11323305339</t>
        </is>
      </c>
      <c r="B1866" t="inlineStr">
        <is>
          <t>隔日到貨🔥 ins風 手機氣囊 多功能指環扣 伸縮折疊 立體氣囊 手機架 適合各手機 氣囊 黏貼式 懶人氣囊</t>
        </is>
      </c>
      <c r="C1866">
        <f>IMAGE("https://cf.shopee.tw/file/6ff26715b88166b2e2f60170741086f8_tn")</f>
        <v/>
      </c>
      <c r="D1866" t="inlineStr">
        <is>
          <t>M101 白色笑臉</t>
        </is>
      </c>
      <c r="E1866" t="inlineStr">
        <is>
          <t>83981116506</t>
        </is>
      </c>
      <c r="F1866">
        <f>IMAGE("https://cf.shopee.tw/file/36d7143cd6e56376065f8a788c46392e_tn")</f>
        <v/>
      </c>
    </row>
    <row r="1867">
      <c r="A1867" t="inlineStr">
        <is>
          <t>26152982998</t>
        </is>
      </c>
      <c r="B1867" t="inlineStr">
        <is>
          <t>隔日到貨🔥 韓版 摺疊化妝鏡 鏡子 小鏡子 迷你鏡子 隨身鏡 化妝鏡 桌上鏡 立鏡 補妝鏡子</t>
        </is>
      </c>
      <c r="C1867">
        <f>IMAGE("https://cf.shopee.tw/file/tw-11134207-7r98y-lwrds23adlba31_tn")</f>
        <v/>
      </c>
      <c r="D1867" t="inlineStr">
        <is>
          <t>白熊,小款</t>
        </is>
      </c>
      <c r="E1867" t="inlineStr"/>
      <c r="F1867">
        <f>IMAGE("https://cf.shopee.tw/file/tw-11134207-7r98t-lwrd8yckudd2c1_tn")</f>
        <v/>
      </c>
    </row>
    <row r="1868">
      <c r="A1868" t="inlineStr">
        <is>
          <t>26152982998</t>
        </is>
      </c>
      <c r="B1868" t="inlineStr">
        <is>
          <t>隔日到貨🔥 韓版 摺疊化妝鏡 鏡子 小鏡子 迷你鏡子 隨身鏡 化妝鏡 桌上鏡 立鏡 補妝鏡子</t>
        </is>
      </c>
      <c r="C1868">
        <f>IMAGE("https://cf.shopee.tw/file/tw-11134207-7r98y-lwrds23adlba31_tn")</f>
        <v/>
      </c>
      <c r="D1868" t="inlineStr">
        <is>
          <t>藍色蝴蝶結,大款</t>
        </is>
      </c>
      <c r="E1868" t="inlineStr">
        <is>
          <t>256057205690</t>
        </is>
      </c>
      <c r="F1868">
        <f>IMAGE("https://cf.shopee.tw/file/tw-11134207-7r98y-lwrdbn8b13ja36_tn")</f>
        <v/>
      </c>
    </row>
    <row r="1869">
      <c r="A1869" t="inlineStr">
        <is>
          <t>26152982998</t>
        </is>
      </c>
      <c r="B1869" t="inlineStr">
        <is>
          <t>隔日到貨🔥 韓版 摺疊化妝鏡 鏡子 小鏡子 迷你鏡子 隨身鏡 化妝鏡 桌上鏡 立鏡 補妝鏡子</t>
        </is>
      </c>
      <c r="C1869">
        <f>IMAGE("https://cf.shopee.tw/file/tw-11134207-7r98y-lwrds23adlba31_tn")</f>
        <v/>
      </c>
      <c r="D1869" t="inlineStr">
        <is>
          <t>棕熊,大款</t>
        </is>
      </c>
      <c r="E1869" t="inlineStr"/>
      <c r="F1869">
        <f>IMAGE("https://cf.shopee.tw/file/tw-11134207-7r98w-lwrdbn8b2i3q6d_tn")</f>
        <v/>
      </c>
    </row>
    <row r="1870">
      <c r="A1870" t="inlineStr">
        <is>
          <t>26152982998</t>
        </is>
      </c>
      <c r="B1870" t="inlineStr">
        <is>
          <t>隔日到貨🔥 韓版 摺疊化妝鏡 鏡子 小鏡子 迷你鏡子 隨身鏡 化妝鏡 桌上鏡 立鏡 補妝鏡子</t>
        </is>
      </c>
      <c r="C1870">
        <f>IMAGE("https://cf.shopee.tw/file/tw-11134207-7r98y-lwrds23adlba31_tn")</f>
        <v/>
      </c>
      <c r="D1870" t="inlineStr">
        <is>
          <t>鬱金香小兔,小款</t>
        </is>
      </c>
      <c r="E1870" t="inlineStr"/>
      <c r="F1870">
        <f>IMAGE("https://cf.shopee.tw/file/tw-11134207-7r98y-lwrdca6vfigg75_tn")</f>
        <v/>
      </c>
    </row>
    <row r="1871">
      <c r="A1871" t="inlineStr">
        <is>
          <t>26152982998</t>
        </is>
      </c>
      <c r="B1871" t="inlineStr">
        <is>
          <t>隔日到貨🔥 韓版 摺疊化妝鏡 鏡子 小鏡子 迷你鏡子 隨身鏡 化妝鏡 桌上鏡 立鏡 補妝鏡子</t>
        </is>
      </c>
      <c r="C1871">
        <f>IMAGE("https://cf.shopee.tw/file/tw-11134207-7r98y-lwrds23adlba31_tn")</f>
        <v/>
      </c>
      <c r="D1871" t="inlineStr">
        <is>
          <t>鬱金香小兔,大款</t>
        </is>
      </c>
      <c r="E1871" t="inlineStr"/>
      <c r="F1871">
        <f>IMAGE("https://cf.shopee.tw/file/tw-11134207-7r98y-lwrdca6vfigg75_tn")</f>
        <v/>
      </c>
    </row>
    <row r="1872">
      <c r="A1872" t="inlineStr">
        <is>
          <t>26152982998</t>
        </is>
      </c>
      <c r="B1872" t="inlineStr">
        <is>
          <t>隔日到貨🔥 韓版 摺疊化妝鏡 鏡子 小鏡子 迷你鏡子 隨身鏡 化妝鏡 桌上鏡 立鏡 補妝鏡子</t>
        </is>
      </c>
      <c r="C1872">
        <f>IMAGE("https://cf.shopee.tw/file/tw-11134207-7r98y-lwrds23adlba31_tn")</f>
        <v/>
      </c>
      <c r="D1872" t="inlineStr">
        <is>
          <t>格子鬱金香,小款</t>
        </is>
      </c>
      <c r="E1872" t="inlineStr"/>
      <c r="F1872">
        <f>IMAGE("https://cf.shopee.tw/file/tw-11134207-7r992-lwrdca6vgx0w9c_tn")</f>
        <v/>
      </c>
    </row>
    <row r="1873">
      <c r="A1873" t="inlineStr">
        <is>
          <t>26152982998</t>
        </is>
      </c>
      <c r="B1873" t="inlineStr">
        <is>
          <t>隔日到貨🔥 韓版 摺疊化妝鏡 鏡子 小鏡子 迷你鏡子 隨身鏡 化妝鏡 桌上鏡 立鏡 補妝鏡子</t>
        </is>
      </c>
      <c r="C1873">
        <f>IMAGE("https://cf.shopee.tw/file/tw-11134207-7r98y-lwrds23adlba31_tn")</f>
        <v/>
      </c>
      <c r="D1873" t="inlineStr">
        <is>
          <t>黑底粉色碎花鏡子,小款</t>
        </is>
      </c>
      <c r="E1873" t="inlineStr">
        <is>
          <t>256057205685</t>
        </is>
      </c>
      <c r="F1873">
        <f>IMAGE("https://cf.shopee.tw/file/tw-11134207-7r98y-lwrdfqwixgdife_tn")</f>
        <v/>
      </c>
    </row>
    <row r="1874">
      <c r="A1874" t="inlineStr">
        <is>
          <t>26152982998</t>
        </is>
      </c>
      <c r="B1874" t="inlineStr">
        <is>
          <t>隔日到貨🔥 韓版 摺疊化妝鏡 鏡子 小鏡子 迷你鏡子 隨身鏡 化妝鏡 桌上鏡 立鏡 補妝鏡子</t>
        </is>
      </c>
      <c r="C1874">
        <f>IMAGE("https://cf.shopee.tw/file/tw-11134207-7r98y-lwrds23adlba31_tn")</f>
        <v/>
      </c>
      <c r="D1874" t="inlineStr">
        <is>
          <t>黑底粉色碎花鏡子,大款</t>
        </is>
      </c>
      <c r="E1874" t="inlineStr">
        <is>
          <t>256057205686</t>
        </is>
      </c>
      <c r="F1874">
        <f>IMAGE("https://cf.shopee.tw/file/tw-11134207-7r98y-lwrdfqwixgdife_tn")</f>
        <v/>
      </c>
    </row>
    <row r="1875">
      <c r="A1875" t="inlineStr">
        <is>
          <t>26152982998</t>
        </is>
      </c>
      <c r="B1875" t="inlineStr">
        <is>
          <t>隔日到貨🔥 韓版 摺疊化妝鏡 鏡子 小鏡子 迷你鏡子 隨身鏡 化妝鏡 桌上鏡 立鏡 補妝鏡子</t>
        </is>
      </c>
      <c r="C1875">
        <f>IMAGE("https://cf.shopee.tw/file/tw-11134207-7r98y-lwrds23adlba31_tn")</f>
        <v/>
      </c>
      <c r="D1875" t="inlineStr">
        <is>
          <t>白熊,大款</t>
        </is>
      </c>
      <c r="E1875" t="inlineStr">
        <is>
          <t>256057205688</t>
        </is>
      </c>
      <c r="F1875">
        <f>IMAGE("https://cf.shopee.tw/file/tw-11134207-7r98t-lwrd8yckudd2c1_tn")</f>
        <v/>
      </c>
    </row>
    <row r="1876">
      <c r="A1876" t="inlineStr">
        <is>
          <t>26152982998</t>
        </is>
      </c>
      <c r="B1876" t="inlineStr">
        <is>
          <t>隔日到貨🔥 韓版 摺疊化妝鏡 鏡子 小鏡子 迷你鏡子 隨身鏡 化妝鏡 桌上鏡 立鏡 補妝鏡子</t>
        </is>
      </c>
      <c r="C1876">
        <f>IMAGE("https://cf.shopee.tw/file/tw-11134207-7r98y-lwrds23adlba31_tn")</f>
        <v/>
      </c>
      <c r="D1876" t="inlineStr">
        <is>
          <t>藍色蝴蝶結,小款</t>
        </is>
      </c>
      <c r="E1876" t="inlineStr">
        <is>
          <t>256057205689</t>
        </is>
      </c>
      <c r="F1876">
        <f>IMAGE("https://cf.shopee.tw/file/tw-11134207-7r98y-lwrdbn8b13ja36_tn")</f>
        <v/>
      </c>
    </row>
    <row r="1877">
      <c r="A1877" t="inlineStr">
        <is>
          <t>26152982998</t>
        </is>
      </c>
      <c r="B1877" t="inlineStr">
        <is>
          <t>隔日到貨🔥 韓版 摺疊化妝鏡 鏡子 小鏡子 迷你鏡子 隨身鏡 化妝鏡 桌上鏡 立鏡 補妝鏡子</t>
        </is>
      </c>
      <c r="C1877">
        <f>IMAGE("https://cf.shopee.tw/file/tw-11134207-7r98y-lwrds23adlba31_tn")</f>
        <v/>
      </c>
      <c r="D1877" t="inlineStr">
        <is>
          <t>棕熊,小款</t>
        </is>
      </c>
      <c r="E1877" t="inlineStr">
        <is>
          <t>256057205691</t>
        </is>
      </c>
      <c r="F1877">
        <f>IMAGE("https://cf.shopee.tw/file/tw-11134207-7r98w-lwrdbn8b2i3q6d_tn")</f>
        <v/>
      </c>
    </row>
    <row r="1878">
      <c r="A1878" t="inlineStr">
        <is>
          <t>26152982998</t>
        </is>
      </c>
      <c r="B1878" t="inlineStr">
        <is>
          <t>隔日到貨🔥 韓版 摺疊化妝鏡 鏡子 小鏡子 迷你鏡子 隨身鏡 化妝鏡 桌上鏡 立鏡 補妝鏡子</t>
        </is>
      </c>
      <c r="C1878">
        <f>IMAGE("https://cf.shopee.tw/file/tw-11134207-7r98y-lwrds23adlba31_tn")</f>
        <v/>
      </c>
      <c r="D1878" t="inlineStr">
        <is>
          <t>格子鬱金香,大款</t>
        </is>
      </c>
      <c r="E1878" t="inlineStr">
        <is>
          <t>256057205696</t>
        </is>
      </c>
      <c r="F1878">
        <f>IMAGE("https://cf.shopee.tw/file/tw-11134207-7r992-lwrdca6vgx0w9c_tn")</f>
        <v/>
      </c>
    </row>
    <row r="1879">
      <c r="A1879" t="inlineStr">
        <is>
          <t>26152982998</t>
        </is>
      </c>
      <c r="B1879" t="inlineStr">
        <is>
          <t>隔日到貨🔥 韓版 摺疊化妝鏡 鏡子 小鏡子 迷你鏡子 隨身鏡 化妝鏡 桌上鏡 立鏡 補妝鏡子</t>
        </is>
      </c>
      <c r="C1879">
        <f>IMAGE("https://cf.shopee.tw/file/tw-11134207-7r98y-lwrds23adlba31_tn")</f>
        <v/>
      </c>
      <c r="D1879" t="inlineStr">
        <is>
          <t>粉色蝴蝶結,小款</t>
        </is>
      </c>
      <c r="E1879" t="inlineStr">
        <is>
          <t>256057205697</t>
        </is>
      </c>
      <c r="F1879">
        <f>IMAGE("https://cf.shopee.tw/file/tw-11134207-7r98o-lwrds23aezvq66_tn")</f>
        <v/>
      </c>
    </row>
    <row r="1880">
      <c r="A1880" t="inlineStr">
        <is>
          <t>26152982998</t>
        </is>
      </c>
      <c r="B1880" t="inlineStr">
        <is>
          <t>隔日到貨🔥 韓版 摺疊化妝鏡 鏡子 小鏡子 迷你鏡子 隨身鏡 化妝鏡 桌上鏡 立鏡 補妝鏡子</t>
        </is>
      </c>
      <c r="C1880">
        <f>IMAGE("https://cf.shopee.tw/file/tw-11134207-7r98y-lwrds23adlba31_tn")</f>
        <v/>
      </c>
      <c r="D1880" t="inlineStr">
        <is>
          <t>粉色蝴蝶結,大款</t>
        </is>
      </c>
      <c r="E1880" t="inlineStr">
        <is>
          <t>256057205698</t>
        </is>
      </c>
      <c r="F1880">
        <f>IMAGE("https://cf.shopee.tw/file/tw-11134207-7r98o-lwrds23aezvq66_tn")</f>
        <v/>
      </c>
    </row>
    <row r="1881">
      <c r="A1881" t="inlineStr">
        <is>
          <t>26152982998</t>
        </is>
      </c>
      <c r="B1881" t="inlineStr">
        <is>
          <t>隔日到貨🔥 韓版 摺疊化妝鏡 鏡子 小鏡子 迷你鏡子 隨身鏡 化妝鏡 桌上鏡 立鏡 補妝鏡子</t>
        </is>
      </c>
      <c r="C1881">
        <f>IMAGE("https://cf.shopee.tw/file/tw-11134207-7r98y-lwrds23adlba31_tn")</f>
        <v/>
      </c>
      <c r="D1881" t="inlineStr">
        <is>
          <t>黑底藍色碎花,小款</t>
        </is>
      </c>
      <c r="E1881" t="inlineStr">
        <is>
          <t>256057205699</t>
        </is>
      </c>
      <c r="F1881">
        <f>IMAGE("https://cf.shopee.tw/file/tw-11134207-7r98r-lwrdclqikoiua7_tn")</f>
        <v/>
      </c>
    </row>
    <row r="1882">
      <c r="A1882" t="inlineStr">
        <is>
          <t>26152982998</t>
        </is>
      </c>
      <c r="B1882" t="inlineStr">
        <is>
          <t>隔日到貨🔥 韓版 摺疊化妝鏡 鏡子 小鏡子 迷你鏡子 隨身鏡 化妝鏡 桌上鏡 立鏡 補妝鏡子</t>
        </is>
      </c>
      <c r="C1882">
        <f>IMAGE("https://cf.shopee.tw/file/tw-11134207-7r98y-lwrds23adlba31_tn")</f>
        <v/>
      </c>
      <c r="D1882" t="inlineStr">
        <is>
          <t>黑底藍色碎花,大款</t>
        </is>
      </c>
      <c r="E1882" t="inlineStr">
        <is>
          <t>256057205700</t>
        </is>
      </c>
      <c r="F1882">
        <f>IMAGE("https://cf.shopee.tw/file/tw-11134207-7r98r-lwrdclqikoiua7_tn")</f>
        <v/>
      </c>
    </row>
    <row r="1883">
      <c r="A1883" t="inlineStr">
        <is>
          <t>26152982998</t>
        </is>
      </c>
      <c r="B1883" t="inlineStr">
        <is>
          <t>隔日到貨🔥 韓版 摺疊化妝鏡 鏡子 小鏡子 迷你鏡子 隨身鏡 化妝鏡 桌上鏡 立鏡 補妝鏡子</t>
        </is>
      </c>
      <c r="C1883">
        <f>IMAGE("https://cf.shopee.tw/file/tw-11134207-7r98y-lwrds23adlba31_tn")</f>
        <v/>
      </c>
      <c r="D1883" t="inlineStr">
        <is>
          <t>白底藍色碎花,小款</t>
        </is>
      </c>
      <c r="E1883" t="inlineStr">
        <is>
          <t>256057205701</t>
        </is>
      </c>
      <c r="F1883">
        <f>IMAGE("https://cf.shopee.tw/file/tw-11134207-7r992-lwrdcublyy4053_tn")</f>
        <v/>
      </c>
    </row>
    <row r="1884">
      <c r="A1884" t="inlineStr">
        <is>
          <t>26152982998</t>
        </is>
      </c>
      <c r="B1884" t="inlineStr">
        <is>
          <t>隔日到貨🔥 韓版 摺疊化妝鏡 鏡子 小鏡子 迷你鏡子 隨身鏡 化妝鏡 桌上鏡 立鏡 補妝鏡子</t>
        </is>
      </c>
      <c r="C1884">
        <f>IMAGE("https://cf.shopee.tw/file/tw-11134207-7r98y-lwrds23adlba31_tn")</f>
        <v/>
      </c>
      <c r="D1884" t="inlineStr">
        <is>
          <t>白底藍色碎花,大款</t>
        </is>
      </c>
      <c r="E1884" t="inlineStr">
        <is>
          <t>256057205702</t>
        </is>
      </c>
      <c r="F1884">
        <f>IMAGE("https://cf.shopee.tw/file/tw-11134207-7r992-lwrdcublyy4053_tn")</f>
        <v/>
      </c>
    </row>
    <row r="1885">
      <c r="A1885" t="inlineStr">
        <is>
          <t>26152982998</t>
        </is>
      </c>
      <c r="B1885" t="inlineStr">
        <is>
          <t>隔日到貨🔥 韓版 摺疊化妝鏡 鏡子 小鏡子 迷你鏡子 隨身鏡 化妝鏡 桌上鏡 立鏡 補妝鏡子</t>
        </is>
      </c>
      <c r="C1885">
        <f>IMAGE("https://cf.shopee.tw/file/tw-11134207-7r98y-lwrds23adlba31_tn")</f>
        <v/>
      </c>
      <c r="D1885" t="inlineStr">
        <is>
          <t>白底粉色碎花,小款</t>
        </is>
      </c>
      <c r="E1885" t="inlineStr">
        <is>
          <t>256057205703</t>
        </is>
      </c>
      <c r="F1885">
        <f>IMAGE("https://cf.shopee.tw/file/tw-11134207-7r990-lwrdcubm0cog99_tn")</f>
        <v/>
      </c>
    </row>
    <row r="1886">
      <c r="A1886" t="inlineStr">
        <is>
          <t>26152982998</t>
        </is>
      </c>
      <c r="B1886" t="inlineStr">
        <is>
          <t>隔日到貨🔥 韓版 摺疊化妝鏡 鏡子 小鏡子 迷你鏡子 隨身鏡 化妝鏡 桌上鏡 立鏡 補妝鏡子</t>
        </is>
      </c>
      <c r="C1886">
        <f>IMAGE("https://cf.shopee.tw/file/tw-11134207-7r98y-lwrds23adlba31_tn")</f>
        <v/>
      </c>
      <c r="D1886" t="inlineStr">
        <is>
          <t>白底粉色碎花,大款</t>
        </is>
      </c>
      <c r="E1886" t="inlineStr">
        <is>
          <t>256057205704</t>
        </is>
      </c>
      <c r="F1886">
        <f>IMAGE("https://cf.shopee.tw/file/tw-11134207-7r990-lwrdcubm0cog99_tn")</f>
        <v/>
      </c>
    </row>
    <row r="1887">
      <c r="A1887" t="inlineStr">
        <is>
          <t>26152982998</t>
        </is>
      </c>
      <c r="B1887" t="inlineStr">
        <is>
          <t>隔日到貨🔥 韓版 摺疊化妝鏡 鏡子 小鏡子 迷你鏡子 隨身鏡 化妝鏡 桌上鏡 立鏡 補妝鏡子</t>
        </is>
      </c>
      <c r="C1887">
        <f>IMAGE("https://cf.shopee.tw/file/tw-11134207-7r98y-lwrds23adlba31_tn")</f>
        <v/>
      </c>
      <c r="D1887" t="inlineStr">
        <is>
          <t>白色,小款</t>
        </is>
      </c>
      <c r="E1887" t="inlineStr">
        <is>
          <t>256057205705</t>
        </is>
      </c>
      <c r="F1887">
        <f>IMAGE("https://cf.shopee.tw/file/tw-11134207-7r990-lwrdd3d2qo86c8_tn")</f>
        <v/>
      </c>
    </row>
    <row r="1888">
      <c r="A1888" t="inlineStr">
        <is>
          <t>26152982998</t>
        </is>
      </c>
      <c r="B1888" t="inlineStr">
        <is>
          <t>隔日到貨🔥 韓版 摺疊化妝鏡 鏡子 小鏡子 迷你鏡子 隨身鏡 化妝鏡 桌上鏡 立鏡 補妝鏡子</t>
        </is>
      </c>
      <c r="C1888">
        <f>IMAGE("https://cf.shopee.tw/file/tw-11134207-7r98y-lwrds23adlba31_tn")</f>
        <v/>
      </c>
      <c r="D1888" t="inlineStr">
        <is>
          <t>白色,大款</t>
        </is>
      </c>
      <c r="E1888" t="inlineStr">
        <is>
          <t>256057205706</t>
        </is>
      </c>
      <c r="F1888">
        <f>IMAGE("https://cf.shopee.tw/file/tw-11134207-7r990-lwrdd3d2qo86c8_tn")</f>
        <v/>
      </c>
    </row>
    <row r="1889">
      <c r="A1889" t="inlineStr">
        <is>
          <t>26152982998</t>
        </is>
      </c>
      <c r="B1889" t="inlineStr">
        <is>
          <t>隔日到貨🔥 韓版 摺疊化妝鏡 鏡子 小鏡子 迷你鏡子 隨身鏡 化妝鏡 桌上鏡 立鏡 補妝鏡子</t>
        </is>
      </c>
      <c r="C1889">
        <f>IMAGE("https://cf.shopee.tw/file/tw-11134207-7r98y-lwrds23adlba31_tn")</f>
        <v/>
      </c>
      <c r="D1889" t="inlineStr">
        <is>
          <t>黑色,小款</t>
        </is>
      </c>
      <c r="E1889" t="inlineStr">
        <is>
          <t>256057205707</t>
        </is>
      </c>
      <c r="F1889">
        <f>IMAGE("https://cf.shopee.tw/file/tw-11134207-7r991-lwrdd3d2s2sm70_tn")</f>
        <v/>
      </c>
    </row>
    <row r="1890">
      <c r="A1890" t="inlineStr">
        <is>
          <t>26152982998</t>
        </is>
      </c>
      <c r="B1890" t="inlineStr">
        <is>
          <t>隔日到貨🔥 韓版 摺疊化妝鏡 鏡子 小鏡子 迷你鏡子 隨身鏡 化妝鏡 桌上鏡 立鏡 補妝鏡子</t>
        </is>
      </c>
      <c r="C1890">
        <f>IMAGE("https://cf.shopee.tw/file/tw-11134207-7r98y-lwrds23adlba31_tn")</f>
        <v/>
      </c>
      <c r="D1890" t="inlineStr">
        <is>
          <t>黑色,大款</t>
        </is>
      </c>
      <c r="E1890" t="inlineStr">
        <is>
          <t>256057205708</t>
        </is>
      </c>
      <c r="F1890">
        <f>IMAGE("https://cf.shopee.tw/file/tw-11134207-7r991-lwrdd3d2s2sm70_tn")</f>
        <v/>
      </c>
    </row>
    <row r="1891">
      <c r="A1891" t="inlineStr">
        <is>
          <t>3386170375</t>
        </is>
      </c>
      <c r="B1891" t="inlineStr">
        <is>
          <t>隔日到貨🔥 iPhone 手機殼 17 16 15 14 13 12 11 透明殼 XS XR SE 保護殼 軟殼</t>
        </is>
      </c>
      <c r="C1891">
        <f>IMAGE("https://cf.shopee.tw/file/282134b8dfd00b7760cfa365425f5127_tn")</f>
        <v/>
      </c>
      <c r="D1891" t="inlineStr">
        <is>
          <t>13 mini</t>
        </is>
      </c>
      <c r="E1891" t="inlineStr"/>
      <c r="F1891">
        <f>IMAGE("https://deo.shopeemobile.com/shopee/shopee-seller-live-sg/mmf_portal_seller_root_dir/static/modules/product-list/image/default-item-model-image.2601159.png")</f>
        <v/>
      </c>
    </row>
    <row r="1892">
      <c r="A1892" t="inlineStr">
        <is>
          <t>3386170375</t>
        </is>
      </c>
      <c r="B1892" t="inlineStr">
        <is>
          <t>隔日到貨🔥 iPhone 手機殼 17 16 15 14 13 12 11 透明殼 XS XR SE 保護殼 軟殼</t>
        </is>
      </c>
      <c r="C1892">
        <f>IMAGE("https://cf.shopee.tw/file/282134b8dfd00b7760cfa365425f5127_tn")</f>
        <v/>
      </c>
      <c r="D1892" t="inlineStr">
        <is>
          <t>7 / 8 / SE2 / SE3</t>
        </is>
      </c>
      <c r="E1892" t="inlineStr">
        <is>
          <t>34914417393</t>
        </is>
      </c>
      <c r="F1892">
        <f>IMAGE("https://deo.shopeemobile.com/shopee/shopee-seller-live-sg/mmf_portal_seller_root_dir/static/modules/product-list/image/default-item-model-image.2601159.png")</f>
        <v/>
      </c>
    </row>
    <row r="1893">
      <c r="A1893" t="inlineStr">
        <is>
          <t>3386170375</t>
        </is>
      </c>
      <c r="B1893" t="inlineStr">
        <is>
          <t>隔日到貨🔥 iPhone 手機殼 17 16 15 14 13 12 11 透明殼 XS XR SE 保護殼 軟殼</t>
        </is>
      </c>
      <c r="C1893">
        <f>IMAGE("https://cf.shopee.tw/file/282134b8dfd00b7760cfa365425f5127_tn")</f>
        <v/>
      </c>
      <c r="D1893" t="inlineStr">
        <is>
          <t>7plus / 8plus</t>
        </is>
      </c>
      <c r="E1893" t="inlineStr">
        <is>
          <t>34914417394</t>
        </is>
      </c>
      <c r="F1893">
        <f>IMAGE("https://deo.shopeemobile.com/shopee/shopee-seller-live-sg/mmf_portal_seller_root_dir/static/modules/product-list/image/default-item-model-image.2601159.png")</f>
        <v/>
      </c>
    </row>
    <row r="1894">
      <c r="A1894" t="inlineStr">
        <is>
          <t>3386170375</t>
        </is>
      </c>
      <c r="B1894" t="inlineStr">
        <is>
          <t>隔日到貨🔥 iPhone 手機殼 17 16 15 14 13 12 11 透明殼 XS XR SE 保護殼 軟殼</t>
        </is>
      </c>
      <c r="C1894">
        <f>IMAGE("https://cf.shopee.tw/file/282134b8dfd00b7760cfa365425f5127_tn")</f>
        <v/>
      </c>
      <c r="D1894" t="inlineStr">
        <is>
          <t>X / XS</t>
        </is>
      </c>
      <c r="E1894" t="inlineStr">
        <is>
          <t>34914417395</t>
        </is>
      </c>
      <c r="F1894">
        <f>IMAGE("https://deo.shopeemobile.com/shopee/shopee-seller-live-sg/mmf_portal_seller_root_dir/static/modules/product-list/image/default-item-model-image.2601159.png")</f>
        <v/>
      </c>
    </row>
    <row r="1895">
      <c r="A1895" t="inlineStr">
        <is>
          <t>3386170375</t>
        </is>
      </c>
      <c r="B1895" t="inlineStr">
        <is>
          <t>隔日到貨🔥 iPhone 手機殼 17 16 15 14 13 12 11 透明殼 XS XR SE 保護殼 軟殼</t>
        </is>
      </c>
      <c r="C1895">
        <f>IMAGE("https://cf.shopee.tw/file/282134b8dfd00b7760cfa365425f5127_tn")</f>
        <v/>
      </c>
      <c r="D1895" t="inlineStr">
        <is>
          <t>XR</t>
        </is>
      </c>
      <c r="E1895" t="inlineStr">
        <is>
          <t>34914417396</t>
        </is>
      </c>
      <c r="F1895">
        <f>IMAGE("https://deo.shopeemobile.com/shopee/shopee-seller-live-sg/mmf_portal_seller_root_dir/static/modules/product-list/image/default-item-model-image.2601159.png")</f>
        <v/>
      </c>
    </row>
    <row r="1896">
      <c r="A1896" t="inlineStr">
        <is>
          <t>3386170375</t>
        </is>
      </c>
      <c r="B1896" t="inlineStr">
        <is>
          <t>隔日到貨🔥 iPhone 手機殼 17 16 15 14 13 12 11 透明殼 XS XR SE 保護殼 軟殼</t>
        </is>
      </c>
      <c r="C1896">
        <f>IMAGE("https://cf.shopee.tw/file/282134b8dfd00b7760cfa365425f5127_tn")</f>
        <v/>
      </c>
      <c r="D1896" t="inlineStr">
        <is>
          <t>XS Max</t>
        </is>
      </c>
      <c r="E1896" t="inlineStr"/>
      <c r="F1896">
        <f>IMAGE("https://deo.shopeemobile.com/shopee/shopee-seller-live-sg/mmf_portal_seller_root_dir/static/modules/product-list/image/default-item-model-image.2601159.png")</f>
        <v/>
      </c>
    </row>
    <row r="1897">
      <c r="A1897" t="inlineStr">
        <is>
          <t>3386170375</t>
        </is>
      </c>
      <c r="B1897" t="inlineStr">
        <is>
          <t>隔日到貨🔥 iPhone 手機殼 17 16 15 14 13 12 11 透明殼 XS XR SE 保護殼 軟殼</t>
        </is>
      </c>
      <c r="C1897">
        <f>IMAGE("https://cf.shopee.tw/file/282134b8dfd00b7760cfa365425f5127_tn")</f>
        <v/>
      </c>
      <c r="D1897" t="inlineStr">
        <is>
          <t>11</t>
        </is>
      </c>
      <c r="E1897" t="inlineStr">
        <is>
          <t>34914417397</t>
        </is>
      </c>
      <c r="F1897">
        <f>IMAGE("https://deo.shopeemobile.com/shopee/shopee-seller-live-sg/mmf_portal_seller_root_dir/static/modules/product-list/image/default-item-model-image.2601159.png")</f>
        <v/>
      </c>
    </row>
    <row r="1898">
      <c r="A1898" t="inlineStr">
        <is>
          <t>3386170375</t>
        </is>
      </c>
      <c r="B1898" t="inlineStr">
        <is>
          <t>隔日到貨🔥 iPhone 手機殼 17 16 15 14 13 12 11 透明殼 XS XR SE 保護殼 軟殼</t>
        </is>
      </c>
      <c r="C1898">
        <f>IMAGE("https://cf.shopee.tw/file/282134b8dfd00b7760cfa365425f5127_tn")</f>
        <v/>
      </c>
      <c r="D1898" t="inlineStr">
        <is>
          <t>11 pro</t>
        </is>
      </c>
      <c r="E1898" t="inlineStr"/>
      <c r="F1898">
        <f>IMAGE("https://deo.shopeemobile.com/shopee/shopee-seller-live-sg/mmf_portal_seller_root_dir/static/modules/product-list/image/default-item-model-image.2601159.png")</f>
        <v/>
      </c>
    </row>
    <row r="1899">
      <c r="A1899" t="inlineStr">
        <is>
          <t>3386170375</t>
        </is>
      </c>
      <c r="B1899" t="inlineStr">
        <is>
          <t>隔日到貨🔥 iPhone 手機殼 17 16 15 14 13 12 11 透明殼 XS XR SE 保護殼 軟殼</t>
        </is>
      </c>
      <c r="C1899">
        <f>IMAGE("https://cf.shopee.tw/file/282134b8dfd00b7760cfa365425f5127_tn")</f>
        <v/>
      </c>
      <c r="D1899" t="inlineStr">
        <is>
          <t>12 / 12pro</t>
        </is>
      </c>
      <c r="E1899" t="inlineStr">
        <is>
          <t>34914417399</t>
        </is>
      </c>
      <c r="F1899">
        <f>IMAGE("https://deo.shopeemobile.com/shopee/shopee-seller-live-sg/mmf_portal_seller_root_dir/static/modules/product-list/image/default-item-model-image.2601159.png")</f>
        <v/>
      </c>
    </row>
    <row r="1900">
      <c r="A1900" t="inlineStr">
        <is>
          <t>3386170375</t>
        </is>
      </c>
      <c r="B1900" t="inlineStr">
        <is>
          <t>隔日到貨🔥 iPhone 手機殼 17 16 15 14 13 12 11 透明殼 XS XR SE 保護殼 軟殼</t>
        </is>
      </c>
      <c r="C1900">
        <f>IMAGE("https://cf.shopee.tw/file/282134b8dfd00b7760cfa365425f5127_tn")</f>
        <v/>
      </c>
      <c r="D1900" t="inlineStr">
        <is>
          <t>12 mini</t>
        </is>
      </c>
      <c r="E1900" t="inlineStr">
        <is>
          <t>76711335061</t>
        </is>
      </c>
      <c r="F1900">
        <f>IMAGE("https://deo.shopeemobile.com/shopee/shopee-seller-live-sg/mmf_portal_seller_root_dir/static/modules/product-list/image/default-item-model-image.2601159.png")</f>
        <v/>
      </c>
    </row>
    <row r="1901">
      <c r="A1901" t="inlineStr">
        <is>
          <t>3386170375</t>
        </is>
      </c>
      <c r="B1901" t="inlineStr">
        <is>
          <t>隔日到貨🔥 iPhone 手機殼 17 16 15 14 13 12 11 透明殼 XS XR SE 保護殼 軟殼</t>
        </is>
      </c>
      <c r="C1901">
        <f>IMAGE("https://cf.shopee.tw/file/282134b8dfd00b7760cfa365425f5127_tn")</f>
        <v/>
      </c>
      <c r="D1901" t="inlineStr">
        <is>
          <t>12 pro Max</t>
        </is>
      </c>
      <c r="E1901" t="inlineStr">
        <is>
          <t>34914417401</t>
        </is>
      </c>
      <c r="F1901">
        <f>IMAGE("https://deo.shopeemobile.com/shopee/shopee-seller-live-sg/mmf_portal_seller_root_dir/static/modules/product-list/image/default-item-model-image.2601159.png")</f>
        <v/>
      </c>
    </row>
    <row r="1902">
      <c r="A1902" t="inlineStr">
        <is>
          <t>3386170375</t>
        </is>
      </c>
      <c r="B1902" t="inlineStr">
        <is>
          <t>隔日到貨🔥 iPhone 手機殼 17 16 15 14 13 12 11 透明殼 XS XR SE 保護殼 軟殼</t>
        </is>
      </c>
      <c r="C1902">
        <f>IMAGE("https://cf.shopee.tw/file/282134b8dfd00b7760cfa365425f5127_tn")</f>
        <v/>
      </c>
      <c r="D1902" t="inlineStr">
        <is>
          <t>13</t>
        </is>
      </c>
      <c r="E1902" t="inlineStr">
        <is>
          <t>170926259547</t>
        </is>
      </c>
      <c r="F1902">
        <f>IMAGE("https://deo.shopeemobile.com/shopee/shopee-seller-live-sg/mmf_portal_seller_root_dir/static/modules/product-list/image/default-item-model-image.2601159.png")</f>
        <v/>
      </c>
    </row>
    <row r="1903">
      <c r="A1903" t="inlineStr">
        <is>
          <t>3386170375</t>
        </is>
      </c>
      <c r="B1903" t="inlineStr">
        <is>
          <t>隔日到貨🔥 iPhone 手機殼 17 16 15 14 13 12 11 透明殼 XS XR SE 保護殼 軟殼</t>
        </is>
      </c>
      <c r="C1903">
        <f>IMAGE("https://cf.shopee.tw/file/282134b8dfd00b7760cfa365425f5127_tn")</f>
        <v/>
      </c>
      <c r="D1903" t="inlineStr">
        <is>
          <t>13 pro</t>
        </is>
      </c>
      <c r="E1903" t="inlineStr">
        <is>
          <t>95141483231</t>
        </is>
      </c>
      <c r="F1903">
        <f>IMAGE("https://deo.shopeemobile.com/shopee/shopee-seller-live-sg/mmf_portal_seller_root_dir/static/modules/product-list/image/default-item-model-image.2601159.png")</f>
        <v/>
      </c>
    </row>
    <row r="1904">
      <c r="A1904" t="inlineStr">
        <is>
          <t>3386170375</t>
        </is>
      </c>
      <c r="B1904" t="inlineStr">
        <is>
          <t>隔日到貨🔥 iPhone 手機殼 17 16 15 14 13 12 11 透明殼 XS XR SE 保護殼 軟殼</t>
        </is>
      </c>
      <c r="C1904">
        <f>IMAGE("https://cf.shopee.tw/file/282134b8dfd00b7760cfa365425f5127_tn")</f>
        <v/>
      </c>
      <c r="D1904" t="inlineStr">
        <is>
          <t>13 pro Max</t>
        </is>
      </c>
      <c r="E1904" t="inlineStr">
        <is>
          <t>95141483232</t>
        </is>
      </c>
      <c r="F1904">
        <f>IMAGE("https://deo.shopeemobile.com/shopee/shopee-seller-live-sg/mmf_portal_seller_root_dir/static/modules/product-list/image/default-item-model-image.2601159.png")</f>
        <v/>
      </c>
    </row>
    <row r="1905">
      <c r="A1905" t="inlineStr">
        <is>
          <t>3386170375</t>
        </is>
      </c>
      <c r="B1905" t="inlineStr">
        <is>
          <t>隔日到貨🔥 iPhone 手機殼 17 16 15 14 13 12 11 透明殼 XS XR SE 保護殼 軟殼</t>
        </is>
      </c>
      <c r="C1905">
        <f>IMAGE("https://cf.shopee.tw/file/282134b8dfd00b7760cfa365425f5127_tn")</f>
        <v/>
      </c>
      <c r="D1905" t="inlineStr">
        <is>
          <t>14</t>
        </is>
      </c>
      <c r="E1905" t="inlineStr">
        <is>
          <t>174497955845</t>
        </is>
      </c>
      <c r="F1905">
        <f>IMAGE("https://deo.shopeemobile.com/shopee/shopee-seller-live-sg/mmf_portal_seller_root_dir/static/modules/product-list/image/default-item-model-image.2601159.png")</f>
        <v/>
      </c>
    </row>
    <row r="1906">
      <c r="A1906" t="inlineStr">
        <is>
          <t>3386170375</t>
        </is>
      </c>
      <c r="B1906" t="inlineStr">
        <is>
          <t>隔日到貨🔥 iPhone 手機殼 17 16 15 14 13 12 11 透明殼 XS XR SE 保護殼 軟殼</t>
        </is>
      </c>
      <c r="C1906">
        <f>IMAGE("https://cf.shopee.tw/file/282134b8dfd00b7760cfa365425f5127_tn")</f>
        <v/>
      </c>
      <c r="D1906" t="inlineStr">
        <is>
          <t>14 Plus</t>
        </is>
      </c>
      <c r="E1906" t="inlineStr">
        <is>
          <t>174497955846</t>
        </is>
      </c>
      <c r="F1906">
        <f>IMAGE("https://deo.shopeemobile.com/shopee/shopee-seller-live-sg/mmf_portal_seller_root_dir/static/modules/product-list/image/default-item-model-image.2601159.png")</f>
        <v/>
      </c>
    </row>
    <row r="1907">
      <c r="A1907" t="inlineStr">
        <is>
          <t>3386170375</t>
        </is>
      </c>
      <c r="B1907" t="inlineStr">
        <is>
          <t>隔日到貨🔥 iPhone 手機殼 17 16 15 14 13 12 11 透明殼 XS XR SE 保護殼 軟殼</t>
        </is>
      </c>
      <c r="C1907">
        <f>IMAGE("https://cf.shopee.tw/file/282134b8dfd00b7760cfa365425f5127_tn")</f>
        <v/>
      </c>
      <c r="D1907" t="inlineStr">
        <is>
          <t>14 pro</t>
        </is>
      </c>
      <c r="E1907" t="inlineStr">
        <is>
          <t>174497955847</t>
        </is>
      </c>
      <c r="F1907">
        <f>IMAGE("https://deo.shopeemobile.com/shopee/shopee-seller-live-sg/mmf_portal_seller_root_dir/static/modules/product-list/image/default-item-model-image.2601159.png")</f>
        <v/>
      </c>
    </row>
    <row r="1908">
      <c r="A1908" t="inlineStr">
        <is>
          <t>3386170375</t>
        </is>
      </c>
      <c r="B1908" t="inlineStr">
        <is>
          <t>隔日到貨🔥 iPhone 手機殼 17 16 15 14 13 12 11 透明殼 XS XR SE 保護殼 軟殼</t>
        </is>
      </c>
      <c r="C1908">
        <f>IMAGE("https://cf.shopee.tw/file/282134b8dfd00b7760cfa365425f5127_tn")</f>
        <v/>
      </c>
      <c r="D1908" t="inlineStr">
        <is>
          <t>14 pro Max</t>
        </is>
      </c>
      <c r="E1908" t="inlineStr">
        <is>
          <t>174497955848</t>
        </is>
      </c>
      <c r="F1908">
        <f>IMAGE("https://deo.shopeemobile.com/shopee/shopee-seller-live-sg/mmf_portal_seller_root_dir/static/modules/product-list/image/default-item-model-image.2601159.png")</f>
        <v/>
      </c>
    </row>
    <row r="1909">
      <c r="A1909" t="inlineStr">
        <is>
          <t>3386170375</t>
        </is>
      </c>
      <c r="B1909" t="inlineStr">
        <is>
          <t>隔日到貨🔥 iPhone 手機殼 17 16 15 14 13 12 11 透明殼 XS XR SE 保護殼 軟殼</t>
        </is>
      </c>
      <c r="C1909">
        <f>IMAGE("https://cf.shopee.tw/file/282134b8dfd00b7760cfa365425f5127_tn")</f>
        <v/>
      </c>
      <c r="D1909" t="inlineStr">
        <is>
          <t>15</t>
        </is>
      </c>
      <c r="E1909" t="inlineStr">
        <is>
          <t>69362233270</t>
        </is>
      </c>
      <c r="F1909">
        <f>IMAGE("https://deo.shopeemobile.com/shopee/shopee-seller-live-sg/mmf_portal_seller_root_dir/static/modules/product-list/image/default-item-model-image.2601159.png")</f>
        <v/>
      </c>
    </row>
    <row r="1910">
      <c r="A1910" t="inlineStr">
        <is>
          <t>3386170375</t>
        </is>
      </c>
      <c r="B1910" t="inlineStr">
        <is>
          <t>隔日到貨🔥 iPhone 手機殼 17 16 15 14 13 12 11 透明殼 XS XR SE 保護殼 軟殼</t>
        </is>
      </c>
      <c r="C1910">
        <f>IMAGE("https://cf.shopee.tw/file/282134b8dfd00b7760cfa365425f5127_tn")</f>
        <v/>
      </c>
      <c r="D1910" t="inlineStr">
        <is>
          <t>15 pro</t>
        </is>
      </c>
      <c r="E1910" t="inlineStr">
        <is>
          <t>69362233271</t>
        </is>
      </c>
      <c r="F1910">
        <f>IMAGE("https://deo.shopeemobile.com/shopee/shopee-seller-live-sg/mmf_portal_seller_root_dir/static/modules/product-list/image/default-item-model-image.2601159.png")</f>
        <v/>
      </c>
    </row>
    <row r="1911">
      <c r="A1911" t="inlineStr">
        <is>
          <t>3386170375</t>
        </is>
      </c>
      <c r="B1911" t="inlineStr">
        <is>
          <t>隔日到貨🔥 iPhone 手機殼 17 16 15 14 13 12 11 透明殼 XS XR SE 保護殼 軟殼</t>
        </is>
      </c>
      <c r="C1911">
        <f>IMAGE("https://cf.shopee.tw/file/282134b8dfd00b7760cfa365425f5127_tn")</f>
        <v/>
      </c>
      <c r="D1911" t="inlineStr">
        <is>
          <t>15 plus</t>
        </is>
      </c>
      <c r="E1911" t="inlineStr"/>
      <c r="F1911">
        <f>IMAGE("https://deo.shopeemobile.com/shopee/shopee-seller-live-sg/mmf_portal_seller_root_dir/static/modules/product-list/image/default-item-model-image.2601159.png")</f>
        <v/>
      </c>
    </row>
    <row r="1912">
      <c r="A1912" t="inlineStr">
        <is>
          <t>3386170375</t>
        </is>
      </c>
      <c r="B1912" t="inlineStr">
        <is>
          <t>隔日到貨🔥 iPhone 手機殼 17 16 15 14 13 12 11 透明殼 XS XR SE 保護殼 軟殼</t>
        </is>
      </c>
      <c r="C1912">
        <f>IMAGE("https://cf.shopee.tw/file/282134b8dfd00b7760cfa365425f5127_tn")</f>
        <v/>
      </c>
      <c r="D1912" t="inlineStr">
        <is>
          <t>15 pro max</t>
        </is>
      </c>
      <c r="E1912" t="inlineStr">
        <is>
          <t>69362233273</t>
        </is>
      </c>
      <c r="F1912">
        <f>IMAGE("https://deo.shopeemobile.com/shopee/shopee-seller-live-sg/mmf_portal_seller_root_dir/static/modules/product-list/image/default-item-model-image.2601159.png")</f>
        <v/>
      </c>
    </row>
    <row r="1913">
      <c r="A1913" t="inlineStr">
        <is>
          <t>3386170375</t>
        </is>
      </c>
      <c r="B1913" t="inlineStr">
        <is>
          <t>隔日到貨🔥 iPhone 手機殼 17 16 15 14 13 12 11 透明殼 XS XR SE 保護殼 軟殼</t>
        </is>
      </c>
      <c r="C1913">
        <f>IMAGE("https://cf.shopee.tw/file/282134b8dfd00b7760cfa365425f5127_tn")</f>
        <v/>
      </c>
      <c r="D1913" t="inlineStr">
        <is>
          <t>16</t>
        </is>
      </c>
      <c r="E1913" t="inlineStr">
        <is>
          <t>251685136212</t>
        </is>
      </c>
      <c r="F1913">
        <f>IMAGE("https://deo.shopeemobile.com/shopee/shopee-seller-live-sg/mmf_portal_seller_root_dir/static/modules/product-list/image/default-item-model-image.2601159.png")</f>
        <v/>
      </c>
    </row>
    <row r="1914">
      <c r="A1914" t="inlineStr">
        <is>
          <t>3386170375</t>
        </is>
      </c>
      <c r="B1914" t="inlineStr">
        <is>
          <t>隔日到貨🔥 iPhone 手機殼 17 16 15 14 13 12 11 透明殼 XS XR SE 保護殼 軟殼</t>
        </is>
      </c>
      <c r="C1914">
        <f>IMAGE("https://cf.shopee.tw/file/282134b8dfd00b7760cfa365425f5127_tn")</f>
        <v/>
      </c>
      <c r="D1914" t="inlineStr">
        <is>
          <t>16 pro</t>
        </is>
      </c>
      <c r="E1914" t="inlineStr">
        <is>
          <t>251685136213</t>
        </is>
      </c>
      <c r="F1914">
        <f>IMAGE("https://deo.shopeemobile.com/shopee/shopee-seller-live-sg/mmf_portal_seller_root_dir/static/modules/product-list/image/default-item-model-image.2601159.png")</f>
        <v/>
      </c>
    </row>
    <row r="1915">
      <c r="A1915" t="inlineStr">
        <is>
          <t>3386170375</t>
        </is>
      </c>
      <c r="B1915" t="inlineStr">
        <is>
          <t>隔日到貨🔥 iPhone 手機殼 17 16 15 14 13 12 11 透明殼 XS XR SE 保護殼 軟殼</t>
        </is>
      </c>
      <c r="C1915">
        <f>IMAGE("https://cf.shopee.tw/file/282134b8dfd00b7760cfa365425f5127_tn")</f>
        <v/>
      </c>
      <c r="D1915" t="inlineStr">
        <is>
          <t>16 pro Max</t>
        </is>
      </c>
      <c r="E1915" t="inlineStr"/>
      <c r="F1915">
        <f>IMAGE("https://deo.shopeemobile.com/shopee/shopee-seller-live-sg/mmf_portal_seller_root_dir/static/modules/product-list/image/default-item-model-image.2601159.png")</f>
        <v/>
      </c>
    </row>
    <row r="1916">
      <c r="A1916" t="inlineStr">
        <is>
          <t>3386170375</t>
        </is>
      </c>
      <c r="B1916" t="inlineStr">
        <is>
          <t>隔日到貨🔥 iPhone 手機殼 17 16 15 14 13 12 11 透明殼 XS XR SE 保護殼 軟殼</t>
        </is>
      </c>
      <c r="C1916">
        <f>IMAGE("https://cf.shopee.tw/file/282134b8dfd00b7760cfa365425f5127_tn")</f>
        <v/>
      </c>
      <c r="D1916" t="inlineStr">
        <is>
          <t>16 Plus</t>
        </is>
      </c>
      <c r="E1916" t="inlineStr">
        <is>
          <t>251685136215</t>
        </is>
      </c>
      <c r="F1916">
        <f>IMAGE("https://deo.shopeemobile.com/shopee/shopee-seller-live-sg/mmf_portal_seller_root_dir/static/modules/product-list/image/default-item-model-image.2601159.png")</f>
        <v/>
      </c>
    </row>
    <row r="1917">
      <c r="A1917" t="inlineStr">
        <is>
          <t>3386170375</t>
        </is>
      </c>
      <c r="B1917" t="inlineStr">
        <is>
          <t>隔日到貨🔥 iPhone 手機殼 17 16 15 14 13 12 11 透明殼 XS XR SE 保護殼 軟殼</t>
        </is>
      </c>
      <c r="C1917">
        <f>IMAGE("https://cf.shopee.tw/file/282134b8dfd00b7760cfa365425f5127_tn")</f>
        <v/>
      </c>
      <c r="D1917" t="inlineStr">
        <is>
          <t>17</t>
        </is>
      </c>
      <c r="E1917" t="inlineStr">
        <is>
          <t>196333141347</t>
        </is>
      </c>
      <c r="F1917">
        <f>IMAGE("https://deo.shopeemobile.com/shopee/shopee-seller-live-sg/mmf_portal_seller_root_dir/static/modules/product-list/image/default-item-model-image.2601159.png")</f>
        <v/>
      </c>
    </row>
    <row r="1918">
      <c r="A1918" t="inlineStr">
        <is>
          <t>3386170375</t>
        </is>
      </c>
      <c r="B1918" t="inlineStr">
        <is>
          <t>隔日到貨🔥 iPhone 手機殼 17 16 15 14 13 12 11 透明殼 XS XR SE 保護殼 軟殼</t>
        </is>
      </c>
      <c r="C1918">
        <f>IMAGE("https://cf.shopee.tw/file/282134b8dfd00b7760cfa365425f5127_tn")</f>
        <v/>
      </c>
      <c r="D1918" t="inlineStr">
        <is>
          <t>17 pro</t>
        </is>
      </c>
      <c r="E1918" t="inlineStr">
        <is>
          <t>196333141348</t>
        </is>
      </c>
      <c r="F1918">
        <f>IMAGE("https://deo.shopeemobile.com/shopee/shopee-seller-live-sg/mmf_portal_seller_root_dir/static/modules/product-list/image/default-item-model-image.2601159.png")</f>
        <v/>
      </c>
    </row>
    <row r="1919">
      <c r="A1919" t="inlineStr">
        <is>
          <t>3386170375</t>
        </is>
      </c>
      <c r="B1919" t="inlineStr">
        <is>
          <t>隔日到貨🔥 iPhone 手機殼 17 16 15 14 13 12 11 透明殼 XS XR SE 保護殼 軟殼</t>
        </is>
      </c>
      <c r="C1919">
        <f>IMAGE("https://cf.shopee.tw/file/282134b8dfd00b7760cfa365425f5127_tn")</f>
        <v/>
      </c>
      <c r="D1919" t="inlineStr">
        <is>
          <t>17 pro Max</t>
        </is>
      </c>
      <c r="E1919" t="inlineStr">
        <is>
          <t>196333141349</t>
        </is>
      </c>
      <c r="F1919">
        <f>IMAGE("https://deo.shopeemobile.com/shopee/shopee-seller-live-sg/mmf_portal_seller_root_dir/static/modules/product-list/image/default-item-model-image.2601159.png")</f>
        <v/>
      </c>
    </row>
    <row r="1920">
      <c r="A1920" t="inlineStr">
        <is>
          <t>3386170375</t>
        </is>
      </c>
      <c r="B1920" t="inlineStr">
        <is>
          <t>隔日到貨🔥 iPhone 手機殼 17 16 15 14 13 12 11 透明殼 XS XR SE 保護殼 軟殼</t>
        </is>
      </c>
      <c r="C1920">
        <f>IMAGE("https://cf.shopee.tw/file/282134b8dfd00b7760cfa365425f5127_tn")</f>
        <v/>
      </c>
      <c r="D1920" t="inlineStr">
        <is>
          <t>17 Air</t>
        </is>
      </c>
      <c r="E1920" t="inlineStr"/>
      <c r="F1920">
        <f>IMAGE("https://deo.shopeemobile.com/shopee/shopee-seller-live-sg/mmf_portal_seller_root_dir/static/modules/product-list/image/default-item-model-image.2601159.png")</f>
        <v/>
      </c>
    </row>
    <row r="1921">
      <c r="A1921" t="inlineStr">
        <is>
          <t>11515728220</t>
        </is>
      </c>
      <c r="B1921" t="inlineStr">
        <is>
          <t>隔日到貨🔥 ins風 手機氣囊 多功能指環扣 伸縮折疊 立體氣囊 手機架 適合各手機 氣囊 黏貼式 懶人氣囊</t>
        </is>
      </c>
      <c r="C1921">
        <f>IMAGE("https://cf.shopee.tw/file/4c3678daad37de43aa3281fb0ccbf101_tn")</f>
        <v/>
      </c>
      <c r="D1921" t="inlineStr">
        <is>
          <t>M34</t>
        </is>
      </c>
      <c r="E1921" t="inlineStr"/>
      <c r="F1921">
        <f>IMAGE("https://cf.shopee.tw/file/ee1c2c875c983a1188f44105c6ba98db_tn")</f>
        <v/>
      </c>
    </row>
    <row r="1922">
      <c r="A1922" t="inlineStr">
        <is>
          <t>11515728220</t>
        </is>
      </c>
      <c r="B1922" t="inlineStr">
        <is>
          <t>隔日到貨🔥 ins風 手機氣囊 多功能指環扣 伸縮折疊 立體氣囊 手機架 適合各手機 氣囊 黏貼式 懶人氣囊</t>
        </is>
      </c>
      <c r="C1922">
        <f>IMAGE("https://cf.shopee.tw/file/4c3678daad37de43aa3281fb0ccbf101_tn")</f>
        <v/>
      </c>
      <c r="D1922" t="inlineStr">
        <is>
          <t>M47</t>
        </is>
      </c>
      <c r="E1922" t="inlineStr"/>
      <c r="F1922">
        <f>IMAGE("https://cf.shopee.tw/file/97269056356f07d7f1f8b6406242b16b_tn")</f>
        <v/>
      </c>
    </row>
    <row r="1923">
      <c r="A1923" t="inlineStr">
        <is>
          <t>11515728220</t>
        </is>
      </c>
      <c r="B1923" t="inlineStr">
        <is>
          <t>隔日到貨🔥 ins風 手機氣囊 多功能指環扣 伸縮折疊 立體氣囊 手機架 適合各手機 氣囊 黏貼式 懶人氣囊</t>
        </is>
      </c>
      <c r="C1923">
        <f>IMAGE("https://cf.shopee.tw/file/4c3678daad37de43aa3281fb0ccbf101_tn")</f>
        <v/>
      </c>
      <c r="D1923" t="inlineStr">
        <is>
          <t>M17</t>
        </is>
      </c>
      <c r="E1923" t="inlineStr">
        <is>
          <t>26604391169</t>
        </is>
      </c>
      <c r="F1923">
        <f>IMAGE("https://cf.shopee.tw/file/04a331686853f0b5c7a73f01f9126fe8_tn")</f>
        <v/>
      </c>
    </row>
    <row r="1924">
      <c r="A1924" t="inlineStr">
        <is>
          <t>11515728220</t>
        </is>
      </c>
      <c r="B1924" t="inlineStr">
        <is>
          <t>隔日到貨🔥 ins風 手機氣囊 多功能指環扣 伸縮折疊 立體氣囊 手機架 適合各手機 氣囊 黏貼式 懶人氣囊</t>
        </is>
      </c>
      <c r="C1924">
        <f>IMAGE("https://cf.shopee.tw/file/4c3678daad37de43aa3281fb0ccbf101_tn")</f>
        <v/>
      </c>
      <c r="D1924" t="inlineStr">
        <is>
          <t>M18</t>
        </is>
      </c>
      <c r="E1924" t="inlineStr"/>
      <c r="F1924">
        <f>IMAGE("https://cf.shopee.tw/file/5b21bb06e130f0b0f90ebd18540cf488_tn")</f>
        <v/>
      </c>
    </row>
    <row r="1925">
      <c r="A1925" t="inlineStr">
        <is>
          <t>11515728220</t>
        </is>
      </c>
      <c r="B1925" t="inlineStr">
        <is>
          <t>隔日到貨🔥 ins風 手機氣囊 多功能指環扣 伸縮折疊 立體氣囊 手機架 適合各手機 氣囊 黏貼式 懶人氣囊</t>
        </is>
      </c>
      <c r="C1925">
        <f>IMAGE("https://cf.shopee.tw/file/4c3678daad37de43aa3281fb0ccbf101_tn")</f>
        <v/>
      </c>
      <c r="D1925" t="inlineStr">
        <is>
          <t>M19</t>
        </is>
      </c>
      <c r="E1925" t="inlineStr">
        <is>
          <t>26604391192</t>
        </is>
      </c>
      <c r="F1925">
        <f>IMAGE("https://cf.shopee.tw/file/65b9c6e9a88e48891a5fc4f1b1c0ce6c_tn")</f>
        <v/>
      </c>
    </row>
    <row r="1926">
      <c r="A1926" t="inlineStr">
        <is>
          <t>11515728220</t>
        </is>
      </c>
      <c r="B1926" t="inlineStr">
        <is>
          <t>隔日到貨🔥 ins風 手機氣囊 多功能指環扣 伸縮折疊 立體氣囊 手機架 適合各手機 氣囊 黏貼式 懶人氣囊</t>
        </is>
      </c>
      <c r="C1926">
        <f>IMAGE("https://cf.shopee.tw/file/4c3678daad37de43aa3281fb0ccbf101_tn")</f>
        <v/>
      </c>
      <c r="D1926" t="inlineStr">
        <is>
          <t>M20</t>
        </is>
      </c>
      <c r="E1926" t="inlineStr">
        <is>
          <t>26604391193</t>
        </is>
      </c>
      <c r="F1926">
        <f>IMAGE("https://cf.shopee.tw/file/1402eff49e19c160f05a74aaf13aa70a_tn")</f>
        <v/>
      </c>
    </row>
    <row r="1927">
      <c r="A1927" t="inlineStr">
        <is>
          <t>11515728220</t>
        </is>
      </c>
      <c r="B1927" t="inlineStr">
        <is>
          <t>隔日到貨🔥 ins風 手機氣囊 多功能指環扣 伸縮折疊 立體氣囊 手機架 適合各手機 氣囊 黏貼式 懶人氣囊</t>
        </is>
      </c>
      <c r="C1927">
        <f>IMAGE("https://cf.shopee.tw/file/4c3678daad37de43aa3281fb0ccbf101_tn")</f>
        <v/>
      </c>
      <c r="D1927" t="inlineStr">
        <is>
          <t>M21</t>
        </is>
      </c>
      <c r="E1927" t="inlineStr"/>
      <c r="F1927">
        <f>IMAGE("https://cf.shopee.tw/file/edb48bbe8dce9c5df039633134485460_tn")</f>
        <v/>
      </c>
    </row>
    <row r="1928">
      <c r="A1928" t="inlineStr">
        <is>
          <t>11515728220</t>
        </is>
      </c>
      <c r="B1928" t="inlineStr">
        <is>
          <t>隔日到貨🔥 ins風 手機氣囊 多功能指環扣 伸縮折疊 立體氣囊 手機架 適合各手機 氣囊 黏貼式 懶人氣囊</t>
        </is>
      </c>
      <c r="C1928">
        <f>IMAGE("https://cf.shopee.tw/file/4c3678daad37de43aa3281fb0ccbf101_tn")</f>
        <v/>
      </c>
      <c r="D1928" t="inlineStr">
        <is>
          <t>M22</t>
        </is>
      </c>
      <c r="E1928" t="inlineStr">
        <is>
          <t>26604391173</t>
        </is>
      </c>
      <c r="F1928">
        <f>IMAGE("https://cf.shopee.tw/file/09aaa9727d4bfe042971c3d141516936_tn")</f>
        <v/>
      </c>
    </row>
    <row r="1929">
      <c r="A1929" t="inlineStr">
        <is>
          <t>11515728220</t>
        </is>
      </c>
      <c r="B1929" t="inlineStr">
        <is>
          <t>隔日到貨🔥 ins風 手機氣囊 多功能指環扣 伸縮折疊 立體氣囊 手機架 適合各手機 氣囊 黏貼式 懶人氣囊</t>
        </is>
      </c>
      <c r="C1929">
        <f>IMAGE("https://cf.shopee.tw/file/4c3678daad37de43aa3281fb0ccbf101_tn")</f>
        <v/>
      </c>
      <c r="D1929" t="inlineStr">
        <is>
          <t>M23</t>
        </is>
      </c>
      <c r="E1929" t="inlineStr">
        <is>
          <t>26604391177</t>
        </is>
      </c>
      <c r="F1929">
        <f>IMAGE("https://cf.shopee.tw/file/45c833dca1f2cb14d04a04d2e4f77755_tn")</f>
        <v/>
      </c>
    </row>
    <row r="1930">
      <c r="A1930" t="inlineStr">
        <is>
          <t>11515728220</t>
        </is>
      </c>
      <c r="B1930" t="inlineStr">
        <is>
          <t>隔日到貨🔥 ins風 手機氣囊 多功能指環扣 伸縮折疊 立體氣囊 手機架 適合各手機 氣囊 黏貼式 懶人氣囊</t>
        </is>
      </c>
      <c r="C1930">
        <f>IMAGE("https://cf.shopee.tw/file/4c3678daad37de43aa3281fb0ccbf101_tn")</f>
        <v/>
      </c>
      <c r="D1930" t="inlineStr">
        <is>
          <t>M24</t>
        </is>
      </c>
      <c r="E1930" t="inlineStr">
        <is>
          <t>26604391187</t>
        </is>
      </c>
      <c r="F1930">
        <f>IMAGE("https://cf.shopee.tw/file/708a1651093d2c0f34f31ee42d85d26c_tn")</f>
        <v/>
      </c>
    </row>
    <row r="1931">
      <c r="A1931" t="inlineStr">
        <is>
          <t>11515728220</t>
        </is>
      </c>
      <c r="B1931" t="inlineStr">
        <is>
          <t>隔日到貨🔥 ins風 手機氣囊 多功能指環扣 伸縮折疊 立體氣囊 手機架 適合各手機 氣囊 黏貼式 懶人氣囊</t>
        </is>
      </c>
      <c r="C1931">
        <f>IMAGE("https://cf.shopee.tw/file/4c3678daad37de43aa3281fb0ccbf101_tn")</f>
        <v/>
      </c>
      <c r="D1931" t="inlineStr">
        <is>
          <t>M25</t>
        </is>
      </c>
      <c r="E1931" t="inlineStr">
        <is>
          <t>36238148045</t>
        </is>
      </c>
      <c r="F1931">
        <f>IMAGE("https://cf.shopee.tw/file/af4d458843bb1c4d1dd2a17d2f2701a6_tn")</f>
        <v/>
      </c>
    </row>
    <row r="1932">
      <c r="A1932" t="inlineStr">
        <is>
          <t>11515728220</t>
        </is>
      </c>
      <c r="B1932" t="inlineStr">
        <is>
          <t>隔日到貨🔥 ins風 手機氣囊 多功能指環扣 伸縮折疊 立體氣囊 手機架 適合各手機 氣囊 黏貼式 懶人氣囊</t>
        </is>
      </c>
      <c r="C1932">
        <f>IMAGE("https://cf.shopee.tw/file/4c3678daad37de43aa3281fb0ccbf101_tn")</f>
        <v/>
      </c>
      <c r="D1932" t="inlineStr">
        <is>
          <t>M26</t>
        </is>
      </c>
      <c r="E1932" t="inlineStr">
        <is>
          <t>26604391178</t>
        </is>
      </c>
      <c r="F1932">
        <f>IMAGE("https://cf.shopee.tw/file/9056125c39d82837645293f31b2d74a0_tn")</f>
        <v/>
      </c>
    </row>
    <row r="1933">
      <c r="A1933" t="inlineStr">
        <is>
          <t>11515728220</t>
        </is>
      </c>
      <c r="B1933" t="inlineStr">
        <is>
          <t>隔日到貨🔥 ins風 手機氣囊 多功能指環扣 伸縮折疊 立體氣囊 手機架 適合各手機 氣囊 黏貼式 懶人氣囊</t>
        </is>
      </c>
      <c r="C1933">
        <f>IMAGE("https://cf.shopee.tw/file/4c3678daad37de43aa3281fb0ccbf101_tn")</f>
        <v/>
      </c>
      <c r="D1933" t="inlineStr">
        <is>
          <t>M27</t>
        </is>
      </c>
      <c r="E1933" t="inlineStr">
        <is>
          <t>36238148046</t>
        </is>
      </c>
      <c r="F1933">
        <f>IMAGE("https://cf.shopee.tw/file/f7741205ad597764bf7bb9d9480559cb_tn")</f>
        <v/>
      </c>
    </row>
    <row r="1934">
      <c r="A1934" t="inlineStr">
        <is>
          <t>11515728220</t>
        </is>
      </c>
      <c r="B1934" t="inlineStr">
        <is>
          <t>隔日到貨🔥 ins風 手機氣囊 多功能指環扣 伸縮折疊 立體氣囊 手機架 適合各手機 氣囊 黏貼式 懶人氣囊</t>
        </is>
      </c>
      <c r="C1934">
        <f>IMAGE("https://cf.shopee.tw/file/4c3678daad37de43aa3281fb0ccbf101_tn")</f>
        <v/>
      </c>
      <c r="D1934" t="inlineStr">
        <is>
          <t>M28</t>
        </is>
      </c>
      <c r="E1934" t="inlineStr">
        <is>
          <t>36238148042</t>
        </is>
      </c>
      <c r="F1934">
        <f>IMAGE("https://cf.shopee.tw/file/9544879642a497159bdbace5b70a1b50_tn")</f>
        <v/>
      </c>
    </row>
    <row r="1935">
      <c r="A1935" t="inlineStr">
        <is>
          <t>11515728220</t>
        </is>
      </c>
      <c r="B1935" t="inlineStr">
        <is>
          <t>隔日到貨🔥 ins風 手機氣囊 多功能指環扣 伸縮折疊 立體氣囊 手機架 適合各手機 氣囊 黏貼式 懶人氣囊</t>
        </is>
      </c>
      <c r="C1935">
        <f>IMAGE("https://cf.shopee.tw/file/4c3678daad37de43aa3281fb0ccbf101_tn")</f>
        <v/>
      </c>
      <c r="D1935" t="inlineStr">
        <is>
          <t>M29</t>
        </is>
      </c>
      <c r="E1935" t="inlineStr">
        <is>
          <t>26604391170</t>
        </is>
      </c>
      <c r="F1935">
        <f>IMAGE("https://cf.shopee.tw/file/a0340c7409276ab6d991fc9ea216a7ba_tn")</f>
        <v/>
      </c>
    </row>
    <row r="1936">
      <c r="A1936" t="inlineStr">
        <is>
          <t>11515728220</t>
        </is>
      </c>
      <c r="B1936" t="inlineStr">
        <is>
          <t>隔日到貨🔥 ins風 手機氣囊 多功能指環扣 伸縮折疊 立體氣囊 手機架 適合各手機 氣囊 黏貼式 懶人氣囊</t>
        </is>
      </c>
      <c r="C1936">
        <f>IMAGE("https://cf.shopee.tw/file/4c3678daad37de43aa3281fb0ccbf101_tn")</f>
        <v/>
      </c>
      <c r="D1936" t="inlineStr">
        <is>
          <t>M30</t>
        </is>
      </c>
      <c r="E1936" t="inlineStr">
        <is>
          <t>26604391171</t>
        </is>
      </c>
      <c r="F1936">
        <f>IMAGE("https://cf.shopee.tw/file/c523084fb73433a0d75651f87acd1109_tn")</f>
        <v/>
      </c>
    </row>
    <row r="1937">
      <c r="A1937" t="inlineStr">
        <is>
          <t>11515728220</t>
        </is>
      </c>
      <c r="B1937" t="inlineStr">
        <is>
          <t>隔日到貨🔥 ins風 手機氣囊 多功能指環扣 伸縮折疊 立體氣囊 手機架 適合各手機 氣囊 黏貼式 懶人氣囊</t>
        </is>
      </c>
      <c r="C1937">
        <f>IMAGE("https://cf.shopee.tw/file/4c3678daad37de43aa3281fb0ccbf101_tn")</f>
        <v/>
      </c>
      <c r="D1937" t="inlineStr">
        <is>
          <t>M31</t>
        </is>
      </c>
      <c r="E1937" t="inlineStr">
        <is>
          <t>26604391172</t>
        </is>
      </c>
      <c r="F1937">
        <f>IMAGE("https://cf.shopee.tw/file/36fe5c7fd61c4701b51a3af9c51013c0_tn")</f>
        <v/>
      </c>
    </row>
    <row r="1938">
      <c r="A1938" t="inlineStr">
        <is>
          <t>11515728220</t>
        </is>
      </c>
      <c r="B1938" t="inlineStr">
        <is>
          <t>隔日到貨🔥 ins風 手機氣囊 多功能指環扣 伸縮折疊 立體氣囊 手機架 適合各手機 氣囊 黏貼式 懶人氣囊</t>
        </is>
      </c>
      <c r="C1938">
        <f>IMAGE("https://cf.shopee.tw/file/4c3678daad37de43aa3281fb0ccbf101_tn")</f>
        <v/>
      </c>
      <c r="D1938" t="inlineStr">
        <is>
          <t>M32</t>
        </is>
      </c>
      <c r="E1938" t="inlineStr">
        <is>
          <t>26604391183</t>
        </is>
      </c>
      <c r="F1938">
        <f>IMAGE("https://cf.shopee.tw/file/81bd8047f7fec0bd2518f454417f5484_tn")</f>
        <v/>
      </c>
    </row>
    <row r="1939">
      <c r="A1939" t="inlineStr">
        <is>
          <t>11515728220</t>
        </is>
      </c>
      <c r="B1939" t="inlineStr">
        <is>
          <t>隔日到貨🔥 ins風 手機氣囊 多功能指環扣 伸縮折疊 立體氣囊 手機架 適合各手機 氣囊 黏貼式 懶人氣囊</t>
        </is>
      </c>
      <c r="C1939">
        <f>IMAGE("https://cf.shopee.tw/file/4c3678daad37de43aa3281fb0ccbf101_tn")</f>
        <v/>
      </c>
      <c r="D1939" t="inlineStr">
        <is>
          <t>M33</t>
        </is>
      </c>
      <c r="E1939" t="inlineStr">
        <is>
          <t>26604391184</t>
        </is>
      </c>
      <c r="F1939">
        <f>IMAGE("https://cf.shopee.tw/file/adca3f19ead8109f3169ebd95c6a6a7a_tn")</f>
        <v/>
      </c>
    </row>
    <row r="1940">
      <c r="A1940" t="inlineStr">
        <is>
          <t>11515728220</t>
        </is>
      </c>
      <c r="B1940" t="inlineStr">
        <is>
          <t>隔日到貨🔥 ins風 手機氣囊 多功能指環扣 伸縮折疊 立體氣囊 手機架 適合各手機 氣囊 黏貼式 懶人氣囊</t>
        </is>
      </c>
      <c r="C1940">
        <f>IMAGE("https://cf.shopee.tw/file/4c3678daad37de43aa3281fb0ccbf101_tn")</f>
        <v/>
      </c>
      <c r="D1940" t="inlineStr">
        <is>
          <t>M35</t>
        </is>
      </c>
      <c r="E1940" t="inlineStr">
        <is>
          <t>26604391188</t>
        </is>
      </c>
      <c r="F1940">
        <f>IMAGE("https://cf.shopee.tw/file/34298a183758448c6fcda5512fce4d35_tn")</f>
        <v/>
      </c>
    </row>
    <row r="1941">
      <c r="A1941" t="inlineStr">
        <is>
          <t>11515728220</t>
        </is>
      </c>
      <c r="B1941" t="inlineStr">
        <is>
          <t>隔日到貨🔥 ins風 手機氣囊 多功能指環扣 伸縮折疊 立體氣囊 手機架 適合各手機 氣囊 黏貼式 懶人氣囊</t>
        </is>
      </c>
      <c r="C1941">
        <f>IMAGE("https://cf.shopee.tw/file/4c3678daad37de43aa3281fb0ccbf101_tn")</f>
        <v/>
      </c>
      <c r="D1941" t="inlineStr">
        <is>
          <t>M36</t>
        </is>
      </c>
      <c r="E1941" t="inlineStr">
        <is>
          <t>26604391189</t>
        </is>
      </c>
      <c r="F1941">
        <f>IMAGE("https://cf.shopee.tw/file/7059d8058fdafa656af0b92d880d5867_tn")</f>
        <v/>
      </c>
    </row>
    <row r="1942">
      <c r="A1942" t="inlineStr">
        <is>
          <t>11515728220</t>
        </is>
      </c>
      <c r="B1942" t="inlineStr">
        <is>
          <t>隔日到貨🔥 ins風 手機氣囊 多功能指環扣 伸縮折疊 立體氣囊 手機架 適合各手機 氣囊 黏貼式 懶人氣囊</t>
        </is>
      </c>
      <c r="C1942">
        <f>IMAGE("https://cf.shopee.tw/file/4c3678daad37de43aa3281fb0ccbf101_tn")</f>
        <v/>
      </c>
      <c r="D1942" t="inlineStr">
        <is>
          <t>M39</t>
        </is>
      </c>
      <c r="E1942" t="inlineStr">
        <is>
          <t>26604391179</t>
        </is>
      </c>
      <c r="F1942">
        <f>IMAGE("https://cf.shopee.tw/file/bf0af7a8f150cbf446a99373193f80e8_tn")</f>
        <v/>
      </c>
    </row>
    <row r="1943">
      <c r="A1943" t="inlineStr">
        <is>
          <t>11515728220</t>
        </is>
      </c>
      <c r="B1943" t="inlineStr">
        <is>
          <t>隔日到貨🔥 ins風 手機氣囊 多功能指環扣 伸縮折疊 立體氣囊 手機架 適合各手機 氣囊 黏貼式 懶人氣囊</t>
        </is>
      </c>
      <c r="C1943">
        <f>IMAGE("https://cf.shopee.tw/file/4c3678daad37de43aa3281fb0ccbf101_tn")</f>
        <v/>
      </c>
      <c r="D1943" t="inlineStr">
        <is>
          <t>M41</t>
        </is>
      </c>
      <c r="E1943" t="inlineStr"/>
      <c r="F1943">
        <f>IMAGE("https://cf.shopee.tw/file/87f594aafe0abcf2e84b5e2da070ceb7_tn")</f>
        <v/>
      </c>
    </row>
    <row r="1944">
      <c r="A1944" t="inlineStr">
        <is>
          <t>11515728220</t>
        </is>
      </c>
      <c r="B1944" t="inlineStr">
        <is>
          <t>隔日到貨🔥 ins風 手機氣囊 多功能指環扣 伸縮折疊 立體氣囊 手機架 適合各手機 氣囊 黏貼式 懶人氣囊</t>
        </is>
      </c>
      <c r="C1944">
        <f>IMAGE("https://cf.shopee.tw/file/4c3678daad37de43aa3281fb0ccbf101_tn")</f>
        <v/>
      </c>
      <c r="D1944" t="inlineStr">
        <is>
          <t>M42</t>
        </is>
      </c>
      <c r="E1944" t="inlineStr">
        <is>
          <t>26604391186</t>
        </is>
      </c>
      <c r="F1944">
        <f>IMAGE("https://cf.shopee.tw/file/d9b2691097b7ce121b8ba628bf57cc40_tn")</f>
        <v/>
      </c>
    </row>
    <row r="1945">
      <c r="A1945" t="inlineStr">
        <is>
          <t>11515728220</t>
        </is>
      </c>
      <c r="B1945" t="inlineStr">
        <is>
          <t>隔日到貨🔥 ins風 手機氣囊 多功能指環扣 伸縮折疊 立體氣囊 手機架 適合各手機 氣囊 黏貼式 懶人氣囊</t>
        </is>
      </c>
      <c r="C1945">
        <f>IMAGE("https://cf.shopee.tw/file/4c3678daad37de43aa3281fb0ccbf101_tn")</f>
        <v/>
      </c>
      <c r="D1945" t="inlineStr">
        <is>
          <t>M43</t>
        </is>
      </c>
      <c r="E1945" t="inlineStr">
        <is>
          <t>26604391174</t>
        </is>
      </c>
      <c r="F1945">
        <f>IMAGE("https://cf.shopee.tw/file/3484a552c8cbd4f9047edb12a321f44f_tn")</f>
        <v/>
      </c>
    </row>
    <row r="1946">
      <c r="A1946" t="inlineStr">
        <is>
          <t>11515728220</t>
        </is>
      </c>
      <c r="B1946" t="inlineStr">
        <is>
          <t>隔日到貨🔥 ins風 手機氣囊 多功能指環扣 伸縮折疊 立體氣囊 手機架 適合各手機 氣囊 黏貼式 懶人氣囊</t>
        </is>
      </c>
      <c r="C1946">
        <f>IMAGE("https://cf.shopee.tw/file/4c3678daad37de43aa3281fb0ccbf101_tn")</f>
        <v/>
      </c>
      <c r="D1946" t="inlineStr">
        <is>
          <t>M44</t>
        </is>
      </c>
      <c r="E1946" t="inlineStr">
        <is>
          <t>36238148047</t>
        </is>
      </c>
      <c r="F1946">
        <f>IMAGE("https://cf.shopee.tw/file/ba7b80854e10d36130bb4bd6dda5e0b7_tn")</f>
        <v/>
      </c>
    </row>
    <row r="1947">
      <c r="A1947" t="inlineStr">
        <is>
          <t>11515728220</t>
        </is>
      </c>
      <c r="B1947" t="inlineStr">
        <is>
          <t>隔日到貨🔥 ins風 手機氣囊 多功能指環扣 伸縮折疊 立體氣囊 手機架 適合各手機 氣囊 黏貼式 懶人氣囊</t>
        </is>
      </c>
      <c r="C1947">
        <f>IMAGE("https://cf.shopee.tw/file/4c3678daad37de43aa3281fb0ccbf101_tn")</f>
        <v/>
      </c>
      <c r="D1947" t="inlineStr">
        <is>
          <t>M45</t>
        </is>
      </c>
      <c r="E1947" t="inlineStr">
        <is>
          <t>26604391181</t>
        </is>
      </c>
      <c r="F1947">
        <f>IMAGE("https://cf.shopee.tw/file/93f9f202d489257c88f4ba49885a90a2_tn")</f>
        <v/>
      </c>
    </row>
    <row r="1948">
      <c r="A1948" t="inlineStr">
        <is>
          <t>11515728220</t>
        </is>
      </c>
      <c r="B1948" t="inlineStr">
        <is>
          <t>隔日到貨🔥 ins風 手機氣囊 多功能指環扣 伸縮折疊 立體氣囊 手機架 適合各手機 氣囊 黏貼式 懶人氣囊</t>
        </is>
      </c>
      <c r="C1948">
        <f>IMAGE("https://cf.shopee.tw/file/4c3678daad37de43aa3281fb0ccbf101_tn")</f>
        <v/>
      </c>
      <c r="D1948" t="inlineStr">
        <is>
          <t>M46</t>
        </is>
      </c>
      <c r="E1948" t="inlineStr">
        <is>
          <t>26604391175</t>
        </is>
      </c>
      <c r="F1948">
        <f>IMAGE("https://cf.shopee.tw/file/2a015edaa0e3c338a61e1ea67327cb49_tn")</f>
        <v/>
      </c>
    </row>
    <row r="1949">
      <c r="A1949" t="inlineStr">
        <is>
          <t>11515728220</t>
        </is>
      </c>
      <c r="B1949" t="inlineStr">
        <is>
          <t>隔日到貨🔥 ins風 手機氣囊 多功能指環扣 伸縮折疊 立體氣囊 手機架 適合各手機 氣囊 黏貼式 懶人氣囊</t>
        </is>
      </c>
      <c r="C1949">
        <f>IMAGE("https://cf.shopee.tw/file/4c3678daad37de43aa3281fb0ccbf101_tn")</f>
        <v/>
      </c>
      <c r="D1949" t="inlineStr">
        <is>
          <t>M48</t>
        </is>
      </c>
      <c r="E1949" t="inlineStr">
        <is>
          <t>36238148050</t>
        </is>
      </c>
      <c r="F1949">
        <f>IMAGE("https://cf.shopee.tw/file/2cb132cd3f9112a1644347047a2b3dcc_tn")</f>
        <v/>
      </c>
    </row>
    <row r="1950">
      <c r="A1950" t="inlineStr">
        <is>
          <t>11515728220</t>
        </is>
      </c>
      <c r="B1950" t="inlineStr">
        <is>
          <t>隔日到貨🔥 ins風 手機氣囊 多功能指環扣 伸縮折疊 立體氣囊 手機架 適合各手機 氣囊 黏貼式 懶人氣囊</t>
        </is>
      </c>
      <c r="C1950">
        <f>IMAGE("https://cf.shopee.tw/file/4c3678daad37de43aa3281fb0ccbf101_tn")</f>
        <v/>
      </c>
      <c r="D1950" t="inlineStr">
        <is>
          <t>M49</t>
        </is>
      </c>
      <c r="E1950" t="inlineStr">
        <is>
          <t>36238148048</t>
        </is>
      </c>
      <c r="F1950">
        <f>IMAGE("https://cf.shopee.tw/file/ce52e1101063359b4647a7eb4fbf9c3b_tn")</f>
        <v/>
      </c>
    </row>
    <row r="1951">
      <c r="A1951" t="inlineStr">
        <is>
          <t>11515728220</t>
        </is>
      </c>
      <c r="B1951" t="inlineStr">
        <is>
          <t>隔日到貨🔥 ins風 手機氣囊 多功能指環扣 伸縮折疊 立體氣囊 手機架 適合各手機 氣囊 黏貼式 懶人氣囊</t>
        </is>
      </c>
      <c r="C1951">
        <f>IMAGE("https://cf.shopee.tw/file/4c3678daad37de43aa3281fb0ccbf101_tn")</f>
        <v/>
      </c>
      <c r="D1951" t="inlineStr">
        <is>
          <t>M50</t>
        </is>
      </c>
      <c r="E1951" t="inlineStr">
        <is>
          <t>36238148043</t>
        </is>
      </c>
      <c r="F1951">
        <f>IMAGE("https://cf.shopee.tw/file/cbac26fc60a6b1a6b8697725779e3681_tn")</f>
        <v/>
      </c>
    </row>
    <row r="1952">
      <c r="A1952" t="inlineStr">
        <is>
          <t>11515728220</t>
        </is>
      </c>
      <c r="B1952" t="inlineStr">
        <is>
          <t>隔日到貨🔥 ins風 手機氣囊 多功能指環扣 伸縮折疊 立體氣囊 手機架 適合各手機 氣囊 黏貼式 懶人氣囊</t>
        </is>
      </c>
      <c r="C1952">
        <f>IMAGE("https://cf.shopee.tw/file/4c3678daad37de43aa3281fb0ccbf101_tn")</f>
        <v/>
      </c>
      <c r="D1952" t="inlineStr">
        <is>
          <t>M51</t>
        </is>
      </c>
      <c r="E1952" t="inlineStr">
        <is>
          <t>36238148044</t>
        </is>
      </c>
      <c r="F1952">
        <f>IMAGE("https://cf.shopee.tw/file/0b47529b1424d9384d1a3d076383f17d_tn")</f>
        <v/>
      </c>
    </row>
    <row r="1953">
      <c r="A1953" t="inlineStr">
        <is>
          <t>11515728220</t>
        </is>
      </c>
      <c r="B1953" t="inlineStr">
        <is>
          <t>隔日到貨🔥 ins風 手機氣囊 多功能指環扣 伸縮折疊 立體氣囊 手機架 適合各手機 氣囊 黏貼式 懶人氣囊</t>
        </is>
      </c>
      <c r="C1953">
        <f>IMAGE("https://cf.shopee.tw/file/4c3678daad37de43aa3281fb0ccbf101_tn")</f>
        <v/>
      </c>
      <c r="D1953" t="inlineStr">
        <is>
          <t>M52</t>
        </is>
      </c>
      <c r="E1953" t="inlineStr">
        <is>
          <t>26604391190</t>
        </is>
      </c>
      <c r="F1953">
        <f>IMAGE("https://cf.shopee.tw/file/fd7fe6df67b9cd30c01c9b8e7800f07c_tn")</f>
        <v/>
      </c>
    </row>
    <row r="1954">
      <c r="A1954" t="inlineStr">
        <is>
          <t>11515728220</t>
        </is>
      </c>
      <c r="B1954" t="inlineStr">
        <is>
          <t>隔日到貨🔥 ins風 手機氣囊 多功能指環扣 伸縮折疊 立體氣囊 手機架 適合各手機 氣囊 黏貼式 懶人氣囊</t>
        </is>
      </c>
      <c r="C1954">
        <f>IMAGE("https://cf.shopee.tw/file/4c3678daad37de43aa3281fb0ccbf101_tn")</f>
        <v/>
      </c>
      <c r="D1954" t="inlineStr">
        <is>
          <t>M53</t>
        </is>
      </c>
      <c r="E1954" t="inlineStr">
        <is>
          <t>26604391180</t>
        </is>
      </c>
      <c r="F1954">
        <f>IMAGE("https://cf.shopee.tw/file/d64549351470d3e7bca9d76c0e7f54ea_tn")</f>
        <v/>
      </c>
    </row>
    <row r="1955">
      <c r="A1955" t="inlineStr">
        <is>
          <t>11515728220</t>
        </is>
      </c>
      <c r="B1955" t="inlineStr">
        <is>
          <t>隔日到貨🔥 ins風 手機氣囊 多功能指環扣 伸縮折疊 立體氣囊 手機架 適合各手機 氣囊 黏貼式 懶人氣囊</t>
        </is>
      </c>
      <c r="C1955">
        <f>IMAGE("https://cf.shopee.tw/file/4c3678daad37de43aa3281fb0ccbf101_tn")</f>
        <v/>
      </c>
      <c r="D1955" t="inlineStr">
        <is>
          <t>M54</t>
        </is>
      </c>
      <c r="E1955" t="inlineStr"/>
      <c r="F1955">
        <f>IMAGE("https://cf.shopee.tw/file/2dc08307933040b6d295130da116566c_tn")</f>
        <v/>
      </c>
    </row>
    <row r="1956">
      <c r="A1956" t="inlineStr">
        <is>
          <t>11515728220</t>
        </is>
      </c>
      <c r="B1956" t="inlineStr">
        <is>
          <t>隔日到貨🔥 ins風 手機氣囊 多功能指環扣 伸縮折疊 立體氣囊 手機架 適合各手機 氣囊 黏貼式 懶人氣囊</t>
        </is>
      </c>
      <c r="C1956">
        <f>IMAGE("https://cf.shopee.tw/file/4c3678daad37de43aa3281fb0ccbf101_tn")</f>
        <v/>
      </c>
      <c r="D1956" t="inlineStr">
        <is>
          <t>M55</t>
        </is>
      </c>
      <c r="E1956" t="inlineStr">
        <is>
          <t>26604391182</t>
        </is>
      </c>
      <c r="F1956">
        <f>IMAGE("https://cf.shopee.tw/file/3bd47254902a478805ed7d40d41a9d8a_tn")</f>
        <v/>
      </c>
    </row>
    <row r="1957">
      <c r="A1957" t="inlineStr">
        <is>
          <t>24092279273</t>
        </is>
      </c>
      <c r="B1957" t="inlineStr">
        <is>
          <t>隔日到貨🔥 iPhone 手機殼 17 16 15 14 pro 13 12 11 保護殼 軟殼 蘋果</t>
        </is>
      </c>
      <c r="C1957">
        <f>IMAGE("https://cf.shopee.tw/file/tw-11134207-7rbka-m6zhjv6gaelebe_tn")</f>
        <v/>
      </c>
      <c r="D1957" t="inlineStr">
        <is>
          <t>銀色-小粉結滿屏,11</t>
        </is>
      </c>
      <c r="E1957" t="inlineStr">
        <is>
          <t>233891894796</t>
        </is>
      </c>
      <c r="F1957">
        <f>IMAGE("https://cf.shopee.tw/file/tw-11134207-7rbk8-m6zhpg2kb51b16_tn")</f>
        <v/>
      </c>
    </row>
    <row r="1958">
      <c r="A1958" t="inlineStr">
        <is>
          <t>24092279273</t>
        </is>
      </c>
      <c r="B1958" t="inlineStr">
        <is>
          <t>隔日到貨🔥 iPhone 手機殼 17 16 15 14 pro 13 12 11 保護殼 軟殼 蘋果</t>
        </is>
      </c>
      <c r="C1958">
        <f>IMAGE("https://cf.shopee.tw/file/tw-11134207-7rbka-m6zhjv6gaelebe_tn")</f>
        <v/>
      </c>
      <c r="D1958" t="inlineStr">
        <is>
          <t>銀色-小粉結滿屏,11 Pro</t>
        </is>
      </c>
      <c r="E1958" t="inlineStr">
        <is>
          <t>233891894797</t>
        </is>
      </c>
      <c r="F1958">
        <f>IMAGE("https://cf.shopee.tw/file/tw-11134207-7rbk8-m6zhpg2kb51b16_tn")</f>
        <v/>
      </c>
    </row>
    <row r="1959">
      <c r="A1959" t="inlineStr">
        <is>
          <t>24092279273</t>
        </is>
      </c>
      <c r="B1959" t="inlineStr">
        <is>
          <t>隔日到貨🔥 iPhone 手機殼 17 16 15 14 pro 13 12 11 保護殼 軟殼 蘋果</t>
        </is>
      </c>
      <c r="C1959">
        <f>IMAGE("https://cf.shopee.tw/file/tw-11134207-7rbka-m6zhjv6gaelebe_tn")</f>
        <v/>
      </c>
      <c r="D1959" t="inlineStr">
        <is>
          <t>銀色-小粉結滿屏,11 Pro Max</t>
        </is>
      </c>
      <c r="E1959" t="inlineStr">
        <is>
          <t>233891894798</t>
        </is>
      </c>
      <c r="F1959">
        <f>IMAGE("https://cf.shopee.tw/file/tw-11134207-7rbk8-m6zhpg2kb51b16_tn")</f>
        <v/>
      </c>
    </row>
    <row r="1960">
      <c r="A1960" t="inlineStr">
        <is>
          <t>24092279273</t>
        </is>
      </c>
      <c r="B1960" t="inlineStr">
        <is>
          <t>隔日到貨🔥 iPhone 手機殼 17 16 15 14 pro 13 12 11 保護殼 軟殼 蘋果</t>
        </is>
      </c>
      <c r="C1960">
        <f>IMAGE("https://cf.shopee.tw/file/tw-11134207-7rbka-m6zhjv6gaelebe_tn")</f>
        <v/>
      </c>
      <c r="D1960" t="inlineStr">
        <is>
          <t>銀色-小粉結滿屏,12/12 Pro</t>
        </is>
      </c>
      <c r="E1960" t="inlineStr">
        <is>
          <t>233891894799</t>
        </is>
      </c>
      <c r="F1960">
        <f>IMAGE("https://cf.shopee.tw/file/tw-11134207-7rbk8-m6zhpg2kb51b16_tn")</f>
        <v/>
      </c>
    </row>
    <row r="1961">
      <c r="A1961" t="inlineStr">
        <is>
          <t>24092279273</t>
        </is>
      </c>
      <c r="B1961" t="inlineStr">
        <is>
          <t>隔日到貨🔥 iPhone 手機殼 17 16 15 14 pro 13 12 11 保護殼 軟殼 蘋果</t>
        </is>
      </c>
      <c r="C1961">
        <f>IMAGE("https://cf.shopee.tw/file/tw-11134207-7rbka-m6zhjv6gaelebe_tn")</f>
        <v/>
      </c>
      <c r="D1961" t="inlineStr">
        <is>
          <t>銀色-小粉結滿屏,12 Pro Max</t>
        </is>
      </c>
      <c r="E1961" t="inlineStr">
        <is>
          <t>233891894801</t>
        </is>
      </c>
      <c r="F1961">
        <f>IMAGE("https://cf.shopee.tw/file/tw-11134207-7rbk8-m6zhpg2kb51b16_tn")</f>
        <v/>
      </c>
    </row>
    <row r="1962">
      <c r="A1962" t="inlineStr">
        <is>
          <t>24092279273</t>
        </is>
      </c>
      <c r="B1962" t="inlineStr">
        <is>
          <t>隔日到貨🔥 iPhone 手機殼 17 16 15 14 pro 13 12 11 保護殼 軟殼 蘋果</t>
        </is>
      </c>
      <c r="C1962">
        <f>IMAGE("https://cf.shopee.tw/file/tw-11134207-7rbka-m6zhjv6gaelebe_tn")</f>
        <v/>
      </c>
      <c r="D1962" t="inlineStr">
        <is>
          <t>銀色-小粉結滿屏,13 / 14</t>
        </is>
      </c>
      <c r="E1962" t="inlineStr">
        <is>
          <t>233891894802</t>
        </is>
      </c>
      <c r="F1962">
        <f>IMAGE("https://cf.shopee.tw/file/tw-11134207-7rbk8-m6zhpg2kb51b16_tn")</f>
        <v/>
      </c>
    </row>
    <row r="1963">
      <c r="A1963" t="inlineStr">
        <is>
          <t>24092279273</t>
        </is>
      </c>
      <c r="B1963" t="inlineStr">
        <is>
          <t>隔日到貨🔥 iPhone 手機殼 17 16 15 14 pro 13 12 11 保護殼 軟殼 蘋果</t>
        </is>
      </c>
      <c r="C1963">
        <f>IMAGE("https://cf.shopee.tw/file/tw-11134207-7rbka-m6zhjv6gaelebe_tn")</f>
        <v/>
      </c>
      <c r="D1963" t="inlineStr">
        <is>
          <t>銀色-小粉結滿屏,13 Pro</t>
        </is>
      </c>
      <c r="E1963" t="inlineStr">
        <is>
          <t>233891894803</t>
        </is>
      </c>
      <c r="F1963">
        <f>IMAGE("https://cf.shopee.tw/file/tw-11134207-7rbk8-m6zhpg2kb51b16_tn")</f>
        <v/>
      </c>
    </row>
    <row r="1964">
      <c r="A1964" t="inlineStr">
        <is>
          <t>24092279273</t>
        </is>
      </c>
      <c r="B1964" t="inlineStr">
        <is>
          <t>隔日到貨🔥 iPhone 手機殼 17 16 15 14 pro 13 12 11 保護殼 軟殼 蘋果</t>
        </is>
      </c>
      <c r="C1964">
        <f>IMAGE("https://cf.shopee.tw/file/tw-11134207-7rbka-m6zhjv6gaelebe_tn")</f>
        <v/>
      </c>
      <c r="D1964" t="inlineStr">
        <is>
          <t>銀色-小粉結滿屏,13 Pro Max</t>
        </is>
      </c>
      <c r="E1964" t="inlineStr">
        <is>
          <t>233891894804</t>
        </is>
      </c>
      <c r="F1964">
        <f>IMAGE("https://cf.shopee.tw/file/tw-11134207-7rbk8-m6zhpg2kb51b16_tn")</f>
        <v/>
      </c>
    </row>
    <row r="1965">
      <c r="A1965" t="inlineStr">
        <is>
          <t>24092279273</t>
        </is>
      </c>
      <c r="B1965" t="inlineStr">
        <is>
          <t>隔日到貨🔥 iPhone 手機殼 17 16 15 14 pro 13 12 11 保護殼 軟殼 蘋果</t>
        </is>
      </c>
      <c r="C1965">
        <f>IMAGE("https://cf.shopee.tw/file/tw-11134207-7rbka-m6zhjv6gaelebe_tn")</f>
        <v/>
      </c>
      <c r="D1965" t="inlineStr">
        <is>
          <t>銀色-小粉結滿屏,14 Plus</t>
        </is>
      </c>
      <c r="E1965" t="inlineStr">
        <is>
          <t>233891894805</t>
        </is>
      </c>
      <c r="F1965">
        <f>IMAGE("https://cf.shopee.tw/file/tw-11134207-7rbk8-m6zhpg2kb51b16_tn")</f>
        <v/>
      </c>
    </row>
    <row r="1966">
      <c r="A1966" t="inlineStr">
        <is>
          <t>24092279273</t>
        </is>
      </c>
      <c r="B1966" t="inlineStr">
        <is>
          <t>隔日到貨🔥 iPhone 手機殼 17 16 15 14 pro 13 12 11 保護殼 軟殼 蘋果</t>
        </is>
      </c>
      <c r="C1966">
        <f>IMAGE("https://cf.shopee.tw/file/tw-11134207-7rbka-m6zhjv6gaelebe_tn")</f>
        <v/>
      </c>
      <c r="D1966" t="inlineStr">
        <is>
          <t>銀色-小粉結滿屏,14 Pro</t>
        </is>
      </c>
      <c r="E1966" t="inlineStr">
        <is>
          <t>233891894806</t>
        </is>
      </c>
      <c r="F1966">
        <f>IMAGE("https://cf.shopee.tw/file/tw-11134207-7rbk8-m6zhpg2kb51b16_tn")</f>
        <v/>
      </c>
    </row>
    <row r="1967">
      <c r="A1967" t="inlineStr">
        <is>
          <t>24092279273</t>
        </is>
      </c>
      <c r="B1967" t="inlineStr">
        <is>
          <t>隔日到貨🔥 iPhone 手機殼 17 16 15 14 pro 13 12 11 保護殼 軟殼 蘋果</t>
        </is>
      </c>
      <c r="C1967">
        <f>IMAGE("https://cf.shopee.tw/file/tw-11134207-7rbka-m6zhjv6gaelebe_tn")</f>
        <v/>
      </c>
      <c r="D1967" t="inlineStr">
        <is>
          <t>銀色-小粉結滿屏,14 Pro Max</t>
        </is>
      </c>
      <c r="E1967" t="inlineStr">
        <is>
          <t>233891894807</t>
        </is>
      </c>
      <c r="F1967">
        <f>IMAGE("https://cf.shopee.tw/file/tw-11134207-7rbk8-m6zhpg2kb51b16_tn")</f>
        <v/>
      </c>
    </row>
    <row r="1968">
      <c r="A1968" t="inlineStr">
        <is>
          <t>24092279273</t>
        </is>
      </c>
      <c r="B1968" t="inlineStr">
        <is>
          <t>隔日到貨🔥 iPhone 手機殼 17 16 15 14 pro 13 12 11 保護殼 軟殼 蘋果</t>
        </is>
      </c>
      <c r="C1968">
        <f>IMAGE("https://cf.shopee.tw/file/tw-11134207-7rbka-m6zhjv6gaelebe_tn")</f>
        <v/>
      </c>
      <c r="D1968" t="inlineStr">
        <is>
          <t>銀色-小粉結滿屏,15</t>
        </is>
      </c>
      <c r="E1968" t="inlineStr">
        <is>
          <t>233891894808</t>
        </is>
      </c>
      <c r="F1968">
        <f>IMAGE("https://cf.shopee.tw/file/tw-11134207-7rbk8-m6zhpg2kb51b16_tn")</f>
        <v/>
      </c>
    </row>
    <row r="1969">
      <c r="A1969" t="inlineStr">
        <is>
          <t>24092279273</t>
        </is>
      </c>
      <c r="B1969" t="inlineStr">
        <is>
          <t>隔日到貨🔥 iPhone 手機殼 17 16 15 14 pro 13 12 11 保護殼 軟殼 蘋果</t>
        </is>
      </c>
      <c r="C1969">
        <f>IMAGE("https://cf.shopee.tw/file/tw-11134207-7rbka-m6zhjv6gaelebe_tn")</f>
        <v/>
      </c>
      <c r="D1969" t="inlineStr">
        <is>
          <t>銀色-小粉結滿屏,15 Plus</t>
        </is>
      </c>
      <c r="E1969" t="inlineStr">
        <is>
          <t>233891894809</t>
        </is>
      </c>
      <c r="F1969">
        <f>IMAGE("https://cf.shopee.tw/file/tw-11134207-7rbk8-m6zhpg2kb51b16_tn")</f>
        <v/>
      </c>
    </row>
    <row r="1970">
      <c r="A1970" t="inlineStr">
        <is>
          <t>24092279273</t>
        </is>
      </c>
      <c r="B1970" t="inlineStr">
        <is>
          <t>隔日到貨🔥 iPhone 手機殼 17 16 15 14 pro 13 12 11 保護殼 軟殼 蘋果</t>
        </is>
      </c>
      <c r="C1970">
        <f>IMAGE("https://cf.shopee.tw/file/tw-11134207-7rbka-m6zhjv6gaelebe_tn")</f>
        <v/>
      </c>
      <c r="D1970" t="inlineStr">
        <is>
          <t>銀色-小粉結滿屏,15 Pro</t>
        </is>
      </c>
      <c r="E1970" t="inlineStr">
        <is>
          <t>233891894810</t>
        </is>
      </c>
      <c r="F1970">
        <f>IMAGE("https://cf.shopee.tw/file/tw-11134207-7rbk8-m6zhpg2kb51b16_tn")</f>
        <v/>
      </c>
    </row>
    <row r="1971">
      <c r="A1971" t="inlineStr">
        <is>
          <t>24092279273</t>
        </is>
      </c>
      <c r="B1971" t="inlineStr">
        <is>
          <t>隔日到貨🔥 iPhone 手機殼 17 16 15 14 pro 13 12 11 保護殼 軟殼 蘋果</t>
        </is>
      </c>
      <c r="C1971">
        <f>IMAGE("https://cf.shopee.tw/file/tw-11134207-7rbka-m6zhjv6gaelebe_tn")</f>
        <v/>
      </c>
      <c r="D1971" t="inlineStr">
        <is>
          <t>銀色-小粉結滿屏,15 Pro Max</t>
        </is>
      </c>
      <c r="E1971" t="inlineStr">
        <is>
          <t>233891894811</t>
        </is>
      </c>
      <c r="F1971">
        <f>IMAGE("https://cf.shopee.tw/file/tw-11134207-7rbk8-m6zhpg2kb51b16_tn")</f>
        <v/>
      </c>
    </row>
    <row r="1972">
      <c r="A1972" t="inlineStr">
        <is>
          <t>24092279273</t>
        </is>
      </c>
      <c r="B1972" t="inlineStr">
        <is>
          <t>隔日到貨🔥 iPhone 手機殼 17 16 15 14 pro 13 12 11 保護殼 軟殼 蘋果</t>
        </is>
      </c>
      <c r="C1972">
        <f>IMAGE("https://cf.shopee.tw/file/tw-11134207-7rbka-m6zhjv6gaelebe_tn")</f>
        <v/>
      </c>
      <c r="D1972" t="inlineStr">
        <is>
          <t>銀色-小粉結滿屏,16</t>
        </is>
      </c>
      <c r="E1972" t="inlineStr">
        <is>
          <t>233891894812</t>
        </is>
      </c>
      <c r="F1972">
        <f>IMAGE("https://cf.shopee.tw/file/tw-11134207-7rbk8-m6zhpg2kb51b16_tn")</f>
        <v/>
      </c>
    </row>
    <row r="1973">
      <c r="A1973" t="inlineStr">
        <is>
          <t>24092279273</t>
        </is>
      </c>
      <c r="B1973" t="inlineStr">
        <is>
          <t>隔日到貨🔥 iPhone 手機殼 17 16 15 14 pro 13 12 11 保護殼 軟殼 蘋果</t>
        </is>
      </c>
      <c r="C1973">
        <f>IMAGE("https://cf.shopee.tw/file/tw-11134207-7rbka-m6zhjv6gaelebe_tn")</f>
        <v/>
      </c>
      <c r="D1973" t="inlineStr">
        <is>
          <t>銀色-小粉結滿屏,16 Plus</t>
        </is>
      </c>
      <c r="E1973" t="inlineStr">
        <is>
          <t>233891894813</t>
        </is>
      </c>
      <c r="F1973">
        <f>IMAGE("https://cf.shopee.tw/file/tw-11134207-7rbk8-m6zhpg2kb51b16_tn")</f>
        <v/>
      </c>
    </row>
    <row r="1974">
      <c r="A1974" t="inlineStr">
        <is>
          <t>24092279273</t>
        </is>
      </c>
      <c r="B1974" t="inlineStr">
        <is>
          <t>隔日到貨🔥 iPhone 手機殼 17 16 15 14 pro 13 12 11 保護殼 軟殼 蘋果</t>
        </is>
      </c>
      <c r="C1974">
        <f>IMAGE("https://cf.shopee.tw/file/tw-11134207-7rbka-m6zhjv6gaelebe_tn")</f>
        <v/>
      </c>
      <c r="D1974" t="inlineStr">
        <is>
          <t>銀色-小粉結滿屏,16 Pro</t>
        </is>
      </c>
      <c r="E1974" t="inlineStr">
        <is>
          <t>233891894814</t>
        </is>
      </c>
      <c r="F1974">
        <f>IMAGE("https://cf.shopee.tw/file/tw-11134207-7rbk8-m6zhpg2kb51b16_tn")</f>
        <v/>
      </c>
    </row>
    <row r="1975">
      <c r="A1975" t="inlineStr">
        <is>
          <t>24092279273</t>
        </is>
      </c>
      <c r="B1975" t="inlineStr">
        <is>
          <t>隔日到貨🔥 iPhone 手機殼 17 16 15 14 pro 13 12 11 保護殼 軟殼 蘋果</t>
        </is>
      </c>
      <c r="C1975">
        <f>IMAGE("https://cf.shopee.tw/file/tw-11134207-7rbka-m6zhjv6gaelebe_tn")</f>
        <v/>
      </c>
      <c r="D1975" t="inlineStr">
        <is>
          <t>銀色-小粉結滿屏,16 Pro Max</t>
        </is>
      </c>
      <c r="E1975" t="inlineStr">
        <is>
          <t>233891894815</t>
        </is>
      </c>
      <c r="F1975">
        <f>IMAGE("https://cf.shopee.tw/file/tw-11134207-7rbk8-m6zhpg2kb51b16_tn")</f>
        <v/>
      </c>
    </row>
    <row r="1976">
      <c r="A1976" t="inlineStr">
        <is>
          <t>24092279273</t>
        </is>
      </c>
      <c r="B1976" t="inlineStr">
        <is>
          <t>隔日到貨🔥 iPhone 手機殼 17 16 15 14 pro 13 12 11 保護殼 軟殼 蘋果</t>
        </is>
      </c>
      <c r="C1976">
        <f>IMAGE("https://cf.shopee.tw/file/tw-11134207-7rbka-m6zhjv6gaelebe_tn")</f>
        <v/>
      </c>
      <c r="D1976" t="inlineStr">
        <is>
          <t>銀色-小粉結滿屏,17</t>
        </is>
      </c>
      <c r="E1976" t="inlineStr">
        <is>
          <t>291827937572</t>
        </is>
      </c>
      <c r="F1976">
        <f>IMAGE("https://cf.shopee.tw/file/tw-11134207-7rbk8-m6zhpg2kb51b16_tn")</f>
        <v/>
      </c>
    </row>
    <row r="1977">
      <c r="A1977" t="inlineStr">
        <is>
          <t>24092279273</t>
        </is>
      </c>
      <c r="B1977" t="inlineStr">
        <is>
          <t>隔日到貨🔥 iPhone 手機殼 17 16 15 14 pro 13 12 11 保護殼 軟殼 蘋果</t>
        </is>
      </c>
      <c r="C1977">
        <f>IMAGE("https://cf.shopee.tw/file/tw-11134207-7rbka-m6zhjv6gaelebe_tn")</f>
        <v/>
      </c>
      <c r="D1977" t="inlineStr">
        <is>
          <t>銀色-小粉結滿屏,17 Pro</t>
        </is>
      </c>
      <c r="E1977" t="inlineStr">
        <is>
          <t>291827937573</t>
        </is>
      </c>
      <c r="F1977">
        <f>IMAGE("https://cf.shopee.tw/file/tw-11134207-7rbk8-m6zhpg2kb51b16_tn")</f>
        <v/>
      </c>
    </row>
    <row r="1978">
      <c r="A1978" t="inlineStr">
        <is>
          <t>24092279273</t>
        </is>
      </c>
      <c r="B1978" t="inlineStr">
        <is>
          <t>隔日到貨🔥 iPhone 手機殼 17 16 15 14 pro 13 12 11 保護殼 軟殼 蘋果</t>
        </is>
      </c>
      <c r="C1978">
        <f>IMAGE("https://cf.shopee.tw/file/tw-11134207-7rbka-m6zhjv6gaelebe_tn")</f>
        <v/>
      </c>
      <c r="D1978" t="inlineStr">
        <is>
          <t>銀色-小粉結滿屏,17 Pro Max</t>
        </is>
      </c>
      <c r="E1978" t="inlineStr">
        <is>
          <t>291827937574</t>
        </is>
      </c>
      <c r="F1978">
        <f>IMAGE("https://cf.shopee.tw/file/tw-11134207-7rbk8-m6zhpg2kb51b16_tn")</f>
        <v/>
      </c>
    </row>
    <row r="1979">
      <c r="A1979" t="inlineStr">
        <is>
          <t>24092279273</t>
        </is>
      </c>
      <c r="B1979" t="inlineStr">
        <is>
          <t>隔日到貨🔥 iPhone 手機殼 17 16 15 14 pro 13 12 11 保護殼 軟殼 蘋果</t>
        </is>
      </c>
      <c r="C1979">
        <f>IMAGE("https://cf.shopee.tw/file/tw-11134207-7rbka-m6zhjv6gaelebe_tn")</f>
        <v/>
      </c>
      <c r="D1979" t="inlineStr">
        <is>
          <t>銀色-小粉結滿屏,17 Air</t>
        </is>
      </c>
      <c r="E1979" t="inlineStr"/>
      <c r="F1979">
        <f>IMAGE("https://cf.shopee.tw/file/tw-11134207-7rbk8-m6zhpg2kb51b16_tn")</f>
        <v/>
      </c>
    </row>
    <row r="1980">
      <c r="A1980" t="inlineStr">
        <is>
          <t>19027118958</t>
        </is>
      </c>
      <c r="B1980" t="inlineStr">
        <is>
          <t>隔日到貨🔥 ins風 手機氣囊 多功能指環扣 伸縮折疊 立體氣囊 手機架 適合各手機 氣囊 黏貼式 懶人氣囊</t>
        </is>
      </c>
      <c r="C1980">
        <f>IMAGE("https://cf.shopee.tw/file/sg-11134201-22110-hhyk8039mqjv96_tn")</f>
        <v/>
      </c>
      <c r="D1980" t="inlineStr">
        <is>
          <t>k15</t>
        </is>
      </c>
      <c r="E1980" t="inlineStr">
        <is>
          <t>145269992732</t>
        </is>
      </c>
      <c r="F1980">
        <f>IMAGE("https://cf.shopee.tw/file/53f2ac8d8f6a5318f2e8a1f2ff56515c_tn")</f>
        <v/>
      </c>
    </row>
    <row r="1981">
      <c r="A1981" t="inlineStr">
        <is>
          <t>19027118958</t>
        </is>
      </c>
      <c r="B1981" t="inlineStr">
        <is>
          <t>隔日到貨🔥 ins風 手機氣囊 多功能指環扣 伸縮折疊 立體氣囊 手機架 適合各手機 氣囊 黏貼式 懶人氣囊</t>
        </is>
      </c>
      <c r="C1981">
        <f>IMAGE("https://cf.shopee.tw/file/sg-11134201-22110-hhyk8039mqjv96_tn")</f>
        <v/>
      </c>
      <c r="D1981" t="inlineStr">
        <is>
          <t>m172</t>
        </is>
      </c>
      <c r="E1981" t="inlineStr">
        <is>
          <t>183153744434</t>
        </is>
      </c>
      <c r="F1981">
        <f>IMAGE("https://cf.shopee.tw/file/sg-11134201-22110-j96j7l80mqjv67_tn")</f>
        <v/>
      </c>
    </row>
    <row r="1982">
      <c r="A1982" t="inlineStr">
        <is>
          <t>19027118958</t>
        </is>
      </c>
      <c r="B1982" t="inlineStr">
        <is>
          <t>隔日到貨🔥 ins風 手機氣囊 多功能指環扣 伸縮折疊 立體氣囊 手機架 適合各手機 氣囊 黏貼式 懶人氣囊</t>
        </is>
      </c>
      <c r="C1982">
        <f>IMAGE("https://cf.shopee.tw/file/sg-11134201-22110-hhyk8039mqjv96_tn")</f>
        <v/>
      </c>
      <c r="D1982" t="inlineStr">
        <is>
          <t>m173</t>
        </is>
      </c>
      <c r="E1982" t="inlineStr">
        <is>
          <t>183153744433</t>
        </is>
      </c>
      <c r="F1982">
        <f>IMAGE("https://cf.shopee.tw/file/sg-11134201-22110-t37auxbanqjv29_tn")</f>
        <v/>
      </c>
    </row>
    <row r="1983">
      <c r="A1983" t="inlineStr">
        <is>
          <t>19027118958</t>
        </is>
      </c>
      <c r="B1983" t="inlineStr">
        <is>
          <t>隔日到貨🔥 ins風 手機氣囊 多功能指環扣 伸縮折疊 立體氣囊 手機架 適合各手機 氣囊 黏貼式 懶人氣囊</t>
        </is>
      </c>
      <c r="C1983">
        <f>IMAGE("https://cf.shopee.tw/file/sg-11134201-22110-hhyk8039mqjv96_tn")</f>
        <v/>
      </c>
      <c r="D1983" t="inlineStr">
        <is>
          <t>m174</t>
        </is>
      </c>
      <c r="E1983" t="inlineStr">
        <is>
          <t>183153744435</t>
        </is>
      </c>
      <c r="F1983">
        <f>IMAGE("https://cf.shopee.tw/file/sg-11134201-22110-7buceyfanqjvf5_tn")</f>
        <v/>
      </c>
    </row>
    <row r="1984">
      <c r="A1984" t="inlineStr">
        <is>
          <t>19027118958</t>
        </is>
      </c>
      <c r="B1984" t="inlineStr">
        <is>
          <t>隔日到貨🔥 ins風 手機氣囊 多功能指環扣 伸縮折疊 立體氣囊 手機架 適合各手機 氣囊 黏貼式 懶人氣囊</t>
        </is>
      </c>
      <c r="C1984">
        <f>IMAGE("https://cf.shopee.tw/file/sg-11134201-22110-hhyk8039mqjv96_tn")</f>
        <v/>
      </c>
      <c r="D1984" t="inlineStr">
        <is>
          <t>m175</t>
        </is>
      </c>
      <c r="E1984" t="inlineStr">
        <is>
          <t>183153744432</t>
        </is>
      </c>
      <c r="F1984">
        <f>IMAGE("https://cf.shopee.tw/file/sg-11134201-22110-uirlwvjanqjv17_tn")</f>
        <v/>
      </c>
    </row>
    <row r="1985">
      <c r="A1985" t="inlineStr">
        <is>
          <t>19027118958</t>
        </is>
      </c>
      <c r="B1985" t="inlineStr">
        <is>
          <t>隔日到貨🔥 ins風 手機氣囊 多功能指環扣 伸縮折疊 立體氣囊 手機架 適合各手機 氣囊 黏貼式 懶人氣囊</t>
        </is>
      </c>
      <c r="C1985">
        <f>IMAGE("https://cf.shopee.tw/file/sg-11134201-22110-hhyk8039mqjv96_tn")</f>
        <v/>
      </c>
      <c r="D1985" t="inlineStr">
        <is>
          <t>k1</t>
        </is>
      </c>
      <c r="E1985" t="inlineStr">
        <is>
          <t>145269992723</t>
        </is>
      </c>
      <c r="F1985">
        <f>IMAGE("https://cf.shopee.tw/file/91c58415d96d0e50da99a631117f4c7c_tn")</f>
        <v/>
      </c>
    </row>
    <row r="1986">
      <c r="A1986" t="inlineStr">
        <is>
          <t>19027118958</t>
        </is>
      </c>
      <c r="B1986" t="inlineStr">
        <is>
          <t>隔日到貨🔥 ins風 手機氣囊 多功能指環扣 伸縮折疊 立體氣囊 手機架 適合各手機 氣囊 黏貼式 懶人氣囊</t>
        </is>
      </c>
      <c r="C1986">
        <f>IMAGE("https://cf.shopee.tw/file/sg-11134201-22110-hhyk8039mqjv96_tn")</f>
        <v/>
      </c>
      <c r="D1986" t="inlineStr">
        <is>
          <t>k2</t>
        </is>
      </c>
      <c r="E1986" t="inlineStr"/>
      <c r="F1986">
        <f>IMAGE("https://cf.shopee.tw/file/c38583b06b4ff97ccfb24501ff5d10f1_tn")</f>
        <v/>
      </c>
    </row>
    <row r="1987">
      <c r="A1987" t="inlineStr">
        <is>
          <t>19027118958</t>
        </is>
      </c>
      <c r="B1987" t="inlineStr">
        <is>
          <t>隔日到貨🔥 ins風 手機氣囊 多功能指環扣 伸縮折疊 立體氣囊 手機架 適合各手機 氣囊 黏貼式 懶人氣囊</t>
        </is>
      </c>
      <c r="C1987">
        <f>IMAGE("https://cf.shopee.tw/file/sg-11134201-22110-hhyk8039mqjv96_tn")</f>
        <v/>
      </c>
      <c r="D1987" t="inlineStr">
        <is>
          <t>k3</t>
        </is>
      </c>
      <c r="E1987" t="inlineStr"/>
      <c r="F1987">
        <f>IMAGE("https://cf.shopee.tw/file/12f88d980987c2a336ab4adbfa99e034_tn")</f>
        <v/>
      </c>
    </row>
    <row r="1988">
      <c r="A1988" t="inlineStr">
        <is>
          <t>19027118958</t>
        </is>
      </c>
      <c r="B1988" t="inlineStr">
        <is>
          <t>隔日到貨🔥 ins風 手機氣囊 多功能指環扣 伸縮折疊 立體氣囊 手機架 適合各手機 氣囊 黏貼式 懶人氣囊</t>
        </is>
      </c>
      <c r="C1988">
        <f>IMAGE("https://cf.shopee.tw/file/sg-11134201-22110-hhyk8039mqjv96_tn")</f>
        <v/>
      </c>
      <c r="D1988" t="inlineStr">
        <is>
          <t>k4</t>
        </is>
      </c>
      <c r="E1988" t="inlineStr"/>
      <c r="F1988">
        <f>IMAGE("https://cf.shopee.tw/file/1ca3c0f6f332480c1fe19a2169011e40_tn")</f>
        <v/>
      </c>
    </row>
    <row r="1989">
      <c r="A1989" t="inlineStr">
        <is>
          <t>19027118958</t>
        </is>
      </c>
      <c r="B1989" t="inlineStr">
        <is>
          <t>隔日到貨🔥 ins風 手機氣囊 多功能指環扣 伸縮折疊 立體氣囊 手機架 適合各手機 氣囊 黏貼式 懶人氣囊</t>
        </is>
      </c>
      <c r="C1989">
        <f>IMAGE("https://cf.shopee.tw/file/sg-11134201-22110-hhyk8039mqjv96_tn")</f>
        <v/>
      </c>
      <c r="D1989" t="inlineStr">
        <is>
          <t>k5</t>
        </is>
      </c>
      <c r="E1989" t="inlineStr">
        <is>
          <t>145269992716</t>
        </is>
      </c>
      <c r="F1989">
        <f>IMAGE("https://cf.shopee.tw/file/eba110dd2e8ddae23c418be44dc4d5d8_tn")</f>
        <v/>
      </c>
    </row>
    <row r="1990">
      <c r="A1990" t="inlineStr">
        <is>
          <t>19027118958</t>
        </is>
      </c>
      <c r="B1990" t="inlineStr">
        <is>
          <t>隔日到貨🔥 ins風 手機氣囊 多功能指環扣 伸縮折疊 立體氣囊 手機架 適合各手機 氣囊 黏貼式 懶人氣囊</t>
        </is>
      </c>
      <c r="C1990">
        <f>IMAGE("https://cf.shopee.tw/file/sg-11134201-22110-hhyk8039mqjv96_tn")</f>
        <v/>
      </c>
      <c r="D1990" t="inlineStr">
        <is>
          <t>k6</t>
        </is>
      </c>
      <c r="E1990" t="inlineStr">
        <is>
          <t>145269992730</t>
        </is>
      </c>
      <c r="F1990">
        <f>IMAGE("https://cf.shopee.tw/file/42d5613624bfa2f3609124a58b04caaa_tn")</f>
        <v/>
      </c>
    </row>
    <row r="1991">
      <c r="A1991" t="inlineStr">
        <is>
          <t>19027118958</t>
        </is>
      </c>
      <c r="B1991" t="inlineStr">
        <is>
          <t>隔日到貨🔥 ins風 手機氣囊 多功能指環扣 伸縮折疊 立體氣囊 手機架 適合各手機 氣囊 黏貼式 懶人氣囊</t>
        </is>
      </c>
      <c r="C1991">
        <f>IMAGE("https://cf.shopee.tw/file/sg-11134201-22110-hhyk8039mqjv96_tn")</f>
        <v/>
      </c>
      <c r="D1991" t="inlineStr">
        <is>
          <t>k7</t>
        </is>
      </c>
      <c r="E1991" t="inlineStr">
        <is>
          <t>145269992733</t>
        </is>
      </c>
      <c r="F1991">
        <f>IMAGE("https://cf.shopee.tw/file/ab6b5d4d1a359cd97467bfacb503153b_tn")</f>
        <v/>
      </c>
    </row>
    <row r="1992">
      <c r="A1992" t="inlineStr">
        <is>
          <t>19027118958</t>
        </is>
      </c>
      <c r="B1992" t="inlineStr">
        <is>
          <t>隔日到貨🔥 ins風 手機氣囊 多功能指環扣 伸縮折疊 立體氣囊 手機架 適合各手機 氣囊 黏貼式 懶人氣囊</t>
        </is>
      </c>
      <c r="C1992">
        <f>IMAGE("https://cf.shopee.tw/file/sg-11134201-22110-hhyk8039mqjv96_tn")</f>
        <v/>
      </c>
      <c r="D1992" t="inlineStr">
        <is>
          <t>k8</t>
        </is>
      </c>
      <c r="E1992" t="inlineStr"/>
      <c r="F1992">
        <f>IMAGE("https://cf.shopee.tw/file/4a691d330a94b41072a9a6d8c8f24ace_tn")</f>
        <v/>
      </c>
    </row>
    <row r="1993">
      <c r="A1993" t="inlineStr">
        <is>
          <t>19027118958</t>
        </is>
      </c>
      <c r="B1993" t="inlineStr">
        <is>
          <t>隔日到貨🔥 ins風 手機氣囊 多功能指環扣 伸縮折疊 立體氣囊 手機架 適合各手機 氣囊 黏貼式 懶人氣囊</t>
        </is>
      </c>
      <c r="C1993">
        <f>IMAGE("https://cf.shopee.tw/file/sg-11134201-22110-hhyk8039mqjv96_tn")</f>
        <v/>
      </c>
      <c r="D1993" t="inlineStr">
        <is>
          <t>k9</t>
        </is>
      </c>
      <c r="E1993" t="inlineStr">
        <is>
          <t>145269992726</t>
        </is>
      </c>
      <c r="F1993">
        <f>IMAGE("https://cf.shopee.tw/file/eba107ecf937b47bf66a325da11b9ad2_tn")</f>
        <v/>
      </c>
    </row>
    <row r="1994">
      <c r="A1994" t="inlineStr">
        <is>
          <t>19027118958</t>
        </is>
      </c>
      <c r="B1994" t="inlineStr">
        <is>
          <t>隔日到貨🔥 ins風 手機氣囊 多功能指環扣 伸縮折疊 立體氣囊 手機架 適合各手機 氣囊 黏貼式 懶人氣囊</t>
        </is>
      </c>
      <c r="C1994">
        <f>IMAGE("https://cf.shopee.tw/file/sg-11134201-22110-hhyk8039mqjv96_tn")</f>
        <v/>
      </c>
      <c r="D1994" t="inlineStr">
        <is>
          <t>k10</t>
        </is>
      </c>
      <c r="E1994" t="inlineStr">
        <is>
          <t>145269992718</t>
        </is>
      </c>
      <c r="F1994">
        <f>IMAGE("https://cf.shopee.tw/file/3e9c84cdf7d75737aa69e400906d5a83_tn")</f>
        <v/>
      </c>
    </row>
    <row r="1995">
      <c r="A1995" t="inlineStr">
        <is>
          <t>19027118958</t>
        </is>
      </c>
      <c r="B1995" t="inlineStr">
        <is>
          <t>隔日到貨🔥 ins風 手機氣囊 多功能指環扣 伸縮折疊 立體氣囊 手機架 適合各手機 氣囊 黏貼式 懶人氣囊</t>
        </is>
      </c>
      <c r="C1995">
        <f>IMAGE("https://cf.shopee.tw/file/sg-11134201-22110-hhyk8039mqjv96_tn")</f>
        <v/>
      </c>
      <c r="D1995" t="inlineStr">
        <is>
          <t>k11</t>
        </is>
      </c>
      <c r="E1995" t="inlineStr"/>
      <c r="F1995">
        <f>IMAGE("https://cf.shopee.tw/file/6484de6674b4ef0d8307926ecdeb5279_tn")</f>
        <v/>
      </c>
    </row>
    <row r="1996">
      <c r="A1996" t="inlineStr">
        <is>
          <t>19027118958</t>
        </is>
      </c>
      <c r="B1996" t="inlineStr">
        <is>
          <t>隔日到貨🔥 ins風 手機氣囊 多功能指環扣 伸縮折疊 立體氣囊 手機架 適合各手機 氣囊 黏貼式 懶人氣囊</t>
        </is>
      </c>
      <c r="C1996">
        <f>IMAGE("https://cf.shopee.tw/file/sg-11134201-22110-hhyk8039mqjv96_tn")</f>
        <v/>
      </c>
      <c r="D1996" t="inlineStr">
        <is>
          <t>k12</t>
        </is>
      </c>
      <c r="E1996" t="inlineStr">
        <is>
          <t>145269992720</t>
        </is>
      </c>
      <c r="F1996">
        <f>IMAGE("https://cf.shopee.tw/file/e973d2463cd51e34b1c56ba5300975b6_tn")</f>
        <v/>
      </c>
    </row>
    <row r="1997">
      <c r="A1997" t="inlineStr">
        <is>
          <t>19027118958</t>
        </is>
      </c>
      <c r="B1997" t="inlineStr">
        <is>
          <t>隔日到貨🔥 ins風 手機氣囊 多功能指環扣 伸縮折疊 立體氣囊 手機架 適合各手機 氣囊 黏貼式 懶人氣囊</t>
        </is>
      </c>
      <c r="C1997">
        <f>IMAGE("https://cf.shopee.tw/file/sg-11134201-22110-hhyk8039mqjv96_tn")</f>
        <v/>
      </c>
      <c r="D1997" t="inlineStr">
        <is>
          <t>k13</t>
        </is>
      </c>
      <c r="E1997" t="inlineStr"/>
      <c r="F1997">
        <f>IMAGE("https://cf.shopee.tw/file/c5a40d0ca8a198604312a7c1f2d1a913_tn")</f>
        <v/>
      </c>
    </row>
    <row r="1998">
      <c r="A1998" t="inlineStr">
        <is>
          <t>19027118958</t>
        </is>
      </c>
      <c r="B1998" t="inlineStr">
        <is>
          <t>隔日到貨🔥 ins風 手機氣囊 多功能指環扣 伸縮折疊 立體氣囊 手機架 適合各手機 氣囊 黏貼式 懶人氣囊</t>
        </is>
      </c>
      <c r="C1998">
        <f>IMAGE("https://cf.shopee.tw/file/sg-11134201-22110-hhyk8039mqjv96_tn")</f>
        <v/>
      </c>
      <c r="D1998" t="inlineStr">
        <is>
          <t>k14</t>
        </is>
      </c>
      <c r="E1998" t="inlineStr">
        <is>
          <t>145269992731</t>
        </is>
      </c>
      <c r="F1998">
        <f>IMAGE("https://cf.shopee.tw/file/bb191f263db055a6c5f8e1c3acb3ed10_tn")</f>
        <v/>
      </c>
    </row>
    <row r="1999">
      <c r="A1999" t="inlineStr">
        <is>
          <t>19027118958</t>
        </is>
      </c>
      <c r="B1999" t="inlineStr">
        <is>
          <t>隔日到貨🔥 ins風 手機氣囊 多功能指環扣 伸縮折疊 立體氣囊 手機架 適合各手機 氣囊 黏貼式 懶人氣囊</t>
        </is>
      </c>
      <c r="C1999">
        <f>IMAGE("https://cf.shopee.tw/file/sg-11134201-22110-hhyk8039mqjv96_tn")</f>
        <v/>
      </c>
      <c r="D1999" t="inlineStr">
        <is>
          <t>k16</t>
        </is>
      </c>
      <c r="E1999" t="inlineStr">
        <is>
          <t>145269992721</t>
        </is>
      </c>
      <c r="F1999">
        <f>IMAGE("https://cf.shopee.tw/file/7af7a3a2a2dd1c89ab04b06641f377ec_tn")</f>
        <v/>
      </c>
    </row>
    <row r="2000">
      <c r="A2000" t="inlineStr">
        <is>
          <t>19027118958</t>
        </is>
      </c>
      <c r="B2000" t="inlineStr">
        <is>
          <t>隔日到貨🔥 ins風 手機氣囊 多功能指環扣 伸縮折疊 立體氣囊 手機架 適合各手機 氣囊 黏貼式 懶人氣囊</t>
        </is>
      </c>
      <c r="C2000">
        <f>IMAGE("https://cf.shopee.tw/file/sg-11134201-22110-hhyk8039mqjv96_tn")</f>
        <v/>
      </c>
      <c r="D2000" t="inlineStr">
        <is>
          <t>k17</t>
        </is>
      </c>
      <c r="E2000" t="inlineStr"/>
      <c r="F2000">
        <f>IMAGE("https://cf.shopee.tw/file/e807e00c47300eae6286f54312adec0c_tn")</f>
        <v/>
      </c>
    </row>
    <row r="2001">
      <c r="A2001" t="inlineStr">
        <is>
          <t>19027118958</t>
        </is>
      </c>
      <c r="B2001" t="inlineStr">
        <is>
          <t>隔日到貨🔥 ins風 手機氣囊 多功能指環扣 伸縮折疊 立體氣囊 手機架 適合各手機 氣囊 黏貼式 懶人氣囊</t>
        </is>
      </c>
      <c r="C2001">
        <f>IMAGE("https://cf.shopee.tw/file/sg-11134201-22110-hhyk8039mqjv96_tn")</f>
        <v/>
      </c>
      <c r="D2001" t="inlineStr">
        <is>
          <t>k18</t>
        </is>
      </c>
      <c r="E2001" t="inlineStr">
        <is>
          <t>145269992722</t>
        </is>
      </c>
      <c r="F2001">
        <f>IMAGE("https://cf.shopee.tw/file/2c8f12490bae441ade6bcc7bdcaa9fa1_tn")</f>
        <v/>
      </c>
    </row>
    <row r="2002">
      <c r="A2002" t="inlineStr">
        <is>
          <t>19027118958</t>
        </is>
      </c>
      <c r="B2002" t="inlineStr">
        <is>
          <t>隔日到貨🔥 ins風 手機氣囊 多功能指環扣 伸縮折疊 立體氣囊 手機架 適合各手機 氣囊 黏貼式 懶人氣囊</t>
        </is>
      </c>
      <c r="C2002">
        <f>IMAGE("https://cf.shopee.tw/file/sg-11134201-22110-hhyk8039mqjv96_tn")</f>
        <v/>
      </c>
      <c r="D2002" t="inlineStr">
        <is>
          <t>k19</t>
        </is>
      </c>
      <c r="E2002" t="inlineStr">
        <is>
          <t>145269992734</t>
        </is>
      </c>
      <c r="F2002">
        <f>IMAGE("https://cf.shopee.tw/file/335e9fef49530e9fba7b1b19f31dfe1c_tn")</f>
        <v/>
      </c>
    </row>
    <row r="2003">
      <c r="A2003" t="inlineStr">
        <is>
          <t>20568038275</t>
        </is>
      </c>
      <c r="B2003" t="inlineStr">
        <is>
          <t>隔日到貨🔥 iPhone 手機殼 16 15 14 13 12 11 pro Max XS XR SE 保護殼 軟殼</t>
        </is>
      </c>
      <c r="C2003">
        <f>IMAGE("https://cf.shopee.tw/file/sg-11134201-22120-ht8jabzx9xkva4_tn")</f>
        <v/>
      </c>
      <c r="D2003" t="inlineStr">
        <is>
          <t>2. 編織紋 黑色,12 / 12 pro</t>
        </is>
      </c>
      <c r="E2003" t="inlineStr"/>
      <c r="F2003">
        <f>IMAGE("https://cf.shopee.tw/file/sg-11134201-22120-3ryiub9o6wkv5a_tn")</f>
        <v/>
      </c>
    </row>
    <row r="2004">
      <c r="A2004" t="inlineStr">
        <is>
          <t>20568038275</t>
        </is>
      </c>
      <c r="B2004" t="inlineStr">
        <is>
          <t>隔日到貨🔥 iPhone 手機殼 16 15 14 13 12 11 pro Max XS XR SE 保護殼 軟殼</t>
        </is>
      </c>
      <c r="C2004">
        <f>IMAGE("https://cf.shopee.tw/file/sg-11134201-22120-ht8jabzx9xkva4_tn")</f>
        <v/>
      </c>
      <c r="D2004" t="inlineStr">
        <is>
          <t>1. 編織紋 杏色,7 / 8 / SE2 / SE3</t>
        </is>
      </c>
      <c r="E2004" t="inlineStr">
        <is>
          <t>107826106552</t>
        </is>
      </c>
      <c r="F2004">
        <f>IMAGE("https://cf.shopee.tw/file/sg-11134201-22120-oqmifu1o6wkvda_tn")</f>
        <v/>
      </c>
    </row>
    <row r="2005">
      <c r="A2005" t="inlineStr">
        <is>
          <t>20568038275</t>
        </is>
      </c>
      <c r="B2005" t="inlineStr">
        <is>
          <t>隔日到貨🔥 iPhone 手機殼 16 15 14 13 12 11 pro Max XS XR SE 保護殼 軟殼</t>
        </is>
      </c>
      <c r="C2005">
        <f>IMAGE("https://cf.shopee.tw/file/sg-11134201-22120-ht8jabzx9xkva4_tn")</f>
        <v/>
      </c>
      <c r="D2005" t="inlineStr">
        <is>
          <t>1. 編織紋 杏色,7Plus / 8Plus</t>
        </is>
      </c>
      <c r="E2005" t="inlineStr">
        <is>
          <t>107826106540</t>
        </is>
      </c>
      <c r="F2005">
        <f>IMAGE("https://cf.shopee.tw/file/sg-11134201-22120-oqmifu1o6wkvda_tn")</f>
        <v/>
      </c>
    </row>
    <row r="2006">
      <c r="A2006" t="inlineStr">
        <is>
          <t>20568038275</t>
        </is>
      </c>
      <c r="B2006" t="inlineStr">
        <is>
          <t>隔日到貨🔥 iPhone 手機殼 16 15 14 13 12 11 pro Max XS XR SE 保護殼 軟殼</t>
        </is>
      </c>
      <c r="C2006">
        <f>IMAGE("https://cf.shopee.tw/file/sg-11134201-22120-ht8jabzx9xkva4_tn")</f>
        <v/>
      </c>
      <c r="D2006" t="inlineStr">
        <is>
          <t>1. 編織紋 杏色,X / XS</t>
        </is>
      </c>
      <c r="E2006" t="inlineStr">
        <is>
          <t>107826106553</t>
        </is>
      </c>
      <c r="F2006">
        <f>IMAGE("https://cf.shopee.tw/file/sg-11134201-22120-oqmifu1o6wkvda_tn")</f>
        <v/>
      </c>
    </row>
    <row r="2007">
      <c r="A2007" t="inlineStr">
        <is>
          <t>20568038275</t>
        </is>
      </c>
      <c r="B2007" t="inlineStr">
        <is>
          <t>隔日到貨🔥 iPhone 手機殼 16 15 14 13 12 11 pro Max XS XR SE 保護殼 軟殼</t>
        </is>
      </c>
      <c r="C2007">
        <f>IMAGE("https://cf.shopee.tw/file/sg-11134201-22120-ht8jabzx9xkva4_tn")</f>
        <v/>
      </c>
      <c r="D2007" t="inlineStr">
        <is>
          <t>1. 編織紋 杏色,XR</t>
        </is>
      </c>
      <c r="E2007" t="inlineStr">
        <is>
          <t>107826106529</t>
        </is>
      </c>
      <c r="F2007">
        <f>IMAGE("https://cf.shopee.tw/file/sg-11134201-22120-oqmifu1o6wkvda_tn")</f>
        <v/>
      </c>
    </row>
    <row r="2008">
      <c r="A2008" t="inlineStr">
        <is>
          <t>20568038275</t>
        </is>
      </c>
      <c r="B2008" t="inlineStr">
        <is>
          <t>隔日到貨🔥 iPhone 手機殼 16 15 14 13 12 11 pro Max XS XR SE 保護殼 軟殼</t>
        </is>
      </c>
      <c r="C2008">
        <f>IMAGE("https://cf.shopee.tw/file/sg-11134201-22120-ht8jabzx9xkva4_tn")</f>
        <v/>
      </c>
      <c r="D2008" t="inlineStr">
        <is>
          <t>1. 編織紋 杏色,11</t>
        </is>
      </c>
      <c r="E2008" t="inlineStr"/>
      <c r="F2008">
        <f>IMAGE("https://cf.shopee.tw/file/sg-11134201-22120-oqmifu1o6wkvda_tn")</f>
        <v/>
      </c>
    </row>
    <row r="2009">
      <c r="A2009" t="inlineStr">
        <is>
          <t>20568038275</t>
        </is>
      </c>
      <c r="B2009" t="inlineStr">
        <is>
          <t>隔日到貨🔥 iPhone 手機殼 16 15 14 13 12 11 pro Max XS XR SE 保護殼 軟殼</t>
        </is>
      </c>
      <c r="C2009">
        <f>IMAGE("https://cf.shopee.tw/file/sg-11134201-22120-ht8jabzx9xkva4_tn")</f>
        <v/>
      </c>
      <c r="D2009" t="inlineStr">
        <is>
          <t>1. 編織紋 杏色,11 pro</t>
        </is>
      </c>
      <c r="E2009" t="inlineStr">
        <is>
          <t>107826106549</t>
        </is>
      </c>
      <c r="F2009">
        <f>IMAGE("https://cf.shopee.tw/file/sg-11134201-22120-oqmifu1o6wkvda_tn")</f>
        <v/>
      </c>
    </row>
    <row r="2010">
      <c r="A2010" t="inlineStr">
        <is>
          <t>20568038275</t>
        </is>
      </c>
      <c r="B2010" t="inlineStr">
        <is>
          <t>隔日到貨🔥 iPhone 手機殼 16 15 14 13 12 11 pro Max XS XR SE 保護殼 軟殼</t>
        </is>
      </c>
      <c r="C2010">
        <f>IMAGE("https://cf.shopee.tw/file/sg-11134201-22120-ht8jabzx9xkva4_tn")</f>
        <v/>
      </c>
      <c r="D2010" t="inlineStr">
        <is>
          <t>1. 編織紋 杏色,11 proMax</t>
        </is>
      </c>
      <c r="E2010" t="inlineStr">
        <is>
          <t>107826106535</t>
        </is>
      </c>
      <c r="F2010">
        <f>IMAGE("https://cf.shopee.tw/file/sg-11134201-22120-oqmifu1o6wkvda_tn")</f>
        <v/>
      </c>
    </row>
    <row r="2011">
      <c r="A2011" t="inlineStr">
        <is>
          <t>20568038275</t>
        </is>
      </c>
      <c r="B2011" t="inlineStr">
        <is>
          <t>隔日到貨🔥 iPhone 手機殼 16 15 14 13 12 11 pro Max XS XR SE 保護殼 軟殼</t>
        </is>
      </c>
      <c r="C2011">
        <f>IMAGE("https://cf.shopee.tw/file/sg-11134201-22120-ht8jabzx9xkva4_tn")</f>
        <v/>
      </c>
      <c r="D2011" t="inlineStr">
        <is>
          <t>1. 編織紋 杏色,12 / 12 pro</t>
        </is>
      </c>
      <c r="E2011" t="inlineStr">
        <is>
          <t>107826106551</t>
        </is>
      </c>
      <c r="F2011">
        <f>IMAGE("https://cf.shopee.tw/file/sg-11134201-22120-oqmifu1o6wkvda_tn")</f>
        <v/>
      </c>
    </row>
    <row r="2012">
      <c r="A2012" t="inlineStr">
        <is>
          <t>20568038275</t>
        </is>
      </c>
      <c r="B2012" t="inlineStr">
        <is>
          <t>隔日到貨🔥 iPhone 手機殼 16 15 14 13 12 11 pro Max XS XR SE 保護殼 軟殼</t>
        </is>
      </c>
      <c r="C2012">
        <f>IMAGE("https://cf.shopee.tw/file/sg-11134201-22120-ht8jabzx9xkva4_tn")</f>
        <v/>
      </c>
      <c r="D2012" t="inlineStr">
        <is>
          <t>1. 編織紋 杏色,12 proMax</t>
        </is>
      </c>
      <c r="E2012" t="inlineStr"/>
      <c r="F2012">
        <f>IMAGE("https://cf.shopee.tw/file/sg-11134201-22120-oqmifu1o6wkvda_tn")</f>
        <v/>
      </c>
    </row>
    <row r="2013">
      <c r="A2013" t="inlineStr">
        <is>
          <t>20568038275</t>
        </is>
      </c>
      <c r="B2013" t="inlineStr">
        <is>
          <t>隔日到貨🔥 iPhone 手機殼 16 15 14 13 12 11 pro Max XS XR SE 保護殼 軟殼</t>
        </is>
      </c>
      <c r="C2013">
        <f>IMAGE("https://cf.shopee.tw/file/sg-11134201-22120-ht8jabzx9xkva4_tn")</f>
        <v/>
      </c>
      <c r="D2013" t="inlineStr">
        <is>
          <t>1. 編織紋 杏色,13</t>
        </is>
      </c>
      <c r="E2013" t="inlineStr">
        <is>
          <t>107826106546</t>
        </is>
      </c>
      <c r="F2013">
        <f>IMAGE("https://cf.shopee.tw/file/sg-11134201-22120-oqmifu1o6wkvda_tn")</f>
        <v/>
      </c>
    </row>
    <row r="2014">
      <c r="A2014" t="inlineStr">
        <is>
          <t>20568038275</t>
        </is>
      </c>
      <c r="B2014" t="inlineStr">
        <is>
          <t>隔日到貨🔥 iPhone 手機殼 16 15 14 13 12 11 pro Max XS XR SE 保護殼 軟殼</t>
        </is>
      </c>
      <c r="C2014">
        <f>IMAGE("https://cf.shopee.tw/file/sg-11134201-22120-ht8jabzx9xkva4_tn")</f>
        <v/>
      </c>
      <c r="D2014" t="inlineStr">
        <is>
          <t>1. 編織紋 杏色,13 pro</t>
        </is>
      </c>
      <c r="E2014" t="inlineStr">
        <is>
          <t>107826106541</t>
        </is>
      </c>
      <c r="F2014">
        <f>IMAGE("https://cf.shopee.tw/file/sg-11134201-22120-oqmifu1o6wkvda_tn")</f>
        <v/>
      </c>
    </row>
    <row r="2015">
      <c r="A2015" t="inlineStr">
        <is>
          <t>20568038275</t>
        </is>
      </c>
      <c r="B2015" t="inlineStr">
        <is>
          <t>隔日到貨🔥 iPhone 手機殼 16 15 14 13 12 11 pro Max XS XR SE 保護殼 軟殼</t>
        </is>
      </c>
      <c r="C2015">
        <f>IMAGE("https://cf.shopee.tw/file/sg-11134201-22120-ht8jabzx9xkva4_tn")</f>
        <v/>
      </c>
      <c r="D2015" t="inlineStr">
        <is>
          <t>1. 編織紋 杏色,13 pro Max</t>
        </is>
      </c>
      <c r="E2015" t="inlineStr"/>
      <c r="F2015">
        <f>IMAGE("https://cf.shopee.tw/file/sg-11134201-22120-oqmifu1o6wkvda_tn")</f>
        <v/>
      </c>
    </row>
    <row r="2016">
      <c r="A2016" t="inlineStr">
        <is>
          <t>20568038275</t>
        </is>
      </c>
      <c r="B2016" t="inlineStr">
        <is>
          <t>隔日到貨🔥 iPhone 手機殼 16 15 14 13 12 11 pro Max XS XR SE 保護殼 軟殼</t>
        </is>
      </c>
      <c r="C2016">
        <f>IMAGE("https://cf.shopee.tw/file/sg-11134201-22120-ht8jabzx9xkva4_tn")</f>
        <v/>
      </c>
      <c r="D2016" t="inlineStr">
        <is>
          <t>1. 編織紋 杏色,14</t>
        </is>
      </c>
      <c r="E2016" t="inlineStr"/>
      <c r="F2016">
        <f>IMAGE("https://cf.shopee.tw/file/sg-11134201-22120-oqmifu1o6wkvda_tn")</f>
        <v/>
      </c>
    </row>
    <row r="2017">
      <c r="A2017" t="inlineStr">
        <is>
          <t>20568038275</t>
        </is>
      </c>
      <c r="B2017" t="inlineStr">
        <is>
          <t>隔日到貨🔥 iPhone 手機殼 16 15 14 13 12 11 pro Max XS XR SE 保護殼 軟殼</t>
        </is>
      </c>
      <c r="C2017">
        <f>IMAGE("https://cf.shopee.tw/file/sg-11134201-22120-ht8jabzx9xkva4_tn")</f>
        <v/>
      </c>
      <c r="D2017" t="inlineStr">
        <is>
          <t>1. 編織紋 杏色,14 pro</t>
        </is>
      </c>
      <c r="E2017" t="inlineStr">
        <is>
          <t>107826106555</t>
        </is>
      </c>
      <c r="F2017">
        <f>IMAGE("https://cf.shopee.tw/file/sg-11134201-22120-oqmifu1o6wkvda_tn")</f>
        <v/>
      </c>
    </row>
    <row r="2018">
      <c r="A2018" t="inlineStr">
        <is>
          <t>20568038275</t>
        </is>
      </c>
      <c r="B2018" t="inlineStr">
        <is>
          <t>隔日到貨🔥 iPhone 手機殼 16 15 14 13 12 11 pro Max XS XR SE 保護殼 軟殼</t>
        </is>
      </c>
      <c r="C2018">
        <f>IMAGE("https://cf.shopee.tw/file/sg-11134201-22120-ht8jabzx9xkva4_tn")</f>
        <v/>
      </c>
      <c r="D2018" t="inlineStr">
        <is>
          <t>1. 編織紋 杏色,14 pro Max</t>
        </is>
      </c>
      <c r="E2018" t="inlineStr">
        <is>
          <t>107826106550</t>
        </is>
      </c>
      <c r="F2018">
        <f>IMAGE("https://cf.shopee.tw/file/sg-11134201-22120-oqmifu1o6wkvda_tn")</f>
        <v/>
      </c>
    </row>
    <row r="2019">
      <c r="A2019" t="inlineStr">
        <is>
          <t>20568038275</t>
        </is>
      </c>
      <c r="B2019" t="inlineStr">
        <is>
          <t>隔日到貨🔥 iPhone 手機殼 16 15 14 13 12 11 pro Max XS XR SE 保護殼 軟殼</t>
        </is>
      </c>
      <c r="C2019">
        <f>IMAGE("https://cf.shopee.tw/file/sg-11134201-22120-ht8jabzx9xkva4_tn")</f>
        <v/>
      </c>
      <c r="D2019" t="inlineStr">
        <is>
          <t>1. 編織紋 杏色,14 Plus</t>
        </is>
      </c>
      <c r="E2019" t="inlineStr">
        <is>
          <t>214678804112</t>
        </is>
      </c>
      <c r="F2019">
        <f>IMAGE("https://cf.shopee.tw/file/sg-11134201-22120-oqmifu1o6wkvda_tn")</f>
        <v/>
      </c>
    </row>
    <row r="2020">
      <c r="A2020" t="inlineStr">
        <is>
          <t>20568038275</t>
        </is>
      </c>
      <c r="B2020" t="inlineStr">
        <is>
          <t>隔日到貨🔥 iPhone 手機殼 16 15 14 13 12 11 pro Max XS XR SE 保護殼 軟殼</t>
        </is>
      </c>
      <c r="C2020">
        <f>IMAGE("https://cf.shopee.tw/file/sg-11134201-22120-ht8jabzx9xkva4_tn")</f>
        <v/>
      </c>
      <c r="D2020" t="inlineStr">
        <is>
          <t>1. 編織紋 杏色,15</t>
        </is>
      </c>
      <c r="E2020" t="inlineStr">
        <is>
          <t>214678804113</t>
        </is>
      </c>
      <c r="F2020">
        <f>IMAGE("https://cf.shopee.tw/file/sg-11134201-22120-oqmifu1o6wkvda_tn")</f>
        <v/>
      </c>
    </row>
    <row r="2021">
      <c r="A2021" t="inlineStr">
        <is>
          <t>20568038275</t>
        </is>
      </c>
      <c r="B2021" t="inlineStr">
        <is>
          <t>隔日到貨🔥 iPhone 手機殼 16 15 14 13 12 11 pro Max XS XR SE 保護殼 軟殼</t>
        </is>
      </c>
      <c r="C2021">
        <f>IMAGE("https://cf.shopee.tw/file/sg-11134201-22120-ht8jabzx9xkva4_tn")</f>
        <v/>
      </c>
      <c r="D2021" t="inlineStr">
        <is>
          <t>1. 編織紋 杏色,15 pro</t>
        </is>
      </c>
      <c r="E2021" t="inlineStr">
        <is>
          <t>214678804115</t>
        </is>
      </c>
      <c r="F2021">
        <f>IMAGE("https://cf.shopee.tw/file/sg-11134201-22120-oqmifu1o6wkvda_tn")</f>
        <v/>
      </c>
    </row>
    <row r="2022">
      <c r="A2022" t="inlineStr">
        <is>
          <t>20568038275</t>
        </is>
      </c>
      <c r="B2022" t="inlineStr">
        <is>
          <t>隔日到貨🔥 iPhone 手機殼 16 15 14 13 12 11 pro Max XS XR SE 保護殼 軟殼</t>
        </is>
      </c>
      <c r="C2022">
        <f>IMAGE("https://cf.shopee.tw/file/sg-11134201-22120-ht8jabzx9xkva4_tn")</f>
        <v/>
      </c>
      <c r="D2022" t="inlineStr">
        <is>
          <t>1. 編織紋 杏色,15 pro max</t>
        </is>
      </c>
      <c r="E2022" t="inlineStr">
        <is>
          <t>214678804116</t>
        </is>
      </c>
      <c r="F2022">
        <f>IMAGE("https://cf.shopee.tw/file/sg-11134201-22120-oqmifu1o6wkvda_tn")</f>
        <v/>
      </c>
    </row>
    <row r="2023">
      <c r="A2023" t="inlineStr">
        <is>
          <t>20568038275</t>
        </is>
      </c>
      <c r="B2023" t="inlineStr">
        <is>
          <t>隔日到貨🔥 iPhone 手機殼 16 15 14 13 12 11 pro Max XS XR SE 保護殼 軟殼</t>
        </is>
      </c>
      <c r="C2023">
        <f>IMAGE("https://cf.shopee.tw/file/sg-11134201-22120-ht8jabzx9xkva4_tn")</f>
        <v/>
      </c>
      <c r="D2023" t="inlineStr">
        <is>
          <t>1. 編織紋 杏色,15 Plus</t>
        </is>
      </c>
      <c r="E2023" t="inlineStr">
        <is>
          <t>214678804114</t>
        </is>
      </c>
      <c r="F2023">
        <f>IMAGE("https://cf.shopee.tw/file/sg-11134201-22120-oqmifu1o6wkvda_tn")</f>
        <v/>
      </c>
    </row>
    <row r="2024">
      <c r="A2024" t="inlineStr">
        <is>
          <t>20568038275</t>
        </is>
      </c>
      <c r="B2024" t="inlineStr">
        <is>
          <t>隔日到貨🔥 iPhone 手機殼 16 15 14 13 12 11 pro Max XS XR SE 保護殼 軟殼</t>
        </is>
      </c>
      <c r="C2024">
        <f>IMAGE("https://cf.shopee.tw/file/sg-11134201-22120-ht8jabzx9xkva4_tn")</f>
        <v/>
      </c>
      <c r="D2024" t="inlineStr">
        <is>
          <t>1. 編織紋 杏色,16</t>
        </is>
      </c>
      <c r="E2024" t="inlineStr">
        <is>
          <t>246619853327</t>
        </is>
      </c>
      <c r="F2024">
        <f>IMAGE("https://cf.shopee.tw/file/sg-11134201-22120-oqmifu1o6wkvda_tn")</f>
        <v/>
      </c>
    </row>
    <row r="2025">
      <c r="A2025" t="inlineStr">
        <is>
          <t>20568038275</t>
        </is>
      </c>
      <c r="B2025" t="inlineStr">
        <is>
          <t>隔日到貨🔥 iPhone 手機殼 16 15 14 13 12 11 pro Max XS XR SE 保護殼 軟殼</t>
        </is>
      </c>
      <c r="C2025">
        <f>IMAGE("https://cf.shopee.tw/file/sg-11134201-22120-ht8jabzx9xkva4_tn")</f>
        <v/>
      </c>
      <c r="D2025" t="inlineStr">
        <is>
          <t>1. 編織紋 杏色,16 pro</t>
        </is>
      </c>
      <c r="E2025" t="inlineStr">
        <is>
          <t>246619853328</t>
        </is>
      </c>
      <c r="F2025">
        <f>IMAGE("https://cf.shopee.tw/file/sg-11134201-22120-oqmifu1o6wkvda_tn")</f>
        <v/>
      </c>
    </row>
    <row r="2026">
      <c r="A2026" t="inlineStr">
        <is>
          <t>20568038275</t>
        </is>
      </c>
      <c r="B2026" t="inlineStr">
        <is>
          <t>隔日到貨🔥 iPhone 手機殼 16 15 14 13 12 11 pro Max XS XR SE 保護殼 軟殼</t>
        </is>
      </c>
      <c r="C2026">
        <f>IMAGE("https://cf.shopee.tw/file/sg-11134201-22120-ht8jabzx9xkva4_tn")</f>
        <v/>
      </c>
      <c r="D2026" t="inlineStr">
        <is>
          <t>1. 編織紋 杏色,16 pro Max</t>
        </is>
      </c>
      <c r="E2026" t="inlineStr">
        <is>
          <t>246619853329</t>
        </is>
      </c>
      <c r="F2026">
        <f>IMAGE("https://cf.shopee.tw/file/sg-11134201-22120-oqmifu1o6wkvda_tn")</f>
        <v/>
      </c>
    </row>
    <row r="2027">
      <c r="A2027" t="inlineStr">
        <is>
          <t>20568038275</t>
        </is>
      </c>
      <c r="B2027" t="inlineStr">
        <is>
          <t>隔日到貨🔥 iPhone 手機殼 16 15 14 13 12 11 pro Max XS XR SE 保護殼 軟殼</t>
        </is>
      </c>
      <c r="C2027">
        <f>IMAGE("https://cf.shopee.tw/file/sg-11134201-22120-ht8jabzx9xkva4_tn")</f>
        <v/>
      </c>
      <c r="D2027" t="inlineStr">
        <is>
          <t>1. 編織紋 杏色,16 Plus</t>
        </is>
      </c>
      <c r="E2027" t="inlineStr">
        <is>
          <t>246619853330</t>
        </is>
      </c>
      <c r="F2027">
        <f>IMAGE("https://cf.shopee.tw/file/sg-11134201-22120-oqmifu1o6wkvda_tn")</f>
        <v/>
      </c>
    </row>
    <row r="2028">
      <c r="A2028" t="inlineStr">
        <is>
          <t>20568038275</t>
        </is>
      </c>
      <c r="B2028" t="inlineStr">
        <is>
          <t>隔日到貨🔥 iPhone 手機殼 16 15 14 13 12 11 pro Max XS XR SE 保護殼 軟殼</t>
        </is>
      </c>
      <c r="C2028">
        <f>IMAGE("https://cf.shopee.tw/file/sg-11134201-22120-ht8jabzx9xkva4_tn")</f>
        <v/>
      </c>
      <c r="D2028" t="inlineStr">
        <is>
          <t>2. 編織紋 黑色,7 / 8 / SE2 / SE3</t>
        </is>
      </c>
      <c r="E2028" t="inlineStr">
        <is>
          <t>107826106556</t>
        </is>
      </c>
      <c r="F2028">
        <f>IMAGE("https://cf.shopee.tw/file/sg-11134201-22120-3ryiub9o6wkv5a_tn")</f>
        <v/>
      </c>
    </row>
    <row r="2029">
      <c r="A2029" t="inlineStr">
        <is>
          <t>20568038275</t>
        </is>
      </c>
      <c r="B2029" t="inlineStr">
        <is>
          <t>隔日到貨🔥 iPhone 手機殼 16 15 14 13 12 11 pro Max XS XR SE 保護殼 軟殼</t>
        </is>
      </c>
      <c r="C2029">
        <f>IMAGE("https://cf.shopee.tw/file/sg-11134201-22120-ht8jabzx9xkva4_tn")</f>
        <v/>
      </c>
      <c r="D2029" t="inlineStr">
        <is>
          <t>2. 編織紋 黑色,7Plus / 8Plus</t>
        </is>
      </c>
      <c r="E2029" t="inlineStr">
        <is>
          <t>107826106531</t>
        </is>
      </c>
      <c r="F2029">
        <f>IMAGE("https://cf.shopee.tw/file/sg-11134201-22120-3ryiub9o6wkv5a_tn")</f>
        <v/>
      </c>
    </row>
    <row r="2030">
      <c r="A2030" t="inlineStr">
        <is>
          <t>20568038275</t>
        </is>
      </c>
      <c r="B2030" t="inlineStr">
        <is>
          <t>隔日到貨🔥 iPhone 手機殼 16 15 14 13 12 11 pro Max XS XR SE 保護殼 軟殼</t>
        </is>
      </c>
      <c r="C2030">
        <f>IMAGE("https://cf.shopee.tw/file/sg-11134201-22120-ht8jabzx9xkva4_tn")</f>
        <v/>
      </c>
      <c r="D2030" t="inlineStr">
        <is>
          <t>2. 編織紋 黑色,X / XS</t>
        </is>
      </c>
      <c r="E2030" t="inlineStr">
        <is>
          <t>107826106557</t>
        </is>
      </c>
      <c r="F2030">
        <f>IMAGE("https://cf.shopee.tw/file/sg-11134201-22120-3ryiub9o6wkv5a_tn")</f>
        <v/>
      </c>
    </row>
    <row r="2031">
      <c r="A2031" t="inlineStr">
        <is>
          <t>20568038275</t>
        </is>
      </c>
      <c r="B2031" t="inlineStr">
        <is>
          <t>隔日到貨🔥 iPhone 手機殼 16 15 14 13 12 11 pro Max XS XR SE 保護殼 軟殼</t>
        </is>
      </c>
      <c r="C2031">
        <f>IMAGE("https://cf.shopee.tw/file/sg-11134201-22120-ht8jabzx9xkva4_tn")</f>
        <v/>
      </c>
      <c r="D2031" t="inlineStr">
        <is>
          <t>2. 編織紋 黑色,XR</t>
        </is>
      </c>
      <c r="E2031" t="inlineStr">
        <is>
          <t>107826106542</t>
        </is>
      </c>
      <c r="F2031">
        <f>IMAGE("https://cf.shopee.tw/file/sg-11134201-22120-3ryiub9o6wkv5a_tn")</f>
        <v/>
      </c>
    </row>
    <row r="2032">
      <c r="A2032" t="inlineStr">
        <is>
          <t>20568038275</t>
        </is>
      </c>
      <c r="B2032" t="inlineStr">
        <is>
          <t>隔日到貨🔥 iPhone 手機殼 16 15 14 13 12 11 pro Max XS XR SE 保護殼 軟殼</t>
        </is>
      </c>
      <c r="C2032">
        <f>IMAGE("https://cf.shopee.tw/file/sg-11134201-22120-ht8jabzx9xkva4_tn")</f>
        <v/>
      </c>
      <c r="D2032" t="inlineStr">
        <is>
          <t>2. 編織紋 黑色,11</t>
        </is>
      </c>
      <c r="E2032" t="inlineStr">
        <is>
          <t>107826106558</t>
        </is>
      </c>
      <c r="F2032">
        <f>IMAGE("https://cf.shopee.tw/file/sg-11134201-22120-3ryiub9o6wkv5a_tn")</f>
        <v/>
      </c>
    </row>
    <row r="2033">
      <c r="A2033" t="inlineStr">
        <is>
          <t>20568038275</t>
        </is>
      </c>
      <c r="B2033" t="inlineStr">
        <is>
          <t>隔日到貨🔥 iPhone 手機殼 16 15 14 13 12 11 pro Max XS XR SE 保護殼 軟殼</t>
        </is>
      </c>
      <c r="C2033">
        <f>IMAGE("https://cf.shopee.tw/file/sg-11134201-22120-ht8jabzx9xkva4_tn")</f>
        <v/>
      </c>
      <c r="D2033" t="inlineStr">
        <is>
          <t>2. 編織紋 黑色,11 pro</t>
        </is>
      </c>
      <c r="E2033" t="inlineStr">
        <is>
          <t>107826106537</t>
        </is>
      </c>
      <c r="F2033">
        <f>IMAGE("https://cf.shopee.tw/file/sg-11134201-22120-3ryiub9o6wkv5a_tn")</f>
        <v/>
      </c>
    </row>
    <row r="2034">
      <c r="A2034" t="inlineStr">
        <is>
          <t>20568038275</t>
        </is>
      </c>
      <c r="B2034" t="inlineStr">
        <is>
          <t>隔日到貨🔥 iPhone 手機殼 16 15 14 13 12 11 pro Max XS XR SE 保護殼 軟殼</t>
        </is>
      </c>
      <c r="C2034">
        <f>IMAGE("https://cf.shopee.tw/file/sg-11134201-22120-ht8jabzx9xkva4_tn")</f>
        <v/>
      </c>
      <c r="D2034" t="inlineStr">
        <is>
          <t>2. 編織紋 黑色,11 proMax</t>
        </is>
      </c>
      <c r="E2034" t="inlineStr"/>
      <c r="F2034">
        <f>IMAGE("https://cf.shopee.tw/file/sg-11134201-22120-3ryiub9o6wkv5a_tn")</f>
        <v/>
      </c>
    </row>
    <row r="2035">
      <c r="A2035" t="inlineStr">
        <is>
          <t>20568038275</t>
        </is>
      </c>
      <c r="B2035" t="inlineStr">
        <is>
          <t>隔日到貨🔥 iPhone 手機殼 16 15 14 13 12 11 pro Max XS XR SE 保護殼 軟殼</t>
        </is>
      </c>
      <c r="C2035">
        <f>IMAGE("https://cf.shopee.tw/file/sg-11134201-22120-ht8jabzx9xkva4_tn")</f>
        <v/>
      </c>
      <c r="D2035" t="inlineStr">
        <is>
          <t>2. 編織紋 黑色,12 proMax</t>
        </is>
      </c>
      <c r="E2035" t="inlineStr"/>
      <c r="F2035">
        <f>IMAGE("https://cf.shopee.tw/file/sg-11134201-22120-3ryiub9o6wkv5a_tn")</f>
        <v/>
      </c>
    </row>
    <row r="2036">
      <c r="A2036" t="inlineStr">
        <is>
          <t>20568038275</t>
        </is>
      </c>
      <c r="B2036" t="inlineStr">
        <is>
          <t>隔日到貨🔥 iPhone 手機殼 16 15 14 13 12 11 pro Max XS XR SE 保護殼 軟殼</t>
        </is>
      </c>
      <c r="C2036">
        <f>IMAGE("https://cf.shopee.tw/file/sg-11134201-22120-ht8jabzx9xkva4_tn")</f>
        <v/>
      </c>
      <c r="D2036" t="inlineStr">
        <is>
          <t>2. 編織紋 黑色,13</t>
        </is>
      </c>
      <c r="E2036" t="inlineStr">
        <is>
          <t>107826106538</t>
        </is>
      </c>
      <c r="F2036">
        <f>IMAGE("https://cf.shopee.tw/file/sg-11134201-22120-3ryiub9o6wkv5a_tn")</f>
        <v/>
      </c>
    </row>
    <row r="2037">
      <c r="A2037" t="inlineStr">
        <is>
          <t>20568038275</t>
        </is>
      </c>
      <c r="B2037" t="inlineStr">
        <is>
          <t>隔日到貨🔥 iPhone 手機殼 16 15 14 13 12 11 pro Max XS XR SE 保護殼 軟殼</t>
        </is>
      </c>
      <c r="C2037">
        <f>IMAGE("https://cf.shopee.tw/file/sg-11134201-22120-ht8jabzx9xkva4_tn")</f>
        <v/>
      </c>
      <c r="D2037" t="inlineStr">
        <is>
          <t>2. 編織紋 黑色,13 pro</t>
        </is>
      </c>
      <c r="E2037" t="inlineStr">
        <is>
          <t>107826106539</t>
        </is>
      </c>
      <c r="F2037">
        <f>IMAGE("https://cf.shopee.tw/file/sg-11134201-22120-3ryiub9o6wkv5a_tn")</f>
        <v/>
      </c>
    </row>
    <row r="2038">
      <c r="A2038" t="inlineStr">
        <is>
          <t>20568038275</t>
        </is>
      </c>
      <c r="B2038" t="inlineStr">
        <is>
          <t>隔日到貨🔥 iPhone 手機殼 16 15 14 13 12 11 pro Max XS XR SE 保護殼 軟殼</t>
        </is>
      </c>
      <c r="C2038">
        <f>IMAGE("https://cf.shopee.tw/file/sg-11134201-22120-ht8jabzx9xkva4_tn")</f>
        <v/>
      </c>
      <c r="D2038" t="inlineStr">
        <is>
          <t>2. 編織紋 黑色,13 pro Max</t>
        </is>
      </c>
      <c r="E2038" t="inlineStr"/>
      <c r="F2038">
        <f>IMAGE("https://cf.shopee.tw/file/sg-11134201-22120-3ryiub9o6wkv5a_tn")</f>
        <v/>
      </c>
    </row>
    <row r="2039">
      <c r="A2039" t="inlineStr">
        <is>
          <t>20568038275</t>
        </is>
      </c>
      <c r="B2039" t="inlineStr">
        <is>
          <t>隔日到貨🔥 iPhone 手機殼 16 15 14 13 12 11 pro Max XS XR SE 保護殼 軟殼</t>
        </is>
      </c>
      <c r="C2039">
        <f>IMAGE("https://cf.shopee.tw/file/sg-11134201-22120-ht8jabzx9xkva4_tn")</f>
        <v/>
      </c>
      <c r="D2039" t="inlineStr">
        <is>
          <t>2. 編織紋 黑色,14</t>
        </is>
      </c>
      <c r="E2039" t="inlineStr">
        <is>
          <t>107826106533</t>
        </is>
      </c>
      <c r="F2039">
        <f>IMAGE("https://cf.shopee.tw/file/sg-11134201-22120-3ryiub9o6wkv5a_tn")</f>
        <v/>
      </c>
    </row>
    <row r="2040">
      <c r="A2040" t="inlineStr">
        <is>
          <t>20568038275</t>
        </is>
      </c>
      <c r="B2040" t="inlineStr">
        <is>
          <t>隔日到貨🔥 iPhone 手機殼 16 15 14 13 12 11 pro Max XS XR SE 保護殼 軟殼</t>
        </is>
      </c>
      <c r="C2040">
        <f>IMAGE("https://cf.shopee.tw/file/sg-11134201-22120-ht8jabzx9xkva4_tn")</f>
        <v/>
      </c>
      <c r="D2040" t="inlineStr">
        <is>
          <t>2. 編織紋 黑色,14 pro</t>
        </is>
      </c>
      <c r="E2040" t="inlineStr">
        <is>
          <t>107826106543</t>
        </is>
      </c>
      <c r="F2040">
        <f>IMAGE("https://cf.shopee.tw/file/sg-11134201-22120-3ryiub9o6wkv5a_tn")</f>
        <v/>
      </c>
    </row>
    <row r="2041">
      <c r="A2041" t="inlineStr">
        <is>
          <t>20568038275</t>
        </is>
      </c>
      <c r="B2041" t="inlineStr">
        <is>
          <t>隔日到貨🔥 iPhone 手機殼 16 15 14 13 12 11 pro Max XS XR SE 保護殼 軟殼</t>
        </is>
      </c>
      <c r="C2041">
        <f>IMAGE("https://cf.shopee.tw/file/sg-11134201-22120-ht8jabzx9xkva4_tn")</f>
        <v/>
      </c>
      <c r="D2041" t="inlineStr">
        <is>
          <t>2. 編織紋 黑色,14 pro Max</t>
        </is>
      </c>
      <c r="E2041" t="inlineStr"/>
      <c r="F2041">
        <f>IMAGE("https://cf.shopee.tw/file/sg-11134201-22120-3ryiub9o6wkv5a_tn")</f>
        <v/>
      </c>
    </row>
    <row r="2042">
      <c r="A2042" t="inlineStr">
        <is>
          <t>20568038275</t>
        </is>
      </c>
      <c r="B2042" t="inlineStr">
        <is>
          <t>隔日到貨🔥 iPhone 手機殼 16 15 14 13 12 11 pro Max XS XR SE 保護殼 軟殼</t>
        </is>
      </c>
      <c r="C2042">
        <f>IMAGE("https://cf.shopee.tw/file/sg-11134201-22120-ht8jabzx9xkva4_tn")</f>
        <v/>
      </c>
      <c r="D2042" t="inlineStr">
        <is>
          <t>2. 編織紋 黑色,14 Plus</t>
        </is>
      </c>
      <c r="E2042" t="inlineStr">
        <is>
          <t>214678804117</t>
        </is>
      </c>
      <c r="F2042">
        <f>IMAGE("https://cf.shopee.tw/file/sg-11134201-22120-3ryiub9o6wkv5a_tn")</f>
        <v/>
      </c>
    </row>
    <row r="2043">
      <c r="A2043" t="inlineStr">
        <is>
          <t>20568038275</t>
        </is>
      </c>
      <c r="B2043" t="inlineStr">
        <is>
          <t>隔日到貨🔥 iPhone 手機殼 16 15 14 13 12 11 pro Max XS XR SE 保護殼 軟殼</t>
        </is>
      </c>
      <c r="C2043">
        <f>IMAGE("https://cf.shopee.tw/file/sg-11134201-22120-ht8jabzx9xkva4_tn")</f>
        <v/>
      </c>
      <c r="D2043" t="inlineStr">
        <is>
          <t>2. 編織紋 黑色,15</t>
        </is>
      </c>
      <c r="E2043" t="inlineStr">
        <is>
          <t>214678804118</t>
        </is>
      </c>
      <c r="F2043">
        <f>IMAGE("https://cf.shopee.tw/file/sg-11134201-22120-3ryiub9o6wkv5a_tn")</f>
        <v/>
      </c>
    </row>
    <row r="2044">
      <c r="A2044" t="inlineStr">
        <is>
          <t>20568038275</t>
        </is>
      </c>
      <c r="B2044" t="inlineStr">
        <is>
          <t>隔日到貨🔥 iPhone 手機殼 16 15 14 13 12 11 pro Max XS XR SE 保護殼 軟殼</t>
        </is>
      </c>
      <c r="C2044">
        <f>IMAGE("https://cf.shopee.tw/file/sg-11134201-22120-ht8jabzx9xkva4_tn")</f>
        <v/>
      </c>
      <c r="D2044" t="inlineStr">
        <is>
          <t>2. 編織紋 黑色,15 pro</t>
        </is>
      </c>
      <c r="E2044" t="inlineStr">
        <is>
          <t>222169131084</t>
        </is>
      </c>
      <c r="F2044">
        <f>IMAGE("https://cf.shopee.tw/file/sg-11134201-22120-3ryiub9o6wkv5a_tn")</f>
        <v/>
      </c>
    </row>
    <row r="2045">
      <c r="A2045" t="inlineStr">
        <is>
          <t>20568038275</t>
        </is>
      </c>
      <c r="B2045" t="inlineStr">
        <is>
          <t>隔日到貨🔥 iPhone 手機殼 16 15 14 13 12 11 pro Max XS XR SE 保護殼 軟殼</t>
        </is>
      </c>
      <c r="C2045">
        <f>IMAGE("https://cf.shopee.tw/file/sg-11134201-22120-ht8jabzx9xkva4_tn")</f>
        <v/>
      </c>
      <c r="D2045" t="inlineStr">
        <is>
          <t>2. 編織紋 黑色,15 pro max</t>
        </is>
      </c>
      <c r="E2045" t="inlineStr">
        <is>
          <t>222169131085</t>
        </is>
      </c>
      <c r="F2045">
        <f>IMAGE("https://cf.shopee.tw/file/sg-11134201-22120-3ryiub9o6wkv5a_tn")</f>
        <v/>
      </c>
    </row>
    <row r="2046">
      <c r="A2046" t="inlineStr">
        <is>
          <t>20568038275</t>
        </is>
      </c>
      <c r="B2046" t="inlineStr">
        <is>
          <t>隔日到貨🔥 iPhone 手機殼 16 15 14 13 12 11 pro Max XS XR SE 保護殼 軟殼</t>
        </is>
      </c>
      <c r="C2046">
        <f>IMAGE("https://cf.shopee.tw/file/sg-11134201-22120-ht8jabzx9xkva4_tn")</f>
        <v/>
      </c>
      <c r="D2046" t="inlineStr">
        <is>
          <t>2. 編織紋 黑色,15 Plus</t>
        </is>
      </c>
      <c r="E2046" t="inlineStr"/>
      <c r="F2046">
        <f>IMAGE("https://cf.shopee.tw/file/sg-11134201-22120-3ryiub9o6wkv5a_tn")</f>
        <v/>
      </c>
    </row>
    <row r="2047">
      <c r="A2047" t="inlineStr">
        <is>
          <t>20568038275</t>
        </is>
      </c>
      <c r="B2047" t="inlineStr">
        <is>
          <t>隔日到貨🔥 iPhone 手機殼 16 15 14 13 12 11 pro Max XS XR SE 保護殼 軟殼</t>
        </is>
      </c>
      <c r="C2047">
        <f>IMAGE("https://cf.shopee.tw/file/sg-11134201-22120-ht8jabzx9xkva4_tn")</f>
        <v/>
      </c>
      <c r="D2047" t="inlineStr">
        <is>
          <t>2. 編織紋 黑色,16</t>
        </is>
      </c>
      <c r="E2047" t="inlineStr"/>
      <c r="F2047">
        <f>IMAGE("https://cf.shopee.tw/file/sg-11134201-22120-3ryiub9o6wkv5a_tn")</f>
        <v/>
      </c>
    </row>
    <row r="2048">
      <c r="A2048" t="inlineStr">
        <is>
          <t>20568038275</t>
        </is>
      </c>
      <c r="B2048" t="inlineStr">
        <is>
          <t>隔日到貨🔥 iPhone 手機殼 16 15 14 13 12 11 pro Max XS XR SE 保護殼 軟殼</t>
        </is>
      </c>
      <c r="C2048">
        <f>IMAGE("https://cf.shopee.tw/file/sg-11134201-22120-ht8jabzx9xkva4_tn")</f>
        <v/>
      </c>
      <c r="D2048" t="inlineStr">
        <is>
          <t>2. 編織紋 黑色,16 pro</t>
        </is>
      </c>
      <c r="E2048" t="inlineStr">
        <is>
          <t>246619853332</t>
        </is>
      </c>
      <c r="F2048">
        <f>IMAGE("https://cf.shopee.tw/file/sg-11134201-22120-3ryiub9o6wkv5a_tn")</f>
        <v/>
      </c>
    </row>
    <row r="2049">
      <c r="A2049" t="inlineStr">
        <is>
          <t>20568038275</t>
        </is>
      </c>
      <c r="B2049" t="inlineStr">
        <is>
          <t>隔日到貨🔥 iPhone 手機殼 16 15 14 13 12 11 pro Max XS XR SE 保護殼 軟殼</t>
        </is>
      </c>
      <c r="C2049">
        <f>IMAGE("https://cf.shopee.tw/file/sg-11134201-22120-ht8jabzx9xkva4_tn")</f>
        <v/>
      </c>
      <c r="D2049" t="inlineStr">
        <is>
          <t>2. 編織紋 黑色,16 pro Max</t>
        </is>
      </c>
      <c r="E2049" t="inlineStr">
        <is>
          <t>246619853333</t>
        </is>
      </c>
      <c r="F2049">
        <f>IMAGE("https://cf.shopee.tw/file/sg-11134201-22120-3ryiub9o6wkv5a_tn")</f>
        <v/>
      </c>
    </row>
    <row r="2050">
      <c r="A2050" t="inlineStr">
        <is>
          <t>20568038275</t>
        </is>
      </c>
      <c r="B2050" t="inlineStr">
        <is>
          <t>隔日到貨🔥 iPhone 手機殼 16 15 14 13 12 11 pro Max XS XR SE 保護殼 軟殼</t>
        </is>
      </c>
      <c r="C2050">
        <f>IMAGE("https://cf.shopee.tw/file/sg-11134201-22120-ht8jabzx9xkva4_tn")</f>
        <v/>
      </c>
      <c r="D2050" t="inlineStr">
        <is>
          <t>2. 編織紋 黑色,16 Plus</t>
        </is>
      </c>
      <c r="E2050" t="inlineStr"/>
      <c r="F2050">
        <f>IMAGE("https://cf.shopee.tw/file/sg-11134201-22120-3ryiub9o6wkv5a_tn")</f>
        <v/>
      </c>
    </row>
    <row r="2051">
      <c r="A2051" t="inlineStr">
        <is>
          <t>25083447472</t>
        </is>
      </c>
      <c r="B2051" t="inlineStr">
        <is>
          <t>隔日到貨🔥 ins韓風 手機殼吊飾 Airpods殼吊飾 手機殼掛飾 手機掛件 掛飾 手機吊飾 手機掛繩 掛繩</t>
        </is>
      </c>
      <c r="C2051">
        <f>IMAGE("https://cf.shopee.tw/file/tw-11134207-7r990-lxno7th3otgwba_tn")</f>
        <v/>
      </c>
      <c r="D2051" t="inlineStr">
        <is>
          <t>粉色花朵</t>
        </is>
      </c>
      <c r="E2051" t="inlineStr">
        <is>
          <t>226541342228</t>
        </is>
      </c>
      <c r="F2051">
        <f>IMAGE("https://cf.shopee.tw/file/tw-11134207-7r98x-lxno9enw48xc25_tn")</f>
        <v/>
      </c>
    </row>
    <row r="2052">
      <c r="A2052" t="inlineStr">
        <is>
          <t>25083447472</t>
        </is>
      </c>
      <c r="B2052" t="inlineStr">
        <is>
          <t>隔日到貨🔥 ins韓風 手機殼吊飾 Airpods殼吊飾 手機殼掛飾 手機掛件 掛飾 手機吊飾 手機掛繩 掛繩</t>
        </is>
      </c>
      <c r="C2052">
        <f>IMAGE("https://cf.shopee.tw/file/tw-11134207-7r990-lxno7th3otgwba_tn")</f>
        <v/>
      </c>
      <c r="D2052" t="inlineStr">
        <is>
          <t>黃色花朵</t>
        </is>
      </c>
      <c r="E2052" t="inlineStr">
        <is>
          <t>226541342229</t>
        </is>
      </c>
      <c r="F2052">
        <f>IMAGE("https://cf.shopee.tw/file/tw-11134207-7r991-lxno9eo611d2bc_tn")</f>
        <v/>
      </c>
    </row>
    <row r="2053">
      <c r="A2053" t="inlineStr">
        <is>
          <t>25083447472</t>
        </is>
      </c>
      <c r="B2053" t="inlineStr">
        <is>
          <t>隔日到貨🔥 ins韓風 手機殼吊飾 Airpods殼吊飾 手機殼掛飾 手機掛件 掛飾 手機吊飾 手機掛繩 掛繩</t>
        </is>
      </c>
      <c r="C2053">
        <f>IMAGE("https://cf.shopee.tw/file/tw-11134207-7r990-lxno7th3otgwba_tn")</f>
        <v/>
      </c>
      <c r="D2053" t="inlineStr">
        <is>
          <t>紫色花朵</t>
        </is>
      </c>
      <c r="E2053" t="inlineStr"/>
      <c r="F2053">
        <f>IMAGE("https://cf.shopee.tw/file/tw-11134207-7r98q-lxno9eo6vxo0c3_tn")</f>
        <v/>
      </c>
    </row>
    <row r="2054">
      <c r="A2054" t="inlineStr">
        <is>
          <t>25083447472</t>
        </is>
      </c>
      <c r="B2054" t="inlineStr">
        <is>
          <t>隔日到貨🔥 ins韓風 手機殼吊飾 Airpods殼吊飾 手機殼掛飾 手機掛件 掛飾 手機吊飾 手機掛繩 掛繩</t>
        </is>
      </c>
      <c r="C2054">
        <f>IMAGE("https://cf.shopee.tw/file/tw-11134207-7r990-lxno7th3otgwba_tn")</f>
        <v/>
      </c>
      <c r="D2054" t="inlineStr">
        <is>
          <t>藍色花朵</t>
        </is>
      </c>
      <c r="E2054" t="inlineStr">
        <is>
          <t>226541342231</t>
        </is>
      </c>
      <c r="F2054">
        <f>IMAGE("https://cf.shopee.tw/file/tw-11134207-7r98y-lxno9eo61168c9_tn")</f>
        <v/>
      </c>
    </row>
    <row r="2055">
      <c r="A2055" t="inlineStr">
        <is>
          <t>25083447472</t>
        </is>
      </c>
      <c r="B2055" t="inlineStr">
        <is>
          <t>隔日到貨🔥 ins韓風 手機殼吊飾 Airpods殼吊飾 手機殼掛飾 手機掛件 掛飾 手機吊飾 手機掛繩 掛繩</t>
        </is>
      </c>
      <c r="C2055">
        <f>IMAGE("https://cf.shopee.tw/file/tw-11134207-7r990-lxno7th3otgwba_tn")</f>
        <v/>
      </c>
      <c r="D2055" t="inlineStr">
        <is>
          <t>綠色花朵</t>
        </is>
      </c>
      <c r="E2055" t="inlineStr">
        <is>
          <t>226541342232</t>
        </is>
      </c>
      <c r="F2055">
        <f>IMAGE("https://cf.shopee.tw/file/tw-11134207-7r991-lxno9eo6ghf42c_tn")</f>
        <v/>
      </c>
    </row>
    <row r="2056">
      <c r="A2056" t="inlineStr">
        <is>
          <t>25083447472</t>
        </is>
      </c>
      <c r="B2056" t="inlineStr">
        <is>
          <t>隔日到貨🔥 ins韓風 手機殼吊飾 Airpods殼吊飾 手機殼掛飾 手機掛件 掛飾 手機吊飾 手機掛繩 掛繩</t>
        </is>
      </c>
      <c r="C2056">
        <f>IMAGE("https://cf.shopee.tw/file/tw-11134207-7r990-lxno7th3otgwba_tn")</f>
        <v/>
      </c>
      <c r="D2056" t="inlineStr">
        <is>
          <t>枚紅色花朵</t>
        </is>
      </c>
      <c r="E2056" t="inlineStr">
        <is>
          <t>226541342233</t>
        </is>
      </c>
      <c r="F2056">
        <f>IMAGE("https://cf.shopee.tw/file/tw-11134207-7r98z-lxno9eo6hw6edf_tn")</f>
        <v/>
      </c>
    </row>
    <row r="2057">
      <c r="A2057" t="inlineStr">
        <is>
          <t>25083447472</t>
        </is>
      </c>
      <c r="B2057" t="inlineStr">
        <is>
          <t>隔日到貨🔥 ins韓風 手機殼吊飾 Airpods殼吊飾 手機殼掛飾 手機掛件 掛飾 手機吊飾 手機掛繩 掛繩</t>
        </is>
      </c>
      <c r="C2057">
        <f>IMAGE("https://cf.shopee.tw/file/tw-11134207-7r990-lxno7th3otgwba_tn")</f>
        <v/>
      </c>
      <c r="D2057" t="inlineStr">
        <is>
          <t>可愛星星雲朵 藍</t>
        </is>
      </c>
      <c r="E2057" t="inlineStr">
        <is>
          <t>226541342234</t>
        </is>
      </c>
      <c r="F2057">
        <f>IMAGE("https://cf.shopee.tw/file/tw-11134207-7r98w-lxno9enw1fza17_tn")</f>
        <v/>
      </c>
    </row>
    <row r="2058">
      <c r="A2058" t="inlineStr">
        <is>
          <t>25083447472</t>
        </is>
      </c>
      <c r="B2058" t="inlineStr">
        <is>
          <t>隔日到貨🔥 ins韓風 手機殼吊飾 Airpods殼吊飾 手機殼掛飾 手機掛件 掛飾 手機吊飾 手機掛繩 掛繩</t>
        </is>
      </c>
      <c r="C2058">
        <f>IMAGE("https://cf.shopee.tw/file/tw-11134207-7r990-lxno7th3otgwba_tn")</f>
        <v/>
      </c>
      <c r="D2058" t="inlineStr">
        <is>
          <t>可愛星星雲朵 粉</t>
        </is>
      </c>
      <c r="E2058" t="inlineStr">
        <is>
          <t>226541342235</t>
        </is>
      </c>
      <c r="F2058">
        <f>IMAGE("https://cf.shopee.tw/file/tw-11134207-7r98w-lxnoigdtck6o79_tn")</f>
        <v/>
      </c>
    </row>
    <row r="2059">
      <c r="A2059" t="inlineStr">
        <is>
          <t>25083447472</t>
        </is>
      </c>
      <c r="B2059" t="inlineStr">
        <is>
          <t>隔日到貨🔥 ins韓風 手機殼吊飾 Airpods殼吊飾 手機殼掛飾 手機掛件 掛飾 手機吊飾 手機掛繩 掛繩</t>
        </is>
      </c>
      <c r="C2059">
        <f>IMAGE("https://cf.shopee.tw/file/tw-11134207-7r990-lxno7th3otgwba_tn")</f>
        <v/>
      </c>
      <c r="D2059" t="inlineStr">
        <is>
          <t>夢卜兔</t>
        </is>
      </c>
      <c r="E2059" t="inlineStr">
        <is>
          <t>226541342236</t>
        </is>
      </c>
      <c r="F2059">
        <f>IMAGE("https://cf.shopee.tw/file/tw-11134207-7r98r-lxnoigdtdyr40f_tn")</f>
        <v/>
      </c>
    </row>
    <row r="2060">
      <c r="A2060" t="inlineStr">
        <is>
          <t>25083447472</t>
        </is>
      </c>
      <c r="B2060" t="inlineStr">
        <is>
          <t>隔日到貨🔥 ins韓風 手機殼吊飾 Airpods殼吊飾 手機殼掛飾 手機掛件 掛飾 手機吊飾 手機掛繩 掛繩</t>
        </is>
      </c>
      <c r="C2060">
        <f>IMAGE("https://cf.shopee.tw/file/tw-11134207-7r990-lxno7th3otgwba_tn")</f>
        <v/>
      </c>
      <c r="D2060" t="inlineStr">
        <is>
          <t>五瓣花</t>
        </is>
      </c>
      <c r="E2060" t="inlineStr">
        <is>
          <t>226541342237</t>
        </is>
      </c>
      <c r="F2060">
        <f>IMAGE("https://cf.shopee.tw/file/tw-11134207-7r98t-lxnoj68zhwrq4a_tn")</f>
        <v/>
      </c>
    </row>
    <row r="2061">
      <c r="A2061" t="inlineStr">
        <is>
          <t>25083447472</t>
        </is>
      </c>
      <c r="B2061" t="inlineStr">
        <is>
          <t>隔日到貨🔥 ins韓風 手機殼吊飾 Airpods殼吊飾 手機殼掛飾 手機掛件 掛飾 手機吊飾 手機掛繩 掛繩</t>
        </is>
      </c>
      <c r="C2061">
        <f>IMAGE("https://cf.shopee.tw/file/tw-11134207-7r990-lxno7th3otgwba_tn")</f>
        <v/>
      </c>
      <c r="D2061" t="inlineStr">
        <is>
          <t>花花兔</t>
        </is>
      </c>
      <c r="E2061" t="inlineStr">
        <is>
          <t>226541342238</t>
        </is>
      </c>
      <c r="F2061">
        <f>IMAGE("https://cf.shopee.tw/file/tw-11134207-7r98y-lxnoj68zjbc669_tn")</f>
        <v/>
      </c>
    </row>
    <row r="2062">
      <c r="A2062" t="inlineStr">
        <is>
          <t>25083447472</t>
        </is>
      </c>
      <c r="B2062" t="inlineStr">
        <is>
          <t>隔日到貨🔥 ins韓風 手機殼吊飾 Airpods殼吊飾 手機殼掛飾 手機掛件 掛飾 手機吊飾 手機掛繩 掛繩</t>
        </is>
      </c>
      <c r="C2062">
        <f>IMAGE("https://cf.shopee.tw/file/tw-11134207-7r990-lxno7th3otgwba_tn")</f>
        <v/>
      </c>
      <c r="D2062" t="inlineStr">
        <is>
          <t>領結兔</t>
        </is>
      </c>
      <c r="E2062" t="inlineStr">
        <is>
          <t>226541342239</t>
        </is>
      </c>
      <c r="F2062">
        <f>IMAGE("https://cf.shopee.tw/file/tw-11134207-7r98q-lxnojx3e7orqaf_tn")</f>
        <v/>
      </c>
    </row>
    <row r="2063">
      <c r="A2063" t="inlineStr">
        <is>
          <t>25083447472</t>
        </is>
      </c>
      <c r="B2063" t="inlineStr">
        <is>
          <t>隔日到貨🔥 ins韓風 手機殼吊飾 Airpods殼吊飾 手機殼掛飾 手機掛件 掛飾 手機吊飾 手機掛繩 掛繩</t>
        </is>
      </c>
      <c r="C2063">
        <f>IMAGE("https://cf.shopee.tw/file/tw-11134207-7r990-lxno7th3otgwba_tn")</f>
        <v/>
      </c>
      <c r="D2063" t="inlineStr">
        <is>
          <t>挎包兔</t>
        </is>
      </c>
      <c r="E2063" t="inlineStr">
        <is>
          <t>226541342240</t>
        </is>
      </c>
      <c r="F2063">
        <f>IMAGE("https://cf.shopee.tw/file/tw-11134207-7r98o-lxnojx3e93c6bf_tn")</f>
        <v/>
      </c>
    </row>
    <row r="2064">
      <c r="A2064" t="inlineStr">
        <is>
          <t>25083447472</t>
        </is>
      </c>
      <c r="B2064" t="inlineStr">
        <is>
          <t>隔日到貨🔥 ins韓風 手機殼吊飾 Airpods殼吊飾 手機殼掛飾 手機掛件 掛飾 手機吊飾 手機掛繩 掛繩</t>
        </is>
      </c>
      <c r="C2064">
        <f>IMAGE("https://cf.shopee.tw/file/tw-11134207-7r990-lxno7th3otgwba_tn")</f>
        <v/>
      </c>
      <c r="D2064" t="inlineStr">
        <is>
          <t>鬱金香</t>
        </is>
      </c>
      <c r="E2064" t="inlineStr">
        <is>
          <t>226541342241</t>
        </is>
      </c>
      <c r="F2064">
        <f>IMAGE("https://cf.shopee.tw/file/tw-11134207-7r990-lxnok7gb4s34dd_tn")</f>
        <v/>
      </c>
    </row>
    <row r="2065">
      <c r="A2065" t="inlineStr">
        <is>
          <t>25083447472</t>
        </is>
      </c>
      <c r="B2065" t="inlineStr">
        <is>
          <t>隔日到貨🔥 ins韓風 手機殼吊飾 Airpods殼吊飾 手機殼掛飾 手機掛件 掛飾 手機吊飾 手機掛繩 掛繩</t>
        </is>
      </c>
      <c r="C2065">
        <f>IMAGE("https://cf.shopee.tw/file/tw-11134207-7r990-lxno7th3otgwba_tn")</f>
        <v/>
      </c>
      <c r="D2065" t="inlineStr">
        <is>
          <t>馬卡龍藍色星星</t>
        </is>
      </c>
      <c r="E2065" t="inlineStr">
        <is>
          <t>226541342242</t>
        </is>
      </c>
      <c r="F2065">
        <f>IMAGE("https://cf.shopee.tw/file/tw-11134207-7r98p-lxnok7gb66nk57_tn")</f>
        <v/>
      </c>
    </row>
    <row r="2066">
      <c r="A2066" t="inlineStr">
        <is>
          <t>25083447472</t>
        </is>
      </c>
      <c r="B2066" t="inlineStr">
        <is>
          <t>隔日到貨🔥 ins韓風 手機殼吊飾 Airpods殼吊飾 手機殼掛飾 手機掛件 掛飾 手機吊飾 手機掛繩 掛繩</t>
        </is>
      </c>
      <c r="C2066">
        <f>IMAGE("https://cf.shopee.tw/file/tw-11134207-7r990-lxno7th3otgwba_tn")</f>
        <v/>
      </c>
      <c r="D2066" t="inlineStr">
        <is>
          <t>馬卡龍粉色星星</t>
        </is>
      </c>
      <c r="E2066" t="inlineStr">
        <is>
          <t>226541342243</t>
        </is>
      </c>
      <c r="F2066">
        <f>IMAGE("https://cf.shopee.tw/file/tw-11134207-7r98o-lxnokioamsdi16_tn")</f>
        <v/>
      </c>
    </row>
    <row r="2067">
      <c r="A2067" t="inlineStr">
        <is>
          <t>25083447472</t>
        </is>
      </c>
      <c r="B2067" t="inlineStr">
        <is>
          <t>隔日到貨🔥 ins韓風 手機殼吊飾 Airpods殼吊飾 手機殼掛飾 手機掛件 掛飾 手機吊飾 手機掛繩 掛繩</t>
        </is>
      </c>
      <c r="C2067">
        <f>IMAGE("https://cf.shopee.tw/file/tw-11134207-7r990-lxno7th3otgwba_tn")</f>
        <v/>
      </c>
      <c r="D2067" t="inlineStr">
        <is>
          <t>奶黃星星</t>
        </is>
      </c>
      <c r="E2067" t="inlineStr">
        <is>
          <t>176571398851</t>
        </is>
      </c>
      <c r="F2067">
        <f>IMAGE("https://cf.shopee.tw/file/tw-11134207-7r98u-lxnokioao6xyf7_tn")</f>
        <v/>
      </c>
    </row>
    <row r="2068">
      <c r="A2068" t="inlineStr">
        <is>
          <t>25083447472</t>
        </is>
      </c>
      <c r="B2068" t="inlineStr">
        <is>
          <t>隔日到貨🔥 ins韓風 手機殼吊飾 Airpods殼吊飾 手機殼掛飾 手機掛件 掛飾 手機吊飾 手機掛繩 掛繩</t>
        </is>
      </c>
      <c r="C2068">
        <f>IMAGE("https://cf.shopee.tw/file/tw-11134207-7r990-lxno7th3otgwba_tn")</f>
        <v/>
      </c>
      <c r="D2068" t="inlineStr">
        <is>
          <t>太陽雲朵紫</t>
        </is>
      </c>
      <c r="E2068" t="inlineStr">
        <is>
          <t>296799891382</t>
        </is>
      </c>
      <c r="F2068">
        <f>IMAGE("https://cf.shopee.tw/file/tw-11134207-81zti-mf700m6ghv643a_tn")</f>
        <v/>
      </c>
    </row>
    <row r="2069">
      <c r="A2069" t="inlineStr">
        <is>
          <t>25259235570</t>
        </is>
      </c>
      <c r="B2069" t="inlineStr">
        <is>
          <t>隔日到貨🔥 iPhone 手機殼 17 16 15 14 pro 13 12 11 XS XR 保護殼 軟殼 蘋果 小狗</t>
        </is>
      </c>
      <c r="C2069">
        <f>IMAGE("https://cf.shopee.tw/file/tw-11134207-7r98q-lqnk3zs1re8o53_tn")</f>
        <v/>
      </c>
      <c r="D2069" t="inlineStr">
        <is>
          <t>堆堆小狗(單殼),X/XS</t>
        </is>
      </c>
      <c r="E2069" t="inlineStr">
        <is>
          <t>225996975628</t>
        </is>
      </c>
      <c r="F2069">
        <f>IMAGE("https://cf.shopee.tw/file/tw-11134207-7r98z-lqnkl14o5og24d_tn")</f>
        <v/>
      </c>
    </row>
    <row r="2070">
      <c r="A2070" t="inlineStr">
        <is>
          <t>25259235570</t>
        </is>
      </c>
      <c r="B2070" t="inlineStr">
        <is>
          <t>隔日到貨🔥 iPhone 手機殼 17 16 15 14 pro 13 12 11 XS XR 保護殼 軟殼 蘋果 小狗</t>
        </is>
      </c>
      <c r="C2070">
        <f>IMAGE("https://cf.shopee.tw/file/tw-11134207-7r98q-lqnk3zs1re8o53_tn")</f>
        <v/>
      </c>
      <c r="D2070" t="inlineStr">
        <is>
          <t>堆堆小狗(單殼),XR</t>
        </is>
      </c>
      <c r="E2070" t="inlineStr">
        <is>
          <t>225996975629</t>
        </is>
      </c>
      <c r="F2070">
        <f>IMAGE("https://cf.shopee.tw/file/tw-11134207-7r98z-lqnkl14o5og24d_tn")</f>
        <v/>
      </c>
    </row>
    <row r="2071">
      <c r="A2071" t="inlineStr">
        <is>
          <t>25259235570</t>
        </is>
      </c>
      <c r="B2071" t="inlineStr">
        <is>
          <t>隔日到貨🔥 iPhone 手機殼 17 16 15 14 pro 13 12 11 XS XR 保護殼 軟殼 蘋果 小狗</t>
        </is>
      </c>
      <c r="C2071">
        <f>IMAGE("https://cf.shopee.tw/file/tw-11134207-7r98q-lqnk3zs1re8o53_tn")</f>
        <v/>
      </c>
      <c r="D2071" t="inlineStr">
        <is>
          <t>堆堆小狗(單殼),XS Max</t>
        </is>
      </c>
      <c r="E2071" t="inlineStr">
        <is>
          <t>225996975630</t>
        </is>
      </c>
      <c r="F2071">
        <f>IMAGE("https://cf.shopee.tw/file/tw-11134207-7r98z-lqnkl14o5og24d_tn")</f>
        <v/>
      </c>
    </row>
    <row r="2072">
      <c r="A2072" t="inlineStr">
        <is>
          <t>25259235570</t>
        </is>
      </c>
      <c r="B2072" t="inlineStr">
        <is>
          <t>隔日到貨🔥 iPhone 手機殼 17 16 15 14 pro 13 12 11 XS XR 保護殼 軟殼 蘋果 小狗</t>
        </is>
      </c>
      <c r="C2072">
        <f>IMAGE("https://cf.shopee.tw/file/tw-11134207-7r98q-lqnk3zs1re8o53_tn")</f>
        <v/>
      </c>
      <c r="D2072" t="inlineStr">
        <is>
          <t>堆堆小狗(單殼),11</t>
        </is>
      </c>
      <c r="E2072" t="inlineStr">
        <is>
          <t>225996975631</t>
        </is>
      </c>
      <c r="F2072">
        <f>IMAGE("https://cf.shopee.tw/file/tw-11134207-7r98z-lqnkl14o5og24d_tn")</f>
        <v/>
      </c>
    </row>
    <row r="2073">
      <c r="A2073" t="inlineStr">
        <is>
          <t>25259235570</t>
        </is>
      </c>
      <c r="B2073" t="inlineStr">
        <is>
          <t>隔日到貨🔥 iPhone 手機殼 17 16 15 14 pro 13 12 11 XS XR 保護殼 軟殼 蘋果 小狗</t>
        </is>
      </c>
      <c r="C2073">
        <f>IMAGE("https://cf.shopee.tw/file/tw-11134207-7r98q-lqnk3zs1re8o53_tn")</f>
        <v/>
      </c>
      <c r="D2073" t="inlineStr">
        <is>
          <t>堆堆小狗(單殼),11 pro Max</t>
        </is>
      </c>
      <c r="E2073" t="inlineStr">
        <is>
          <t>225996975632</t>
        </is>
      </c>
      <c r="F2073">
        <f>IMAGE("https://cf.shopee.tw/file/tw-11134207-7r98z-lqnkl14o5og24d_tn")</f>
        <v/>
      </c>
    </row>
    <row r="2074">
      <c r="A2074" t="inlineStr">
        <is>
          <t>25259235570</t>
        </is>
      </c>
      <c r="B2074" t="inlineStr">
        <is>
          <t>隔日到貨🔥 iPhone 手機殼 17 16 15 14 pro 13 12 11 XS XR 保護殼 軟殼 蘋果 小狗</t>
        </is>
      </c>
      <c r="C2074">
        <f>IMAGE("https://cf.shopee.tw/file/tw-11134207-7r98q-lqnk3zs1re8o53_tn")</f>
        <v/>
      </c>
      <c r="D2074" t="inlineStr">
        <is>
          <t>堆堆小狗(單殼),12/12pro</t>
        </is>
      </c>
      <c r="E2074" t="inlineStr">
        <is>
          <t>225996975633</t>
        </is>
      </c>
      <c r="F2074">
        <f>IMAGE("https://cf.shopee.tw/file/tw-11134207-7r98z-lqnkl14o5og24d_tn")</f>
        <v/>
      </c>
    </row>
    <row r="2075">
      <c r="A2075" t="inlineStr">
        <is>
          <t>25259235570</t>
        </is>
      </c>
      <c r="B2075" t="inlineStr">
        <is>
          <t>隔日到貨🔥 iPhone 手機殼 17 16 15 14 pro 13 12 11 XS XR 保護殼 軟殼 蘋果 小狗</t>
        </is>
      </c>
      <c r="C2075">
        <f>IMAGE("https://cf.shopee.tw/file/tw-11134207-7r98q-lqnk3zs1re8o53_tn")</f>
        <v/>
      </c>
      <c r="D2075" t="inlineStr">
        <is>
          <t>堆堆小狗(單殼),12 pro Max</t>
        </is>
      </c>
      <c r="E2075" t="inlineStr">
        <is>
          <t>225996975634</t>
        </is>
      </c>
      <c r="F2075">
        <f>IMAGE("https://cf.shopee.tw/file/tw-11134207-7r98z-lqnkl14o5og24d_tn")</f>
        <v/>
      </c>
    </row>
    <row r="2076">
      <c r="A2076" t="inlineStr">
        <is>
          <t>25259235570</t>
        </is>
      </c>
      <c r="B2076" t="inlineStr">
        <is>
          <t>隔日到貨🔥 iPhone 手機殼 17 16 15 14 pro 13 12 11 XS XR 保護殼 軟殼 蘋果 小狗</t>
        </is>
      </c>
      <c r="C2076">
        <f>IMAGE("https://cf.shopee.tw/file/tw-11134207-7r98q-lqnk3zs1re8o53_tn")</f>
        <v/>
      </c>
      <c r="D2076" t="inlineStr">
        <is>
          <t>堆堆小狗(單殼),13</t>
        </is>
      </c>
      <c r="E2076" t="inlineStr">
        <is>
          <t>225996975635</t>
        </is>
      </c>
      <c r="F2076">
        <f>IMAGE("https://cf.shopee.tw/file/tw-11134207-7r98z-lqnkl14o5og24d_tn")</f>
        <v/>
      </c>
    </row>
    <row r="2077">
      <c r="A2077" t="inlineStr">
        <is>
          <t>25259235570</t>
        </is>
      </c>
      <c r="B2077" t="inlineStr">
        <is>
          <t>隔日到貨🔥 iPhone 手機殼 17 16 15 14 pro 13 12 11 XS XR 保護殼 軟殼 蘋果 小狗</t>
        </is>
      </c>
      <c r="C2077">
        <f>IMAGE("https://cf.shopee.tw/file/tw-11134207-7r98q-lqnk3zs1re8o53_tn")</f>
        <v/>
      </c>
      <c r="D2077" t="inlineStr">
        <is>
          <t>堆堆小狗(單殼),13 pro</t>
        </is>
      </c>
      <c r="E2077" t="inlineStr">
        <is>
          <t>225996975636</t>
        </is>
      </c>
      <c r="F2077">
        <f>IMAGE("https://cf.shopee.tw/file/tw-11134207-7r98z-lqnkl14o5og24d_tn")</f>
        <v/>
      </c>
    </row>
    <row r="2078">
      <c r="A2078" t="inlineStr">
        <is>
          <t>25259235570</t>
        </is>
      </c>
      <c r="B2078" t="inlineStr">
        <is>
          <t>隔日到貨🔥 iPhone 手機殼 17 16 15 14 pro 13 12 11 XS XR 保護殼 軟殼 蘋果 小狗</t>
        </is>
      </c>
      <c r="C2078">
        <f>IMAGE("https://cf.shopee.tw/file/tw-11134207-7r98q-lqnk3zs1re8o53_tn")</f>
        <v/>
      </c>
      <c r="D2078" t="inlineStr">
        <is>
          <t>堆堆小狗(單殼),13 pro Max</t>
        </is>
      </c>
      <c r="E2078" t="inlineStr">
        <is>
          <t>225996975637</t>
        </is>
      </c>
      <c r="F2078">
        <f>IMAGE("https://cf.shopee.tw/file/tw-11134207-7r98z-lqnkl14o5og24d_tn")</f>
        <v/>
      </c>
    </row>
    <row r="2079">
      <c r="A2079" t="inlineStr">
        <is>
          <t>25259235570</t>
        </is>
      </c>
      <c r="B2079" t="inlineStr">
        <is>
          <t>隔日到貨🔥 iPhone 手機殼 17 16 15 14 pro 13 12 11 XS XR 保護殼 軟殼 蘋果 小狗</t>
        </is>
      </c>
      <c r="C2079">
        <f>IMAGE("https://cf.shopee.tw/file/tw-11134207-7r98q-lqnk3zs1re8o53_tn")</f>
        <v/>
      </c>
      <c r="D2079" t="inlineStr">
        <is>
          <t>堆堆小狗(單殼),14</t>
        </is>
      </c>
      <c r="E2079" t="inlineStr">
        <is>
          <t>225996975638</t>
        </is>
      </c>
      <c r="F2079">
        <f>IMAGE("https://cf.shopee.tw/file/tw-11134207-7r98z-lqnkl14o5og24d_tn")</f>
        <v/>
      </c>
    </row>
    <row r="2080">
      <c r="A2080" t="inlineStr">
        <is>
          <t>25259235570</t>
        </is>
      </c>
      <c r="B2080" t="inlineStr">
        <is>
          <t>隔日到貨🔥 iPhone 手機殼 17 16 15 14 pro 13 12 11 XS XR 保護殼 軟殼 蘋果 小狗</t>
        </is>
      </c>
      <c r="C2080">
        <f>IMAGE("https://cf.shopee.tw/file/tw-11134207-7r98q-lqnk3zs1re8o53_tn")</f>
        <v/>
      </c>
      <c r="D2080" t="inlineStr">
        <is>
          <t>堆堆小狗(單殼),14 pro</t>
        </is>
      </c>
      <c r="E2080" t="inlineStr">
        <is>
          <t>225996975639</t>
        </is>
      </c>
      <c r="F2080">
        <f>IMAGE("https://cf.shopee.tw/file/tw-11134207-7r98z-lqnkl14o5og24d_tn")</f>
        <v/>
      </c>
    </row>
    <row r="2081">
      <c r="A2081" t="inlineStr">
        <is>
          <t>25259235570</t>
        </is>
      </c>
      <c r="B2081" t="inlineStr">
        <is>
          <t>隔日到貨🔥 iPhone 手機殼 17 16 15 14 pro 13 12 11 XS XR 保護殼 軟殼 蘋果 小狗</t>
        </is>
      </c>
      <c r="C2081">
        <f>IMAGE("https://cf.shopee.tw/file/tw-11134207-7r98q-lqnk3zs1re8o53_tn")</f>
        <v/>
      </c>
      <c r="D2081" t="inlineStr">
        <is>
          <t>堆堆小狗(單殼),14 pro Max</t>
        </is>
      </c>
      <c r="E2081" t="inlineStr">
        <is>
          <t>225996975640</t>
        </is>
      </c>
      <c r="F2081">
        <f>IMAGE("https://cf.shopee.tw/file/tw-11134207-7r98z-lqnkl14o5og24d_tn")</f>
        <v/>
      </c>
    </row>
    <row r="2082">
      <c r="A2082" t="inlineStr">
        <is>
          <t>25259235570</t>
        </is>
      </c>
      <c r="B2082" t="inlineStr">
        <is>
          <t>隔日到貨🔥 iPhone 手機殼 17 16 15 14 pro 13 12 11 XS XR 保護殼 軟殼 蘋果 小狗</t>
        </is>
      </c>
      <c r="C2082">
        <f>IMAGE("https://cf.shopee.tw/file/tw-11134207-7r98q-lqnk3zs1re8o53_tn")</f>
        <v/>
      </c>
      <c r="D2082" t="inlineStr">
        <is>
          <t>堆堆小狗(單殼),14Plus/15Plus</t>
        </is>
      </c>
      <c r="E2082" t="inlineStr">
        <is>
          <t>225996975641</t>
        </is>
      </c>
      <c r="F2082">
        <f>IMAGE("https://cf.shopee.tw/file/tw-11134207-7r98z-lqnkl14o5og24d_tn")</f>
        <v/>
      </c>
    </row>
    <row r="2083">
      <c r="A2083" t="inlineStr">
        <is>
          <t>25259235570</t>
        </is>
      </c>
      <c r="B2083" t="inlineStr">
        <is>
          <t>隔日到貨🔥 iPhone 手機殼 17 16 15 14 pro 13 12 11 XS XR 保護殼 軟殼 蘋果 小狗</t>
        </is>
      </c>
      <c r="C2083">
        <f>IMAGE("https://cf.shopee.tw/file/tw-11134207-7r98q-lqnk3zs1re8o53_tn")</f>
        <v/>
      </c>
      <c r="D2083" t="inlineStr">
        <is>
          <t>堆堆小狗(單殼),15</t>
        </is>
      </c>
      <c r="E2083" t="inlineStr">
        <is>
          <t>225996975642</t>
        </is>
      </c>
      <c r="F2083">
        <f>IMAGE("https://cf.shopee.tw/file/tw-11134207-7r98z-lqnkl14o5og24d_tn")</f>
        <v/>
      </c>
    </row>
    <row r="2084">
      <c r="A2084" t="inlineStr">
        <is>
          <t>25259235570</t>
        </is>
      </c>
      <c r="B2084" t="inlineStr">
        <is>
          <t>隔日到貨🔥 iPhone 手機殼 17 16 15 14 pro 13 12 11 XS XR 保護殼 軟殼 蘋果 小狗</t>
        </is>
      </c>
      <c r="C2084">
        <f>IMAGE("https://cf.shopee.tw/file/tw-11134207-7r98q-lqnk3zs1re8o53_tn")</f>
        <v/>
      </c>
      <c r="D2084" t="inlineStr">
        <is>
          <t>堆堆小狗(單殼),15 pro</t>
        </is>
      </c>
      <c r="E2084" t="inlineStr"/>
      <c r="F2084">
        <f>IMAGE("https://cf.shopee.tw/file/tw-11134207-7r98z-lqnkl14o5og24d_tn")</f>
        <v/>
      </c>
    </row>
    <row r="2085">
      <c r="A2085" t="inlineStr">
        <is>
          <t>25259235570</t>
        </is>
      </c>
      <c r="B2085" t="inlineStr">
        <is>
          <t>隔日到貨🔥 iPhone 手機殼 17 16 15 14 pro 13 12 11 XS XR 保護殼 軟殼 蘋果 小狗</t>
        </is>
      </c>
      <c r="C2085">
        <f>IMAGE("https://cf.shopee.tw/file/tw-11134207-7r98q-lqnk3zs1re8o53_tn")</f>
        <v/>
      </c>
      <c r="D2085" t="inlineStr">
        <is>
          <t>堆堆小狗(單殼),15 pro Max</t>
        </is>
      </c>
      <c r="E2085" t="inlineStr">
        <is>
          <t>225996975644</t>
        </is>
      </c>
      <c r="F2085">
        <f>IMAGE("https://cf.shopee.tw/file/tw-11134207-7r98z-lqnkl14o5og24d_tn")</f>
        <v/>
      </c>
    </row>
    <row r="2086">
      <c r="A2086" t="inlineStr">
        <is>
          <t>25259235570</t>
        </is>
      </c>
      <c r="B2086" t="inlineStr">
        <is>
          <t>隔日到貨🔥 iPhone 手機殼 17 16 15 14 pro 13 12 11 XS XR 保護殼 軟殼 蘋果 小狗</t>
        </is>
      </c>
      <c r="C2086">
        <f>IMAGE("https://cf.shopee.tw/file/tw-11134207-7r98q-lqnk3zs1re8o53_tn")</f>
        <v/>
      </c>
      <c r="D2086" t="inlineStr">
        <is>
          <t>堆堆小狗(單殼),15 Plus</t>
        </is>
      </c>
      <c r="E2086" t="inlineStr">
        <is>
          <t>225996975645</t>
        </is>
      </c>
      <c r="F2086">
        <f>IMAGE("https://cf.shopee.tw/file/tw-11134207-7r98z-lqnkl14o5og24d_tn")</f>
        <v/>
      </c>
    </row>
    <row r="2087">
      <c r="A2087" t="inlineStr">
        <is>
          <t>25259235570</t>
        </is>
      </c>
      <c r="B2087" t="inlineStr">
        <is>
          <t>隔日到貨🔥 iPhone 手機殼 17 16 15 14 pro 13 12 11 XS XR 保護殼 軟殼 蘋果 小狗</t>
        </is>
      </c>
      <c r="C2087">
        <f>IMAGE("https://cf.shopee.tw/file/tw-11134207-7r98q-lqnk3zs1re8o53_tn")</f>
        <v/>
      </c>
      <c r="D2087" t="inlineStr">
        <is>
          <t>堆堆小狗(單殼),16</t>
        </is>
      </c>
      <c r="E2087" t="inlineStr">
        <is>
          <t>236998905425</t>
        </is>
      </c>
      <c r="F2087">
        <f>IMAGE("https://cf.shopee.tw/file/tw-11134207-7r98z-lqnkl14o5og24d_tn")</f>
        <v/>
      </c>
    </row>
    <row r="2088">
      <c r="A2088" t="inlineStr">
        <is>
          <t>25259235570</t>
        </is>
      </c>
      <c r="B2088" t="inlineStr">
        <is>
          <t>隔日到貨🔥 iPhone 手機殼 17 16 15 14 pro 13 12 11 XS XR 保護殼 軟殼 蘋果 小狗</t>
        </is>
      </c>
      <c r="C2088">
        <f>IMAGE("https://cf.shopee.tw/file/tw-11134207-7r98q-lqnk3zs1re8o53_tn")</f>
        <v/>
      </c>
      <c r="D2088" t="inlineStr">
        <is>
          <t>堆堆小狗(單殼),16 Pro</t>
        </is>
      </c>
      <c r="E2088" t="inlineStr">
        <is>
          <t>236998905426</t>
        </is>
      </c>
      <c r="F2088">
        <f>IMAGE("https://cf.shopee.tw/file/tw-11134207-7r98z-lqnkl14o5og24d_tn")</f>
        <v/>
      </c>
    </row>
    <row r="2089">
      <c r="A2089" t="inlineStr">
        <is>
          <t>25259235570</t>
        </is>
      </c>
      <c r="B2089" t="inlineStr">
        <is>
          <t>隔日到貨🔥 iPhone 手機殼 17 16 15 14 pro 13 12 11 XS XR 保護殼 軟殼 蘋果 小狗</t>
        </is>
      </c>
      <c r="C2089">
        <f>IMAGE("https://cf.shopee.tw/file/tw-11134207-7r98q-lqnk3zs1re8o53_tn")</f>
        <v/>
      </c>
      <c r="D2089" t="inlineStr">
        <is>
          <t>堆堆小狗(單殼),16 Plus</t>
        </is>
      </c>
      <c r="E2089" t="inlineStr">
        <is>
          <t>236998905427</t>
        </is>
      </c>
      <c r="F2089">
        <f>IMAGE("https://cf.shopee.tw/file/tw-11134207-7r98z-lqnkl14o5og24d_tn")</f>
        <v/>
      </c>
    </row>
    <row r="2090">
      <c r="A2090" t="inlineStr">
        <is>
          <t>25259235570</t>
        </is>
      </c>
      <c r="B2090" t="inlineStr">
        <is>
          <t>隔日到貨🔥 iPhone 手機殼 17 16 15 14 pro 13 12 11 XS XR 保護殼 軟殼 蘋果 小狗</t>
        </is>
      </c>
      <c r="C2090">
        <f>IMAGE("https://cf.shopee.tw/file/tw-11134207-7r98q-lqnk3zs1re8o53_tn")</f>
        <v/>
      </c>
      <c r="D2090" t="inlineStr">
        <is>
          <t>堆堆小狗(單殼),16 Pro Max</t>
        </is>
      </c>
      <c r="E2090" t="inlineStr">
        <is>
          <t>236998905428</t>
        </is>
      </c>
      <c r="F2090">
        <f>IMAGE("https://cf.shopee.tw/file/tw-11134207-7r98z-lqnkl14o5og24d_tn")</f>
        <v/>
      </c>
    </row>
    <row r="2091">
      <c r="A2091" t="inlineStr">
        <is>
          <t>25259235570</t>
        </is>
      </c>
      <c r="B2091" t="inlineStr">
        <is>
          <t>隔日到貨🔥 iPhone 手機殼 17 16 15 14 pro 13 12 11 XS XR 保護殼 軟殼 蘋果 小狗</t>
        </is>
      </c>
      <c r="C2091">
        <f>IMAGE("https://cf.shopee.tw/file/tw-11134207-7r98q-lqnk3zs1re8o53_tn")</f>
        <v/>
      </c>
      <c r="D2091" t="inlineStr">
        <is>
          <t>堆堆小狗(單殼),加購圖上陶瓷狗掛繩</t>
        </is>
      </c>
      <c r="E2091" t="inlineStr"/>
      <c r="F2091">
        <f>IMAGE("https://cf.shopee.tw/file/tw-11134207-7r98z-lqnkl14o5og24d_tn")</f>
        <v/>
      </c>
    </row>
    <row r="2092">
      <c r="A2092" t="inlineStr">
        <is>
          <t>25259235570</t>
        </is>
      </c>
      <c r="B2092" t="inlineStr">
        <is>
          <t>隔日到貨🔥 iPhone 手機殼 17 16 15 14 pro 13 12 11 XS XR 保護殼 軟殼 蘋果 小狗</t>
        </is>
      </c>
      <c r="C2092">
        <f>IMAGE("https://cf.shopee.tw/file/tw-11134207-7r98q-lqnk3zs1re8o53_tn")</f>
        <v/>
      </c>
      <c r="D2092" t="inlineStr">
        <is>
          <t>堆堆小狗(單殼),17</t>
        </is>
      </c>
      <c r="E2092" t="inlineStr">
        <is>
          <t>320089233591</t>
        </is>
      </c>
      <c r="F2092">
        <f>IMAGE("https://cf.shopee.tw/file/tw-11134207-7r98z-lqnkl14o5og24d_tn")</f>
        <v/>
      </c>
    </row>
    <row r="2093">
      <c r="A2093" t="inlineStr">
        <is>
          <t>25259235570</t>
        </is>
      </c>
      <c r="B2093" t="inlineStr">
        <is>
          <t>隔日到貨🔥 iPhone 手機殼 17 16 15 14 pro 13 12 11 XS XR 保護殼 軟殼 蘋果 小狗</t>
        </is>
      </c>
      <c r="C2093">
        <f>IMAGE("https://cf.shopee.tw/file/tw-11134207-7r98q-lqnk3zs1re8o53_tn")</f>
        <v/>
      </c>
      <c r="D2093" t="inlineStr">
        <is>
          <t>堆堆小狗(單殼),17 Pro</t>
        </is>
      </c>
      <c r="E2093" t="inlineStr">
        <is>
          <t>320089233592</t>
        </is>
      </c>
      <c r="F2093">
        <f>IMAGE("https://cf.shopee.tw/file/tw-11134207-7r98z-lqnkl14o5og24d_tn")</f>
        <v/>
      </c>
    </row>
    <row r="2094">
      <c r="A2094" t="inlineStr">
        <is>
          <t>25259235570</t>
        </is>
      </c>
      <c r="B2094" t="inlineStr">
        <is>
          <t>隔日到貨🔥 iPhone 手機殼 17 16 15 14 pro 13 12 11 XS XR 保護殼 軟殼 蘋果 小狗</t>
        </is>
      </c>
      <c r="C2094">
        <f>IMAGE("https://cf.shopee.tw/file/tw-11134207-7r98q-lqnk3zs1re8o53_tn")</f>
        <v/>
      </c>
      <c r="D2094" t="inlineStr">
        <is>
          <t>堆堆小狗(單殼),17 pro Max</t>
        </is>
      </c>
      <c r="E2094" t="inlineStr">
        <is>
          <t>320089233593</t>
        </is>
      </c>
      <c r="F2094">
        <f>IMAGE("https://cf.shopee.tw/file/tw-11134207-7r98z-lqnkl14o5og24d_tn")</f>
        <v/>
      </c>
    </row>
    <row r="2095">
      <c r="A2095" t="inlineStr">
        <is>
          <t>23025473309</t>
        </is>
      </c>
      <c r="B2095" t="inlineStr">
        <is>
          <t>隔日到貨🔥 ins 搞怪表情船襪 短襪 女船襪 淺口襪 襪子 短襪 S33 韓風 熱銷 女襪 棉襪 後跟止滑</t>
        </is>
      </c>
      <c r="C2095">
        <f>IMAGE("https://cf.shopee.tw/file/tw-11134207-23030-wzwphexkwcov5a_tn")</f>
        <v/>
      </c>
      <c r="D2095" t="inlineStr">
        <is>
          <t>黑色</t>
        </is>
      </c>
      <c r="E2095" t="inlineStr">
        <is>
          <t>230996364503</t>
        </is>
      </c>
      <c r="F2095">
        <f>IMAGE("https://cf.shopee.tw/file/tw-11134207-23020-72ewk0r5ionv50_tn")</f>
        <v/>
      </c>
    </row>
    <row r="2096">
      <c r="A2096" t="inlineStr">
        <is>
          <t>23025473309</t>
        </is>
      </c>
      <c r="B2096" t="inlineStr">
        <is>
          <t>隔日到貨🔥 ins 搞怪表情船襪 短襪 女船襪 淺口襪 襪子 短襪 S33 韓風 熱銷 女襪 棉襪 後跟止滑</t>
        </is>
      </c>
      <c r="C2096">
        <f>IMAGE("https://cf.shopee.tw/file/tw-11134207-23030-wzwphexkwcov5a_tn")</f>
        <v/>
      </c>
      <c r="D2096" t="inlineStr">
        <is>
          <t>白色</t>
        </is>
      </c>
      <c r="E2096" t="inlineStr">
        <is>
          <t>230996364504</t>
        </is>
      </c>
      <c r="F2096">
        <f>IMAGE("https://cf.shopee.tw/file/tw-11134207-23020-es9uq2u5ionv5c_tn")</f>
        <v/>
      </c>
    </row>
    <row r="2097">
      <c r="A2097" t="inlineStr">
        <is>
          <t>23025473309</t>
        </is>
      </c>
      <c r="B2097" t="inlineStr">
        <is>
          <t>隔日到貨🔥 ins 搞怪表情船襪 短襪 女船襪 淺口襪 襪子 短襪 S33 韓風 熱銷 女襪 棉襪 後跟止滑</t>
        </is>
      </c>
      <c r="C2097">
        <f>IMAGE("https://cf.shopee.tw/file/tw-11134207-23030-wzwphexkwcov5a_tn")</f>
        <v/>
      </c>
      <c r="D2097" t="inlineStr">
        <is>
          <t>橘色</t>
        </is>
      </c>
      <c r="E2097" t="inlineStr">
        <is>
          <t>230996364499</t>
        </is>
      </c>
      <c r="F2097">
        <f>IMAGE("https://cf.shopee.tw/file/tw-11134207-23020-3mspv585ionve6_tn")</f>
        <v/>
      </c>
    </row>
    <row r="2098">
      <c r="A2098" t="inlineStr">
        <is>
          <t>23025473309</t>
        </is>
      </c>
      <c r="B2098" t="inlineStr">
        <is>
          <t>隔日到貨🔥 ins 搞怪表情船襪 短襪 女船襪 淺口襪 襪子 短襪 S33 韓風 熱銷 女襪 棉襪 後跟止滑</t>
        </is>
      </c>
      <c r="C2098">
        <f>IMAGE("https://cf.shopee.tw/file/tw-11134207-23030-wzwphexkwcov5a_tn")</f>
        <v/>
      </c>
      <c r="D2098" t="inlineStr">
        <is>
          <t>藍色</t>
        </is>
      </c>
      <c r="E2098" t="inlineStr">
        <is>
          <t>230996364505</t>
        </is>
      </c>
      <c r="F2098">
        <f>IMAGE("https://cf.shopee.tw/file/tw-11134207-23020-959fmlx6ionv3a_tn")</f>
        <v/>
      </c>
    </row>
    <row r="2099">
      <c r="A2099" t="inlineStr">
        <is>
          <t>23025473309</t>
        </is>
      </c>
      <c r="B2099" t="inlineStr">
        <is>
          <t>隔日到貨🔥 ins 搞怪表情船襪 短襪 女船襪 淺口襪 襪子 短襪 S33 韓風 熱銷 女襪 棉襪 後跟止滑</t>
        </is>
      </c>
      <c r="C2099">
        <f>IMAGE("https://cf.shopee.tw/file/tw-11134207-23030-wzwphexkwcov5a_tn")</f>
        <v/>
      </c>
      <c r="D2099" t="inlineStr">
        <is>
          <t>紫色</t>
        </is>
      </c>
      <c r="E2099" t="inlineStr">
        <is>
          <t>230996364506</t>
        </is>
      </c>
      <c r="F2099">
        <f>IMAGE("https://cf.shopee.tw/file/tw-11134207-23020-1mlzsyz6ionv4a_tn")</f>
        <v/>
      </c>
    </row>
    <row r="2100">
      <c r="A2100" t="inlineStr">
        <is>
          <t>23025473309</t>
        </is>
      </c>
      <c r="B2100" t="inlineStr">
        <is>
          <t>隔日到貨🔥 ins 搞怪表情船襪 短襪 女船襪 淺口襪 襪子 短襪 S33 韓風 熱銷 女襪 棉襪 後跟止滑</t>
        </is>
      </c>
      <c r="C2100">
        <f>IMAGE("https://cf.shopee.tw/file/tw-11134207-23030-wzwphexkwcov5a_tn")</f>
        <v/>
      </c>
      <c r="D2100" t="inlineStr">
        <is>
          <t>豆沙</t>
        </is>
      </c>
      <c r="E2100" t="inlineStr">
        <is>
          <t>230996364507</t>
        </is>
      </c>
      <c r="F2100">
        <f>IMAGE("https://cf.shopee.tw/file/tw-11134207-23020-50dcps46ionvee_tn")</f>
        <v/>
      </c>
    </row>
    <row r="2101">
      <c r="A2101" t="inlineStr">
        <is>
          <t>23025473309</t>
        </is>
      </c>
      <c r="B2101" t="inlineStr">
        <is>
          <t>隔日到貨🔥 ins 搞怪表情船襪 短襪 女船襪 淺口襪 襪子 短襪 S33 韓風 熱銷 女襪 棉襪 後跟止滑</t>
        </is>
      </c>
      <c r="C2101">
        <f>IMAGE("https://cf.shopee.tw/file/tw-11134207-23030-wzwphexkwcov5a_tn")</f>
        <v/>
      </c>
      <c r="D2101" t="inlineStr">
        <is>
          <t>米色</t>
        </is>
      </c>
      <c r="E2101" t="inlineStr">
        <is>
          <t>230996364500</t>
        </is>
      </c>
      <c r="F2101">
        <f>IMAGE("https://cf.shopee.tw/file/tw-11134207-23020-ohdknd76ionv18_tn")</f>
        <v/>
      </c>
    </row>
    <row r="2102">
      <c r="A2102" t="inlineStr">
        <is>
          <t>23025473309</t>
        </is>
      </c>
      <c r="B2102" t="inlineStr">
        <is>
          <t>隔日到貨🔥 ins 搞怪表情船襪 短襪 女船襪 淺口襪 襪子 短襪 S33 韓風 熱銷 女襪 棉襪 後跟止滑</t>
        </is>
      </c>
      <c r="C2102">
        <f>IMAGE("https://cf.shopee.tw/file/tw-11134207-23030-wzwphexkwcov5a_tn")</f>
        <v/>
      </c>
      <c r="D2102" t="inlineStr">
        <is>
          <t>灰色</t>
        </is>
      </c>
      <c r="E2102" t="inlineStr">
        <is>
          <t>230996364508</t>
        </is>
      </c>
      <c r="F2102">
        <f>IMAGE("https://cf.shopee.tw/file/tw-11134207-23020-5xcfh896ionv72_tn")</f>
        <v/>
      </c>
    </row>
    <row r="2103">
      <c r="A2103" t="inlineStr">
        <is>
          <t>23025473309</t>
        </is>
      </c>
      <c r="B2103" t="inlineStr">
        <is>
          <t>隔日到貨🔥 ins 搞怪表情船襪 短襪 女船襪 淺口襪 襪子 短襪 S33 韓風 熱銷 女襪 棉襪 後跟止滑</t>
        </is>
      </c>
      <c r="C2103">
        <f>IMAGE("https://cf.shopee.tw/file/tw-11134207-23030-wzwphexkwcov5a_tn")</f>
        <v/>
      </c>
      <c r="D2103" t="inlineStr">
        <is>
          <t>黃色</t>
        </is>
      </c>
      <c r="E2103" t="inlineStr">
        <is>
          <t>230996364501</t>
        </is>
      </c>
      <c r="F2103">
        <f>IMAGE("https://cf.shopee.tw/file/tw-11134207-23020-gztu0nb7ionv5d_tn")</f>
        <v/>
      </c>
    </row>
    <row r="2104">
      <c r="A2104" t="inlineStr">
        <is>
          <t>23025473309</t>
        </is>
      </c>
      <c r="B2104" t="inlineStr">
        <is>
          <t>隔日到貨🔥 ins 搞怪表情船襪 短襪 女船襪 淺口襪 襪子 短襪 S33 韓風 熱銷 女襪 棉襪 後跟止滑</t>
        </is>
      </c>
      <c r="C2104">
        <f>IMAGE("https://cf.shopee.tw/file/tw-11134207-23030-wzwphexkwcov5a_tn")</f>
        <v/>
      </c>
      <c r="D2104" t="inlineStr">
        <is>
          <t>綠色</t>
        </is>
      </c>
      <c r="E2104" t="inlineStr">
        <is>
          <t>230996364502</t>
        </is>
      </c>
      <c r="F2104">
        <f>IMAGE("https://cf.shopee.tw/file/tw-11134207-23020-1ymc6pe7ionvdf_tn")</f>
        <v/>
      </c>
    </row>
    <row r="2105">
      <c r="A2105" t="inlineStr">
        <is>
          <t>18025139892</t>
        </is>
      </c>
      <c r="B2105" t="inlineStr">
        <is>
          <t>隔日到貨🔥 Airpods 保護套 1代 2代 3代 4代 pro pro2 耳機套 A1 防摔 硬殼 保護殼 蘋果</t>
        </is>
      </c>
      <c r="C2105">
        <f>IMAGE("https://cf.shopee.tw/file/sg-11134201-22090-whd2vw698uhve7_tn")</f>
        <v/>
      </c>
      <c r="D2105" t="inlineStr">
        <is>
          <t>5.綠頭套鴨,4代</t>
        </is>
      </c>
      <c r="E2105" t="inlineStr"/>
      <c r="F2105">
        <f>IMAGE("https://cf.shopee.tw/file/cb9249f09871d4d2f38ce63141ccbd1f_tn")</f>
        <v/>
      </c>
    </row>
    <row r="2106">
      <c r="A2106" t="inlineStr">
        <is>
          <t>18025139892</t>
        </is>
      </c>
      <c r="B2106" t="inlineStr">
        <is>
          <t>隔日到貨🔥 Airpods 保護套 1代 2代 3代 4代 pro pro2 耳機套 A1 防摔 硬殼 保護殼 蘋果</t>
        </is>
      </c>
      <c r="C2106">
        <f>IMAGE("https://cf.shopee.tw/file/sg-11134201-22090-whd2vw698uhve7_tn")</f>
        <v/>
      </c>
      <c r="D2106" t="inlineStr">
        <is>
          <t>6.黃底貓,4代</t>
        </is>
      </c>
      <c r="E2106" t="inlineStr"/>
      <c r="F2106">
        <f>IMAGE("https://cf.shopee.tw/file/880d20745571587fa7c302bd9ac9cef8_tn")</f>
        <v/>
      </c>
    </row>
    <row r="2107">
      <c r="A2107" t="inlineStr">
        <is>
          <t>18025139892</t>
        </is>
      </c>
      <c r="B2107" t="inlineStr">
        <is>
          <t>隔日到貨🔥 Airpods 保護套 1代 2代 3代 4代 pro pro2 耳機套 A1 防摔 硬殼 保護殼 蘋果</t>
        </is>
      </c>
      <c r="C2107">
        <f>IMAGE("https://cf.shopee.tw/file/sg-11134201-22090-whd2vw698uhve7_tn")</f>
        <v/>
      </c>
      <c r="D2107" t="inlineStr">
        <is>
          <t>1.小怪獸,1代 / 2代</t>
        </is>
      </c>
      <c r="E2107" t="inlineStr">
        <is>
          <t>181305835628</t>
        </is>
      </c>
      <c r="F2107">
        <f>IMAGE("https://cf.shopee.tw/file/d53169a6cfc3a2ef65ef1f97e63c3aec_tn")</f>
        <v/>
      </c>
    </row>
    <row r="2108">
      <c r="A2108" t="inlineStr">
        <is>
          <t>18025139892</t>
        </is>
      </c>
      <c r="B2108" t="inlineStr">
        <is>
          <t>隔日到貨🔥 Airpods 保護套 1代 2代 3代 4代 pro pro2 耳機套 A1 防摔 硬殼 保護殼 蘋果</t>
        </is>
      </c>
      <c r="C2108">
        <f>IMAGE("https://cf.shopee.tw/file/sg-11134201-22090-whd2vw698uhve7_tn")</f>
        <v/>
      </c>
      <c r="D2108" t="inlineStr">
        <is>
          <t>1.小怪獸,pro1代/pro2代</t>
        </is>
      </c>
      <c r="E2108" t="inlineStr">
        <is>
          <t>181305835629</t>
        </is>
      </c>
      <c r="F2108">
        <f>IMAGE("https://cf.shopee.tw/file/d53169a6cfc3a2ef65ef1f97e63c3aec_tn")</f>
        <v/>
      </c>
    </row>
    <row r="2109">
      <c r="A2109" t="inlineStr">
        <is>
          <t>18025139892</t>
        </is>
      </c>
      <c r="B2109" t="inlineStr">
        <is>
          <t>隔日到貨🔥 Airpods 保護套 1代 2代 3代 4代 pro pro2 耳機套 A1 防摔 硬殼 保護殼 蘋果</t>
        </is>
      </c>
      <c r="C2109">
        <f>IMAGE("https://cf.shopee.tw/file/sg-11134201-22090-whd2vw698uhve7_tn")</f>
        <v/>
      </c>
      <c r="D2109" t="inlineStr">
        <is>
          <t>1.小怪獸,3代</t>
        </is>
      </c>
      <c r="E2109" t="inlineStr">
        <is>
          <t>181305835630</t>
        </is>
      </c>
      <c r="F2109">
        <f>IMAGE("https://cf.shopee.tw/file/d53169a6cfc3a2ef65ef1f97e63c3aec_tn")</f>
        <v/>
      </c>
    </row>
    <row r="2110">
      <c r="A2110" t="inlineStr">
        <is>
          <t>18025139892</t>
        </is>
      </c>
      <c r="B2110" t="inlineStr">
        <is>
          <t>隔日到貨🔥 Airpods 保護套 1代 2代 3代 4代 pro pro2 耳機套 A1 防摔 硬殼 保護殼 蘋果</t>
        </is>
      </c>
      <c r="C2110">
        <f>IMAGE("https://cf.shopee.tw/file/sg-11134201-22090-whd2vw698uhve7_tn")</f>
        <v/>
      </c>
      <c r="D2110" t="inlineStr">
        <is>
          <t>1.小怪獸,4代</t>
        </is>
      </c>
      <c r="E2110" t="inlineStr">
        <is>
          <t>176896514403</t>
        </is>
      </c>
      <c r="F2110">
        <f>IMAGE("https://cf.shopee.tw/file/d53169a6cfc3a2ef65ef1f97e63c3aec_tn")</f>
        <v/>
      </c>
    </row>
    <row r="2111">
      <c r="A2111" t="inlineStr">
        <is>
          <t>18025139892</t>
        </is>
      </c>
      <c r="B2111" t="inlineStr">
        <is>
          <t>隔日到貨🔥 Airpods 保護套 1代 2代 3代 4代 pro pro2 耳機套 A1 防摔 硬殼 保護殼 蘋果</t>
        </is>
      </c>
      <c r="C2111">
        <f>IMAGE("https://cf.shopee.tw/file/sg-11134201-22090-whd2vw698uhve7_tn")</f>
        <v/>
      </c>
      <c r="D2111" t="inlineStr">
        <is>
          <t>2.油畫藍莓花,1代 / 2代</t>
        </is>
      </c>
      <c r="E2111" t="inlineStr">
        <is>
          <t>174064745587</t>
        </is>
      </c>
      <c r="F2111">
        <f>IMAGE("https://cf.shopee.tw/file/24ee4692984bb385bd4a2451413e04b3_tn")</f>
        <v/>
      </c>
    </row>
    <row r="2112">
      <c r="A2112" t="inlineStr">
        <is>
          <t>18025139892</t>
        </is>
      </c>
      <c r="B2112" t="inlineStr">
        <is>
          <t>隔日到貨🔥 Airpods 保護套 1代 2代 3代 4代 pro pro2 耳機套 A1 防摔 硬殼 保護殼 蘋果</t>
        </is>
      </c>
      <c r="C2112">
        <f>IMAGE("https://cf.shopee.tw/file/sg-11134201-22090-whd2vw698uhve7_tn")</f>
        <v/>
      </c>
      <c r="D2112" t="inlineStr">
        <is>
          <t>2.油畫藍莓花,pro1代/pro2代</t>
        </is>
      </c>
      <c r="E2112" t="inlineStr">
        <is>
          <t>174064745591</t>
        </is>
      </c>
      <c r="F2112">
        <f>IMAGE("https://cf.shopee.tw/file/24ee4692984bb385bd4a2451413e04b3_tn")</f>
        <v/>
      </c>
    </row>
    <row r="2113">
      <c r="A2113" t="inlineStr">
        <is>
          <t>18025139892</t>
        </is>
      </c>
      <c r="B2113" t="inlineStr">
        <is>
          <t>隔日到貨🔥 Airpods 保護套 1代 2代 3代 4代 pro pro2 耳機套 A1 防摔 硬殼 保護殼 蘋果</t>
        </is>
      </c>
      <c r="C2113">
        <f>IMAGE("https://cf.shopee.tw/file/sg-11134201-22090-whd2vw698uhve7_tn")</f>
        <v/>
      </c>
      <c r="D2113" t="inlineStr">
        <is>
          <t>2.油畫藍莓花,3代</t>
        </is>
      </c>
      <c r="E2113" t="inlineStr">
        <is>
          <t>174064745588</t>
        </is>
      </c>
      <c r="F2113">
        <f>IMAGE("https://cf.shopee.tw/file/24ee4692984bb385bd4a2451413e04b3_tn")</f>
        <v/>
      </c>
    </row>
    <row r="2114">
      <c r="A2114" t="inlineStr">
        <is>
          <t>18025139892</t>
        </is>
      </c>
      <c r="B2114" t="inlineStr">
        <is>
          <t>隔日到貨🔥 Airpods 保護套 1代 2代 3代 4代 pro pro2 耳機套 A1 防摔 硬殼 保護殼 蘋果</t>
        </is>
      </c>
      <c r="C2114">
        <f>IMAGE("https://cf.shopee.tw/file/sg-11134201-22090-whd2vw698uhve7_tn")</f>
        <v/>
      </c>
      <c r="D2114" t="inlineStr">
        <is>
          <t>2.油畫藍莓花,4代</t>
        </is>
      </c>
      <c r="E2114" t="inlineStr">
        <is>
          <t>188114083891</t>
        </is>
      </c>
      <c r="F2114">
        <f>IMAGE("https://cf.shopee.tw/file/24ee4692984bb385bd4a2451413e04b3_tn")</f>
        <v/>
      </c>
    </row>
    <row r="2115">
      <c r="A2115" t="inlineStr">
        <is>
          <t>18025139892</t>
        </is>
      </c>
      <c r="B2115" t="inlineStr">
        <is>
          <t>隔日到貨🔥 Airpods 保護套 1代 2代 3代 4代 pro pro2 耳機套 A1 防摔 硬殼 保護殼 蘋果</t>
        </is>
      </c>
      <c r="C2115">
        <f>IMAGE("https://cf.shopee.tw/file/sg-11134201-22090-whd2vw698uhve7_tn")</f>
        <v/>
      </c>
      <c r="D2115" t="inlineStr">
        <is>
          <t>3.捲毛男孩,1代 / 2代</t>
        </is>
      </c>
      <c r="E2115" t="inlineStr">
        <is>
          <t>174064745589</t>
        </is>
      </c>
      <c r="F2115">
        <f>IMAGE("https://cf.shopee.tw/file/29c43831501312a3cc4873005df8844b_tn")</f>
        <v/>
      </c>
    </row>
    <row r="2116">
      <c r="A2116" t="inlineStr">
        <is>
          <t>18025139892</t>
        </is>
      </c>
      <c r="B2116" t="inlineStr">
        <is>
          <t>隔日到貨🔥 Airpods 保護套 1代 2代 3代 4代 pro pro2 耳機套 A1 防摔 硬殼 保護殼 蘋果</t>
        </is>
      </c>
      <c r="C2116">
        <f>IMAGE("https://cf.shopee.tw/file/sg-11134201-22090-whd2vw698uhve7_tn")</f>
        <v/>
      </c>
      <c r="D2116" t="inlineStr">
        <is>
          <t>3.捲毛男孩,pro1代/pro2代</t>
        </is>
      </c>
      <c r="E2116" t="inlineStr"/>
      <c r="F2116">
        <f>IMAGE("https://cf.shopee.tw/file/29c43831501312a3cc4873005df8844b_tn")</f>
        <v/>
      </c>
    </row>
    <row r="2117">
      <c r="A2117" t="inlineStr">
        <is>
          <t>18025139892</t>
        </is>
      </c>
      <c r="B2117" t="inlineStr">
        <is>
          <t>隔日到貨🔥 Airpods 保護套 1代 2代 3代 4代 pro pro2 耳機套 A1 防摔 硬殼 保護殼 蘋果</t>
        </is>
      </c>
      <c r="C2117">
        <f>IMAGE("https://cf.shopee.tw/file/sg-11134201-22090-whd2vw698uhve7_tn")</f>
        <v/>
      </c>
      <c r="D2117" t="inlineStr">
        <is>
          <t>3.捲毛男孩,3代</t>
        </is>
      </c>
      <c r="E2117" t="inlineStr"/>
      <c r="F2117">
        <f>IMAGE("https://cf.shopee.tw/file/29c43831501312a3cc4873005df8844b_tn")</f>
        <v/>
      </c>
    </row>
    <row r="2118">
      <c r="A2118" t="inlineStr">
        <is>
          <t>18025139892</t>
        </is>
      </c>
      <c r="B2118" t="inlineStr">
        <is>
          <t>隔日到貨🔥 Airpods 保護套 1代 2代 3代 4代 pro pro2 耳機套 A1 防摔 硬殼 保護殼 蘋果</t>
        </is>
      </c>
      <c r="C2118">
        <f>IMAGE("https://cf.shopee.tw/file/sg-11134201-22090-whd2vw698uhve7_tn")</f>
        <v/>
      </c>
      <c r="D2118" t="inlineStr">
        <is>
          <t>3.捲毛男孩,4代</t>
        </is>
      </c>
      <c r="E2118" t="inlineStr">
        <is>
          <t>188114083892</t>
        </is>
      </c>
      <c r="F2118">
        <f>IMAGE("https://cf.shopee.tw/file/29c43831501312a3cc4873005df8844b_tn")</f>
        <v/>
      </c>
    </row>
    <row r="2119">
      <c r="A2119" t="inlineStr">
        <is>
          <t>18025139892</t>
        </is>
      </c>
      <c r="B2119" t="inlineStr">
        <is>
          <t>隔日到貨🔥 Airpods 保護套 1代 2代 3代 4代 pro pro2 耳機套 A1 防摔 硬殼 保護殼 蘋果</t>
        </is>
      </c>
      <c r="C2119">
        <f>IMAGE("https://cf.shopee.tw/file/sg-11134201-22090-whd2vw698uhve7_tn")</f>
        <v/>
      </c>
      <c r="D2119" t="inlineStr">
        <is>
          <t>4.狗狗頭像,1代 / 2代</t>
        </is>
      </c>
      <c r="E2119" t="inlineStr">
        <is>
          <t>181764893102</t>
        </is>
      </c>
      <c r="F2119">
        <f>IMAGE("https://cf.shopee.tw/file/257217d629bd62288ac6c113ee8477c7_tn")</f>
        <v/>
      </c>
    </row>
    <row r="2120">
      <c r="A2120" t="inlineStr">
        <is>
          <t>18025139892</t>
        </is>
      </c>
      <c r="B2120" t="inlineStr">
        <is>
          <t>隔日到貨🔥 Airpods 保護套 1代 2代 3代 4代 pro pro2 耳機套 A1 防摔 硬殼 保護殼 蘋果</t>
        </is>
      </c>
      <c r="C2120">
        <f>IMAGE("https://cf.shopee.tw/file/sg-11134201-22090-whd2vw698uhve7_tn")</f>
        <v/>
      </c>
      <c r="D2120" t="inlineStr">
        <is>
          <t>4.狗狗頭像,pro1代/pro2代</t>
        </is>
      </c>
      <c r="E2120" t="inlineStr">
        <is>
          <t>181764893103</t>
        </is>
      </c>
      <c r="F2120">
        <f>IMAGE("https://cf.shopee.tw/file/257217d629bd62288ac6c113ee8477c7_tn")</f>
        <v/>
      </c>
    </row>
    <row r="2121">
      <c r="A2121" t="inlineStr">
        <is>
          <t>18025139892</t>
        </is>
      </c>
      <c r="B2121" t="inlineStr">
        <is>
          <t>隔日到貨🔥 Airpods 保護套 1代 2代 3代 4代 pro pro2 耳機套 A1 防摔 硬殼 保護殼 蘋果</t>
        </is>
      </c>
      <c r="C2121">
        <f>IMAGE("https://cf.shopee.tw/file/sg-11134201-22090-whd2vw698uhve7_tn")</f>
        <v/>
      </c>
      <c r="D2121" t="inlineStr">
        <is>
          <t>4.狗狗頭像,3代</t>
        </is>
      </c>
      <c r="E2121" t="inlineStr">
        <is>
          <t>181764893104</t>
        </is>
      </c>
      <c r="F2121">
        <f>IMAGE("https://cf.shopee.tw/file/257217d629bd62288ac6c113ee8477c7_tn")</f>
        <v/>
      </c>
    </row>
    <row r="2122">
      <c r="A2122" t="inlineStr">
        <is>
          <t>18025139892</t>
        </is>
      </c>
      <c r="B2122" t="inlineStr">
        <is>
          <t>隔日到貨🔥 Airpods 保護套 1代 2代 3代 4代 pro pro2 耳機套 A1 防摔 硬殼 保護殼 蘋果</t>
        </is>
      </c>
      <c r="C2122">
        <f>IMAGE("https://cf.shopee.tw/file/sg-11134201-22090-whd2vw698uhve7_tn")</f>
        <v/>
      </c>
      <c r="D2122" t="inlineStr">
        <is>
          <t>4.狗狗頭像,4代</t>
        </is>
      </c>
      <c r="E2122" t="inlineStr">
        <is>
          <t>188114083893</t>
        </is>
      </c>
      <c r="F2122">
        <f>IMAGE("https://cf.shopee.tw/file/257217d629bd62288ac6c113ee8477c7_tn")</f>
        <v/>
      </c>
    </row>
    <row r="2123">
      <c r="A2123" t="inlineStr">
        <is>
          <t>18025139892</t>
        </is>
      </c>
      <c r="B2123" t="inlineStr">
        <is>
          <t>隔日到貨🔥 Airpods 保護套 1代 2代 3代 4代 pro pro2 耳機套 A1 防摔 硬殼 保護殼 蘋果</t>
        </is>
      </c>
      <c r="C2123">
        <f>IMAGE("https://cf.shopee.tw/file/sg-11134201-22090-whd2vw698uhve7_tn")</f>
        <v/>
      </c>
      <c r="D2123" t="inlineStr">
        <is>
          <t>5.綠頭套鴨,1代 / 2代</t>
        </is>
      </c>
      <c r="E2123" t="inlineStr">
        <is>
          <t>126666646699</t>
        </is>
      </c>
      <c r="F2123">
        <f>IMAGE("https://cf.shopee.tw/file/cb9249f09871d4d2f38ce63141ccbd1f_tn")</f>
        <v/>
      </c>
    </row>
    <row r="2124">
      <c r="A2124" t="inlineStr">
        <is>
          <t>18025139892</t>
        </is>
      </c>
      <c r="B2124" t="inlineStr">
        <is>
          <t>隔日到貨🔥 Airpods 保護套 1代 2代 3代 4代 pro pro2 耳機套 A1 防摔 硬殼 保護殼 蘋果</t>
        </is>
      </c>
      <c r="C2124">
        <f>IMAGE("https://cf.shopee.tw/file/sg-11134201-22090-whd2vw698uhve7_tn")</f>
        <v/>
      </c>
      <c r="D2124" t="inlineStr">
        <is>
          <t>5.綠頭套鴨,pro1代/pro2代</t>
        </is>
      </c>
      <c r="E2124" t="inlineStr">
        <is>
          <t>126666646703</t>
        </is>
      </c>
      <c r="F2124">
        <f>IMAGE("https://cf.shopee.tw/file/cb9249f09871d4d2f38ce63141ccbd1f_tn")</f>
        <v/>
      </c>
    </row>
    <row r="2125">
      <c r="A2125" t="inlineStr">
        <is>
          <t>18025139892</t>
        </is>
      </c>
      <c r="B2125" t="inlineStr">
        <is>
          <t>隔日到貨🔥 Airpods 保護套 1代 2代 3代 4代 pro pro2 耳機套 A1 防摔 硬殼 保護殼 蘋果</t>
        </is>
      </c>
      <c r="C2125">
        <f>IMAGE("https://cf.shopee.tw/file/sg-11134201-22090-whd2vw698uhve7_tn")</f>
        <v/>
      </c>
      <c r="D2125" t="inlineStr">
        <is>
          <t>5.綠頭套鴨,3代</t>
        </is>
      </c>
      <c r="E2125" t="inlineStr">
        <is>
          <t>126666646700</t>
        </is>
      </c>
      <c r="F2125">
        <f>IMAGE("https://cf.shopee.tw/file/cb9249f09871d4d2f38ce63141ccbd1f_tn")</f>
        <v/>
      </c>
    </row>
    <row r="2126">
      <c r="A2126" t="inlineStr">
        <is>
          <t>18025139892</t>
        </is>
      </c>
      <c r="B2126" t="inlineStr">
        <is>
          <t>隔日到貨🔥 Airpods 保護套 1代 2代 3代 4代 pro pro2 耳機套 A1 防摔 硬殼 保護殼 蘋果</t>
        </is>
      </c>
      <c r="C2126">
        <f>IMAGE("https://cf.shopee.tw/file/sg-11134201-22090-whd2vw698uhve7_tn")</f>
        <v/>
      </c>
      <c r="D2126" t="inlineStr">
        <is>
          <t>6.黃底貓,1代 / 2代</t>
        </is>
      </c>
      <c r="E2126" t="inlineStr">
        <is>
          <t>126666646704</t>
        </is>
      </c>
      <c r="F2126">
        <f>IMAGE("https://cf.shopee.tw/file/880d20745571587fa7c302bd9ac9cef8_tn")</f>
        <v/>
      </c>
    </row>
    <row r="2127">
      <c r="A2127" t="inlineStr">
        <is>
          <t>18025139892</t>
        </is>
      </c>
      <c r="B2127" t="inlineStr">
        <is>
          <t>隔日到貨🔥 Airpods 保護套 1代 2代 3代 4代 pro pro2 耳機套 A1 防摔 硬殼 保護殼 蘋果</t>
        </is>
      </c>
      <c r="C2127">
        <f>IMAGE("https://cf.shopee.tw/file/sg-11134201-22090-whd2vw698uhve7_tn")</f>
        <v/>
      </c>
      <c r="D2127" t="inlineStr">
        <is>
          <t>6.黃底貓,pro1代/pro2代</t>
        </is>
      </c>
      <c r="E2127" t="inlineStr">
        <is>
          <t>126666646696</t>
        </is>
      </c>
      <c r="F2127">
        <f>IMAGE("https://cf.shopee.tw/file/880d20745571587fa7c302bd9ac9cef8_tn")</f>
        <v/>
      </c>
    </row>
    <row r="2128">
      <c r="A2128" t="inlineStr">
        <is>
          <t>18025139892</t>
        </is>
      </c>
      <c r="B2128" t="inlineStr">
        <is>
          <t>隔日到貨🔥 Airpods 保護套 1代 2代 3代 4代 pro pro2 耳機套 A1 防摔 硬殼 保護殼 蘋果</t>
        </is>
      </c>
      <c r="C2128">
        <f>IMAGE("https://cf.shopee.tw/file/sg-11134201-22090-whd2vw698uhve7_tn")</f>
        <v/>
      </c>
      <c r="D2128" t="inlineStr">
        <is>
          <t>6.黃底貓,3代</t>
        </is>
      </c>
      <c r="E2128" t="inlineStr">
        <is>
          <t>126666646701</t>
        </is>
      </c>
      <c r="F2128">
        <f>IMAGE("https://cf.shopee.tw/file/880d20745571587fa7c302bd9ac9cef8_tn")</f>
        <v/>
      </c>
    </row>
    <row r="2129">
      <c r="A2129" t="inlineStr">
        <is>
          <t>18025139892</t>
        </is>
      </c>
      <c r="B2129" t="inlineStr">
        <is>
          <t>隔日到貨🔥 Airpods 保護套 1代 2代 3代 4代 pro pro2 耳機套 A1 防摔 硬殼 保護殼 蘋果</t>
        </is>
      </c>
      <c r="C2129">
        <f>IMAGE("https://cf.shopee.tw/file/sg-11134201-22090-whd2vw698uhve7_tn")</f>
        <v/>
      </c>
      <c r="D2129" t="inlineStr">
        <is>
          <t>7.果茶女孩,1代 / 2代</t>
        </is>
      </c>
      <c r="E2129" t="inlineStr"/>
      <c r="F2129">
        <f>IMAGE("https://cf.shopee.tw/file/3bb8fa89caa3131e5d4af7604879470f_tn")</f>
        <v/>
      </c>
    </row>
    <row r="2130">
      <c r="A2130" t="inlineStr">
        <is>
          <t>18025139892</t>
        </is>
      </c>
      <c r="B2130" t="inlineStr">
        <is>
          <t>隔日到貨🔥 Airpods 保護套 1代 2代 3代 4代 pro pro2 耳機套 A1 防摔 硬殼 保護殼 蘋果</t>
        </is>
      </c>
      <c r="C2130">
        <f>IMAGE("https://cf.shopee.tw/file/sg-11134201-22090-whd2vw698uhve7_tn")</f>
        <v/>
      </c>
      <c r="D2130" t="inlineStr">
        <is>
          <t>7.果茶女孩,pro1代/pro2代</t>
        </is>
      </c>
      <c r="E2130" t="inlineStr"/>
      <c r="F2130">
        <f>IMAGE("https://cf.shopee.tw/file/3bb8fa89caa3131e5d4af7604879470f_tn")</f>
        <v/>
      </c>
    </row>
    <row r="2131">
      <c r="A2131" t="inlineStr">
        <is>
          <t>18025139892</t>
        </is>
      </c>
      <c r="B2131" t="inlineStr">
        <is>
          <t>隔日到貨🔥 Airpods 保護套 1代 2代 3代 4代 pro pro2 耳機套 A1 防摔 硬殼 保護殼 蘋果</t>
        </is>
      </c>
      <c r="C2131">
        <f>IMAGE("https://cf.shopee.tw/file/sg-11134201-22090-whd2vw698uhve7_tn")</f>
        <v/>
      </c>
      <c r="D2131" t="inlineStr">
        <is>
          <t>7.果茶女孩,3代</t>
        </is>
      </c>
      <c r="E2131" t="inlineStr"/>
      <c r="F2131">
        <f>IMAGE("https://cf.shopee.tw/file/3bb8fa89caa3131e5d4af7604879470f_tn")</f>
        <v/>
      </c>
    </row>
    <row r="2132">
      <c r="A2132" t="inlineStr">
        <is>
          <t>18025139892</t>
        </is>
      </c>
      <c r="B2132" t="inlineStr">
        <is>
          <t>隔日到貨🔥 Airpods 保護套 1代 2代 3代 4代 pro pro2 耳機套 A1 防摔 硬殼 保護殼 蘋果</t>
        </is>
      </c>
      <c r="C2132">
        <f>IMAGE("https://cf.shopee.tw/file/sg-11134201-22090-whd2vw698uhve7_tn")</f>
        <v/>
      </c>
      <c r="D2132" t="inlineStr">
        <is>
          <t>7.果茶女孩,4代</t>
        </is>
      </c>
      <c r="E2132" t="inlineStr">
        <is>
          <t>188114083896</t>
        </is>
      </c>
      <c r="F2132">
        <f>IMAGE("https://cf.shopee.tw/file/3bb8fa89caa3131e5d4af7604879470f_tn")</f>
        <v/>
      </c>
    </row>
    <row r="2133">
      <c r="A2133" t="inlineStr">
        <is>
          <t>18025139892</t>
        </is>
      </c>
      <c r="B2133" t="inlineStr">
        <is>
          <t>隔日到貨🔥 Airpods 保護套 1代 2代 3代 4代 pro pro2 耳機套 A1 防摔 硬殼 保護殼 蘋果</t>
        </is>
      </c>
      <c r="C2133">
        <f>IMAGE("https://cf.shopee.tw/file/sg-11134201-22090-whd2vw698uhve7_tn")</f>
        <v/>
      </c>
      <c r="D2133" t="inlineStr">
        <is>
          <t>8.塗鴉方塊,1代 / 2代</t>
        </is>
      </c>
      <c r="E2133" t="inlineStr"/>
      <c r="F2133">
        <f>IMAGE("https://cf.shopee.tw/file/0f5ea92cd553afd4da411c7b606c1c2a_tn")</f>
        <v/>
      </c>
    </row>
    <row r="2134">
      <c r="A2134" t="inlineStr">
        <is>
          <t>18025139892</t>
        </is>
      </c>
      <c r="B2134" t="inlineStr">
        <is>
          <t>隔日到貨🔥 Airpods 保護套 1代 2代 3代 4代 pro pro2 耳機套 A1 防摔 硬殼 保護殼 蘋果</t>
        </is>
      </c>
      <c r="C2134">
        <f>IMAGE("https://cf.shopee.tw/file/sg-11134201-22090-whd2vw698uhve7_tn")</f>
        <v/>
      </c>
      <c r="D2134" t="inlineStr">
        <is>
          <t>8.塗鴉方塊,pro1代/pro2代</t>
        </is>
      </c>
      <c r="E2134" t="inlineStr">
        <is>
          <t>126666646698</t>
        </is>
      </c>
      <c r="F2134">
        <f>IMAGE("https://cf.shopee.tw/file/0f5ea92cd553afd4da411c7b606c1c2a_tn")</f>
        <v/>
      </c>
    </row>
    <row r="2135">
      <c r="A2135" t="inlineStr">
        <is>
          <t>18025139892</t>
        </is>
      </c>
      <c r="B2135" t="inlineStr">
        <is>
          <t>隔日到貨🔥 Airpods 保護套 1代 2代 3代 4代 pro pro2 耳機套 A1 防摔 硬殼 保護殼 蘋果</t>
        </is>
      </c>
      <c r="C2135">
        <f>IMAGE("https://cf.shopee.tw/file/sg-11134201-22090-whd2vw698uhve7_tn")</f>
        <v/>
      </c>
      <c r="D2135" t="inlineStr">
        <is>
          <t>8.塗鴉方塊,3代</t>
        </is>
      </c>
      <c r="E2135" t="inlineStr">
        <is>
          <t>126666646695</t>
        </is>
      </c>
      <c r="F2135">
        <f>IMAGE("https://cf.shopee.tw/file/0f5ea92cd553afd4da411c7b606c1c2a_tn")</f>
        <v/>
      </c>
    </row>
    <row r="2136">
      <c r="A2136" t="inlineStr">
        <is>
          <t>18025139892</t>
        </is>
      </c>
      <c r="B2136" t="inlineStr">
        <is>
          <t>隔日到貨🔥 Airpods 保護套 1代 2代 3代 4代 pro pro2 耳機套 A1 防摔 硬殼 保護殼 蘋果</t>
        </is>
      </c>
      <c r="C2136">
        <f>IMAGE("https://cf.shopee.tw/file/sg-11134201-22090-whd2vw698uhve7_tn")</f>
        <v/>
      </c>
      <c r="D2136" t="inlineStr">
        <is>
          <t>8.塗鴉方塊,4代</t>
        </is>
      </c>
      <c r="E2136" t="inlineStr">
        <is>
          <t>188114083900</t>
        </is>
      </c>
      <c r="F2136">
        <f>IMAGE("https://cf.shopee.tw/file/0f5ea92cd553afd4da411c7b606c1c2a_tn")</f>
        <v/>
      </c>
    </row>
    <row r="2137">
      <c r="A2137" t="inlineStr">
        <is>
          <t>18025139892</t>
        </is>
      </c>
      <c r="B2137" t="inlineStr">
        <is>
          <t>隔日到貨🔥 Airpods 保護套 1代 2代 3代 4代 pro pro2 耳機套 A1 防摔 硬殼 保護殼 蘋果</t>
        </is>
      </c>
      <c r="C2137">
        <f>IMAGE("https://cf.shopee.tw/file/sg-11134201-22090-whd2vw698uhve7_tn")</f>
        <v/>
      </c>
      <c r="D2137" t="inlineStr">
        <is>
          <t>9.寵物男孩,1代 / 2代</t>
        </is>
      </c>
      <c r="E2137" t="inlineStr"/>
      <c r="F2137">
        <f>IMAGE("https://cf.shopee.tw/file/sg-11134201-22090-vda10ula9uhv9c_tn")</f>
        <v/>
      </c>
    </row>
    <row r="2138">
      <c r="A2138" t="inlineStr">
        <is>
          <t>18025139892</t>
        </is>
      </c>
      <c r="B2138" t="inlineStr">
        <is>
          <t>隔日到貨🔥 Airpods 保護套 1代 2代 3代 4代 pro pro2 耳機套 A1 防摔 硬殼 保護殼 蘋果</t>
        </is>
      </c>
      <c r="C2138">
        <f>IMAGE("https://cf.shopee.tw/file/sg-11134201-22090-whd2vw698uhve7_tn")</f>
        <v/>
      </c>
      <c r="D2138" t="inlineStr">
        <is>
          <t>9.寵物男孩,pro1代/pro2代</t>
        </is>
      </c>
      <c r="E2138" t="inlineStr"/>
      <c r="F2138">
        <f>IMAGE("https://cf.shopee.tw/file/sg-11134201-22090-vda10ula9uhv9c_tn")</f>
        <v/>
      </c>
    </row>
    <row r="2139">
      <c r="A2139" t="inlineStr">
        <is>
          <t>18025139892</t>
        </is>
      </c>
      <c r="B2139" t="inlineStr">
        <is>
          <t>隔日到貨🔥 Airpods 保護套 1代 2代 3代 4代 pro pro2 耳機套 A1 防摔 硬殼 保護殼 蘋果</t>
        </is>
      </c>
      <c r="C2139">
        <f>IMAGE("https://cf.shopee.tw/file/sg-11134201-22090-whd2vw698uhve7_tn")</f>
        <v/>
      </c>
      <c r="D2139" t="inlineStr">
        <is>
          <t>9.寵物男孩,3代</t>
        </is>
      </c>
      <c r="E2139" t="inlineStr">
        <is>
          <t>59091937760</t>
        </is>
      </c>
      <c r="F2139">
        <f>IMAGE("https://cf.shopee.tw/file/sg-11134201-22090-vda10ula9uhv9c_tn")</f>
        <v/>
      </c>
    </row>
    <row r="2140">
      <c r="A2140" t="inlineStr">
        <is>
          <t>18025139892</t>
        </is>
      </c>
      <c r="B2140" t="inlineStr">
        <is>
          <t>隔日到貨🔥 Airpods 保護套 1代 2代 3代 4代 pro pro2 耳機套 A1 防摔 硬殼 保護殼 蘋果</t>
        </is>
      </c>
      <c r="C2140">
        <f>IMAGE("https://cf.shopee.tw/file/sg-11134201-22090-whd2vw698uhve7_tn")</f>
        <v/>
      </c>
      <c r="D2140" t="inlineStr">
        <is>
          <t>9.寵物男孩,4代</t>
        </is>
      </c>
      <c r="E2140" t="inlineStr">
        <is>
          <t>188114083901</t>
        </is>
      </c>
      <c r="F2140">
        <f>IMAGE("https://cf.shopee.tw/file/sg-11134201-22090-vda10ula9uhv9c_tn")</f>
        <v/>
      </c>
    </row>
    <row r="2141">
      <c r="A2141" t="inlineStr">
        <is>
          <t>18025139892</t>
        </is>
      </c>
      <c r="B2141" t="inlineStr">
        <is>
          <t>隔日到貨🔥 Airpods 保護套 1代 2代 3代 4代 pro pro2 耳機套 A1 防摔 硬殼 保護殼 蘋果</t>
        </is>
      </c>
      <c r="C2141">
        <f>IMAGE("https://cf.shopee.tw/file/sg-11134201-22090-whd2vw698uhve7_tn")</f>
        <v/>
      </c>
      <c r="D2141" t="inlineStr">
        <is>
          <t>10.蝴蝶女孩,1代 / 2代</t>
        </is>
      </c>
      <c r="E2141" t="inlineStr"/>
      <c r="F2141">
        <f>IMAGE("https://cf.shopee.tw/file/5099ada77a39bbcb5aa276ad1897c689_tn")</f>
        <v/>
      </c>
    </row>
    <row r="2142">
      <c r="A2142" t="inlineStr">
        <is>
          <t>18025139892</t>
        </is>
      </c>
      <c r="B2142" t="inlineStr">
        <is>
          <t>隔日到貨🔥 Airpods 保護套 1代 2代 3代 4代 pro pro2 耳機套 A1 防摔 硬殼 保護殼 蘋果</t>
        </is>
      </c>
      <c r="C2142">
        <f>IMAGE("https://cf.shopee.tw/file/sg-11134201-22090-whd2vw698uhve7_tn")</f>
        <v/>
      </c>
      <c r="D2142" t="inlineStr">
        <is>
          <t>10.蝴蝶女孩,pro1代/pro2代</t>
        </is>
      </c>
      <c r="E2142" t="inlineStr"/>
      <c r="F2142">
        <f>IMAGE("https://cf.shopee.tw/file/5099ada77a39bbcb5aa276ad1897c689_tn")</f>
        <v/>
      </c>
    </row>
    <row r="2143">
      <c r="A2143" t="inlineStr">
        <is>
          <t>18025139892</t>
        </is>
      </c>
      <c r="B2143" t="inlineStr">
        <is>
          <t>隔日到貨🔥 Airpods 保護套 1代 2代 3代 4代 pro pro2 耳機套 A1 防摔 硬殼 保護殼 蘋果</t>
        </is>
      </c>
      <c r="C2143">
        <f>IMAGE("https://cf.shopee.tw/file/sg-11134201-22090-whd2vw698uhve7_tn")</f>
        <v/>
      </c>
      <c r="D2143" t="inlineStr">
        <is>
          <t>10.蝴蝶女孩,3代</t>
        </is>
      </c>
      <c r="E2143" t="inlineStr">
        <is>
          <t>59091937761</t>
        </is>
      </c>
      <c r="F2143">
        <f>IMAGE("https://cf.shopee.tw/file/5099ada77a39bbcb5aa276ad1897c689_tn")</f>
        <v/>
      </c>
    </row>
    <row r="2144">
      <c r="A2144" t="inlineStr">
        <is>
          <t>18025139892</t>
        </is>
      </c>
      <c r="B2144" t="inlineStr">
        <is>
          <t>隔日到貨🔥 Airpods 保護套 1代 2代 3代 4代 pro pro2 耳機套 A1 防摔 硬殼 保護殼 蘋果</t>
        </is>
      </c>
      <c r="C2144">
        <f>IMAGE("https://cf.shopee.tw/file/sg-11134201-22090-whd2vw698uhve7_tn")</f>
        <v/>
      </c>
      <c r="D2144" t="inlineStr">
        <is>
          <t>10.蝴蝶女孩,4代</t>
        </is>
      </c>
      <c r="E2144" t="inlineStr">
        <is>
          <t>188114083902</t>
        </is>
      </c>
      <c r="F2144">
        <f>IMAGE("https://cf.shopee.tw/file/5099ada77a39bbcb5aa276ad1897c689_tn")</f>
        <v/>
      </c>
    </row>
    <row r="2145">
      <c r="A2145" t="inlineStr">
        <is>
          <t>19780505521</t>
        </is>
      </c>
      <c r="B2145" t="inlineStr">
        <is>
          <t>隔日到貨🔥 ins爆款 桌面理線器 集線器 固定器 桌面集線器 整線器 線材收納 充電線收納 繞線器 固定夾</t>
        </is>
      </c>
      <c r="C2145">
        <f>IMAGE("https://cf.shopee.tw/file/tw-11134207-7qukx-lhlm88485i3291_tn")</f>
        <v/>
      </c>
      <c r="D2145" t="inlineStr">
        <is>
          <t>深藍理線器 - 黃踢腿熊</t>
        </is>
      </c>
      <c r="E2145" t="inlineStr"/>
      <c r="F2145">
        <f>IMAGE("https://cf.shopee.tw/file/tw-11134207-7qul8-lhlm8848mcwe43_tn")</f>
        <v/>
      </c>
    </row>
    <row r="2146">
      <c r="A2146" t="inlineStr">
        <is>
          <t>19780505521</t>
        </is>
      </c>
      <c r="B2146" t="inlineStr">
        <is>
          <t>隔日到貨🔥 ins爆款 桌面理線器 集線器 固定器 桌面集線器 整線器 線材收納 充電線收納 繞線器 固定夾</t>
        </is>
      </c>
      <c r="C2146">
        <f>IMAGE("https://cf.shopee.tw/file/tw-11134207-7qukx-lhlm88485i3291_tn")</f>
        <v/>
      </c>
      <c r="D2146" t="inlineStr">
        <is>
          <t>淺藍理線器 - 綠踢腿熊</t>
        </is>
      </c>
      <c r="E2146" t="inlineStr"/>
      <c r="F2146">
        <f>IMAGE("https://cf.shopee.tw/file/tw-11134207-7qul2-lhlm884ilya601_tn")</f>
        <v/>
      </c>
    </row>
    <row r="2147">
      <c r="A2147" t="inlineStr">
        <is>
          <t>19780505521</t>
        </is>
      </c>
      <c r="B2147" t="inlineStr">
        <is>
          <t>隔日到貨🔥 ins爆款 桌面理線器 集線器 固定器 桌面集線器 整線器 線材收納 充電線收納 繞線器 固定夾</t>
        </is>
      </c>
      <c r="C2147">
        <f>IMAGE("https://cf.shopee.tw/file/tw-11134207-7qukx-lhlm88485i3291_tn")</f>
        <v/>
      </c>
      <c r="D2147" t="inlineStr">
        <is>
          <t>白理線器 - 棕踢腿熊</t>
        </is>
      </c>
      <c r="E2147" t="inlineStr">
        <is>
          <t>108924650823</t>
        </is>
      </c>
      <c r="F2147">
        <f>IMAGE("https://cf.shopee.tw/file/tw-11134207-7qul1-lhlm883ymrim48_tn")</f>
        <v/>
      </c>
    </row>
    <row r="2148">
      <c r="A2148" t="inlineStr">
        <is>
          <t>19780505521</t>
        </is>
      </c>
      <c r="B2148" t="inlineStr">
        <is>
          <t>隔日到貨🔥 ins爆款 桌面理線器 集線器 固定器 桌面集線器 整線器 線材收納 充電線收納 繞線器 固定夾</t>
        </is>
      </c>
      <c r="C2148">
        <f>IMAGE("https://cf.shopee.tw/file/tw-11134207-7qukx-lhlm88485i3291_tn")</f>
        <v/>
      </c>
      <c r="D2148" t="inlineStr">
        <is>
          <t>白理線器 - 太陽蛋</t>
        </is>
      </c>
      <c r="E2148" t="inlineStr">
        <is>
          <t>108924650824</t>
        </is>
      </c>
      <c r="F2148">
        <f>IMAGE("https://cf.shopee.tw/file/tw-11134207-7qul3-lhlm883y7b9qfc_tn")</f>
        <v/>
      </c>
    </row>
    <row r="2149">
      <c r="A2149" t="inlineStr">
        <is>
          <t>19780505521</t>
        </is>
      </c>
      <c r="B2149" t="inlineStr">
        <is>
          <t>隔日到貨🔥 ins爆款 桌面理線器 集線器 固定器 桌面集線器 整線器 線材收納 充電線收納 繞線器 固定夾</t>
        </is>
      </c>
      <c r="C2149">
        <f>IMAGE("https://cf.shopee.tw/file/tw-11134207-7qukx-lhlm88485i3291_tn")</f>
        <v/>
      </c>
      <c r="D2149" t="inlineStr">
        <is>
          <t>淺藍理線器 - 藍踢腿熊</t>
        </is>
      </c>
      <c r="E2149" t="inlineStr"/>
      <c r="F2149">
        <f>IMAGE("https://cf.shopee.tw/file/tw-11134207-7qul9-lhlm88486wniff_tn")</f>
        <v/>
      </c>
    </row>
    <row r="2150">
      <c r="A2150" t="inlineStr">
        <is>
          <t>19780505521</t>
        </is>
      </c>
      <c r="B2150" t="inlineStr">
        <is>
          <t>隔日到貨🔥 ins爆款 桌面理線器 集線器 固定器 桌面集線器 整線器 線材收納 充電線收納 繞線器 固定夾</t>
        </is>
      </c>
      <c r="C2150">
        <f>IMAGE("https://cf.shopee.tw/file/tw-11134207-7qukx-lhlm88485i3291_tn")</f>
        <v/>
      </c>
      <c r="D2150" t="inlineStr">
        <is>
          <t>粉理線器 - 粉踢腿熊</t>
        </is>
      </c>
      <c r="E2150" t="inlineStr"/>
      <c r="F2150">
        <f>IMAGE("https://cf.shopee.tw/file/tw-11134207-7quky-lhlm884i6hsg24_tn")</f>
        <v/>
      </c>
    </row>
    <row r="2151">
      <c r="A2151" t="inlineStr">
        <is>
          <t>19780505521</t>
        </is>
      </c>
      <c r="B2151" t="inlineStr">
        <is>
          <t>隔日到貨🔥 ins爆款 桌面理線器 集線器 固定器 桌面集線器 整線器 線材收納 充電線收納 繞線器 固定夾</t>
        </is>
      </c>
      <c r="C2151">
        <f>IMAGE("https://cf.shopee.tw/file/tw-11134207-7qukx-lhlm88485i3291_tn")</f>
        <v/>
      </c>
      <c r="D2151" t="inlineStr">
        <is>
          <t>白理線器 - 紫藍踢腿熊</t>
        </is>
      </c>
      <c r="E2151" t="inlineStr">
        <is>
          <t>108924650822</t>
        </is>
      </c>
      <c r="F2151">
        <f>IMAGE("https://cf.shopee.tw/file/tw-11134207-7quky-lhlm884i6i1a15_tn")</f>
        <v/>
      </c>
    </row>
    <row r="2152">
      <c r="A2152" t="inlineStr">
        <is>
          <t>10145075432</t>
        </is>
      </c>
      <c r="B2152" t="inlineStr">
        <is>
          <t>隔日到貨🔥 ins 學院風 條紋中筒襪 S24 長襪 韓風熱銷 女襪 長襪 情侶襪 襪子 可愛襪 運動襪 秋冬襪</t>
        </is>
      </c>
      <c r="C2152">
        <f>IMAGE("https://cf.shopee.tw/file/34e48418e9e9b6d6066a3695b47a9a04_tn")</f>
        <v/>
      </c>
      <c r="D2152" t="inlineStr">
        <is>
          <t>墨綠</t>
        </is>
      </c>
      <c r="E2152" t="inlineStr"/>
      <c r="F2152">
        <f>IMAGE("https://cf.shopee.tw/file/888e42ceda343c3210b6d584124d4ba5_tn")</f>
        <v/>
      </c>
    </row>
    <row r="2153">
      <c r="A2153" t="inlineStr">
        <is>
          <t>10145075432</t>
        </is>
      </c>
      <c r="B2153" t="inlineStr">
        <is>
          <t>隔日到貨🔥 ins 學院風 條紋中筒襪 S24 長襪 韓風熱銷 女襪 長襪 情侶襪 襪子 可愛襪 運動襪 秋冬襪</t>
        </is>
      </c>
      <c r="C2153">
        <f>IMAGE("https://cf.shopee.tw/file/34e48418e9e9b6d6066a3695b47a9a04_tn")</f>
        <v/>
      </c>
      <c r="D2153" t="inlineStr">
        <is>
          <t>灰色</t>
        </is>
      </c>
      <c r="E2153" t="inlineStr"/>
      <c r="F2153">
        <f>IMAGE("https://cf.shopee.tw/file/dfcdae2263b245dab2b2894d9cd6e7b6_tn")</f>
        <v/>
      </c>
    </row>
    <row r="2154">
      <c r="A2154" t="inlineStr">
        <is>
          <t>10145075432</t>
        </is>
      </c>
      <c r="B2154" t="inlineStr">
        <is>
          <t>隔日到貨🔥 ins 學院風 條紋中筒襪 S24 長襪 韓風熱銷 女襪 長襪 情侶襪 襪子 可愛襪 運動襪 秋冬襪</t>
        </is>
      </c>
      <c r="C2154">
        <f>IMAGE("https://cf.shopee.tw/file/34e48418e9e9b6d6066a3695b47a9a04_tn")</f>
        <v/>
      </c>
      <c r="D2154" t="inlineStr">
        <is>
          <t>黑色</t>
        </is>
      </c>
      <c r="E2154" t="inlineStr"/>
      <c r="F2154">
        <f>IMAGE("https://cf.shopee.tw/file/b3ae193920391feeacbfc203bec1c10f_tn")</f>
        <v/>
      </c>
    </row>
    <row r="2155">
      <c r="A2155" t="inlineStr">
        <is>
          <t>10145075432</t>
        </is>
      </c>
      <c r="B2155" t="inlineStr">
        <is>
          <t>隔日到貨🔥 ins 學院風 條紋中筒襪 S24 長襪 韓風熱銷 女襪 長襪 情侶襪 襪子 可愛襪 運動襪 秋冬襪</t>
        </is>
      </c>
      <c r="C2155">
        <f>IMAGE("https://cf.shopee.tw/file/34e48418e9e9b6d6066a3695b47a9a04_tn")</f>
        <v/>
      </c>
      <c r="D2155" t="inlineStr">
        <is>
          <t>白色</t>
        </is>
      </c>
      <c r="E2155" t="inlineStr">
        <is>
          <t>120130818944</t>
        </is>
      </c>
      <c r="F2155">
        <f>IMAGE("https://cf.shopee.tw/file/2873269862ebcb961676ab238f9a3d21_tn")</f>
        <v/>
      </c>
    </row>
    <row r="2156">
      <c r="A2156" t="inlineStr">
        <is>
          <t>10145075432</t>
        </is>
      </c>
      <c r="B2156" t="inlineStr">
        <is>
          <t>隔日到貨🔥 ins 學院風 條紋中筒襪 S24 長襪 韓風熱銷 女襪 長襪 情侶襪 襪子 可愛襪 運動襪 秋冬襪</t>
        </is>
      </c>
      <c r="C2156">
        <f>IMAGE("https://cf.shopee.tw/file/34e48418e9e9b6d6066a3695b47a9a04_tn")</f>
        <v/>
      </c>
      <c r="D2156" t="inlineStr">
        <is>
          <t>薑黃</t>
        </is>
      </c>
      <c r="E2156" t="inlineStr">
        <is>
          <t>120130818946</t>
        </is>
      </c>
      <c r="F2156">
        <f>IMAGE("https://cf.shopee.tw/file/57cf7b509b1ee12030b3e955b336908f_tn")</f>
        <v/>
      </c>
    </row>
    <row r="2157">
      <c r="A2157" t="inlineStr">
        <is>
          <t>10145075432</t>
        </is>
      </c>
      <c r="B2157" t="inlineStr">
        <is>
          <t>隔日到貨🔥 ins 學院風 條紋中筒襪 S24 長襪 韓風熱銷 女襪 長襪 情侶襪 襪子 可愛襪 運動襪 秋冬襪</t>
        </is>
      </c>
      <c r="C2157">
        <f>IMAGE("https://cf.shopee.tw/file/34e48418e9e9b6d6066a3695b47a9a04_tn")</f>
        <v/>
      </c>
      <c r="D2157" t="inlineStr">
        <is>
          <t>酒紅</t>
        </is>
      </c>
      <c r="E2157" t="inlineStr">
        <is>
          <t>120130818947</t>
        </is>
      </c>
      <c r="F2157">
        <f>IMAGE("https://cf.shopee.tw/file/34b331cae07475faa2810d477b0beb4e_tn")</f>
        <v/>
      </c>
    </row>
    <row r="2158">
      <c r="A2158" t="inlineStr">
        <is>
          <t>17490527158</t>
        </is>
      </c>
      <c r="B2158" t="inlineStr">
        <is>
          <t>隔日到貨🔥 燈芯絨化妝包 B18 化妝包 毛絨化妝包 大容量 收納包 便攜 洗漱包 鉛筆盒 刺繡 包包 日韓 少女</t>
        </is>
      </c>
      <c r="C2158">
        <f>IMAGE("https://cf.shopee.tw/file/sg-11134201-22110-upf95k2pbekv3a_tn")</f>
        <v/>
      </c>
      <c r="D2158" t="inlineStr">
        <is>
          <t>棕色</t>
        </is>
      </c>
      <c r="E2158" t="inlineStr">
        <is>
          <t>165212714753</t>
        </is>
      </c>
      <c r="F2158">
        <f>IMAGE("https://cf.shopee.tw/file/sg-11134201-22110-eqalpiotbekv0d_tn")</f>
        <v/>
      </c>
    </row>
    <row r="2159">
      <c r="A2159" t="inlineStr">
        <is>
          <t>17490527158</t>
        </is>
      </c>
      <c r="B2159" t="inlineStr">
        <is>
          <t>隔日到貨🔥 燈芯絨化妝包 B18 化妝包 毛絨化妝包 大容量 收納包 便攜 洗漱包 鉛筆盒 刺繡 包包 日韓 少女</t>
        </is>
      </c>
      <c r="C2159">
        <f>IMAGE("https://cf.shopee.tw/file/sg-11134201-22110-upf95k2pbekv3a_tn")</f>
        <v/>
      </c>
      <c r="D2159" t="inlineStr">
        <is>
          <t>淺藍灰</t>
        </is>
      </c>
      <c r="E2159" t="inlineStr">
        <is>
          <t>165212714754</t>
        </is>
      </c>
      <c r="F2159">
        <f>IMAGE("https://cf.shopee.tw/file/sg-11134201-22110-fzyqfistbekvf7_tn")</f>
        <v/>
      </c>
    </row>
    <row r="2160">
      <c r="A2160" t="inlineStr">
        <is>
          <t>17490527158</t>
        </is>
      </c>
      <c r="B2160" t="inlineStr">
        <is>
          <t>隔日到貨🔥 燈芯絨化妝包 B18 化妝包 毛絨化妝包 大容量 收納包 便攜 洗漱包 鉛筆盒 刺繡 包包 日韓 少女</t>
        </is>
      </c>
      <c r="C2160">
        <f>IMAGE("https://cf.shopee.tw/file/sg-11134201-22110-upf95k2pbekv3a_tn")</f>
        <v/>
      </c>
      <c r="D2160" t="inlineStr">
        <is>
          <t>草綠</t>
        </is>
      </c>
      <c r="E2160" t="inlineStr">
        <is>
          <t>165212714755</t>
        </is>
      </c>
      <c r="F2160">
        <f>IMAGE("https://cf.shopee.tw/file/sg-11134201-22110-a42jrqwtbekvb8_tn")</f>
        <v/>
      </c>
    </row>
    <row r="2161">
      <c r="A2161" t="inlineStr">
        <is>
          <t>17490527158</t>
        </is>
      </c>
      <c r="B2161" t="inlineStr">
        <is>
          <t>隔日到貨🔥 燈芯絨化妝包 B18 化妝包 毛絨化妝包 大容量 收納包 便攜 洗漱包 鉛筆盒 刺繡 包包 日韓 少女</t>
        </is>
      </c>
      <c r="C2161">
        <f>IMAGE("https://cf.shopee.tw/file/sg-11134201-22110-upf95k2pbekv3a_tn")</f>
        <v/>
      </c>
      <c r="D2161" t="inlineStr">
        <is>
          <t>杏色</t>
        </is>
      </c>
      <c r="E2161" t="inlineStr">
        <is>
          <t>165212714756</t>
        </is>
      </c>
      <c r="F2161">
        <f>IMAGE("https://cf.shopee.tw/file/sg-11134201-22110-e7iy646tbekv5c_tn")</f>
        <v/>
      </c>
    </row>
    <row r="2162">
      <c r="A2162" t="inlineStr">
        <is>
          <t>17490527158</t>
        </is>
      </c>
      <c r="B2162" t="inlineStr">
        <is>
          <t>隔日到貨🔥 燈芯絨化妝包 B18 化妝包 毛絨化妝包 大容量 收納包 便攜 洗漱包 鉛筆盒 刺繡 包包 日韓 少女</t>
        </is>
      </c>
      <c r="C2162">
        <f>IMAGE("https://cf.shopee.tw/file/sg-11134201-22110-upf95k2pbekv3a_tn")</f>
        <v/>
      </c>
      <c r="D2162" t="inlineStr">
        <is>
          <t>藕粉</t>
        </is>
      </c>
      <c r="E2162" t="inlineStr">
        <is>
          <t>165212714757</t>
        </is>
      </c>
      <c r="F2162">
        <f>IMAGE("https://cf.shopee.tw/file/sg-11134201-22110-qusi94aubekv60_tn")</f>
        <v/>
      </c>
    </row>
    <row r="2163">
      <c r="A2163" t="inlineStr">
        <is>
          <t>17490527158</t>
        </is>
      </c>
      <c r="B2163" t="inlineStr">
        <is>
          <t>隔日到貨🔥 燈芯絨化妝包 B18 化妝包 毛絨化妝包 大容量 收納包 便攜 洗漱包 鉛筆盒 刺繡 包包 日韓 少女</t>
        </is>
      </c>
      <c r="C2163">
        <f>IMAGE("https://cf.shopee.tw/file/sg-11134201-22110-upf95k2pbekv3a_tn")</f>
        <v/>
      </c>
      <c r="D2163" t="inlineStr">
        <is>
          <t>奶白</t>
        </is>
      </c>
      <c r="E2163" t="inlineStr">
        <is>
          <t>165212714758</t>
        </is>
      </c>
      <c r="F2163">
        <f>IMAGE("https://cf.shopee.tw/file/sg-11134201-22110-q8vyflfubekv17_tn")</f>
        <v/>
      </c>
    </row>
    <row r="2164">
      <c r="A2164" t="inlineStr">
        <is>
          <t>17490527158</t>
        </is>
      </c>
      <c r="B2164" t="inlineStr">
        <is>
          <t>隔日到貨🔥 燈芯絨化妝包 B18 化妝包 毛絨化妝包 大容量 收納包 便攜 洗漱包 鉛筆盒 刺繡 包包 日韓 少女</t>
        </is>
      </c>
      <c r="C2164">
        <f>IMAGE("https://cf.shopee.tw/file/sg-11134201-22110-upf95k2pbekv3a_tn")</f>
        <v/>
      </c>
      <c r="D2164" t="inlineStr">
        <is>
          <t>黑色</t>
        </is>
      </c>
      <c r="E2164" t="inlineStr">
        <is>
          <t>165212714759</t>
        </is>
      </c>
      <c r="F2164">
        <f>IMAGE("https://cf.shopee.tw/file/sg-11134201-22110-699e3qkubekv91_tn")</f>
        <v/>
      </c>
    </row>
    <row r="2165">
      <c r="A2165" t="inlineStr">
        <is>
          <t>17490527158</t>
        </is>
      </c>
      <c r="B2165" t="inlineStr">
        <is>
          <t>隔日到貨🔥 燈芯絨化妝包 B18 化妝包 毛絨化妝包 大容量 收納包 便攜 洗漱包 鉛筆盒 刺繡 包包 日韓 少女</t>
        </is>
      </c>
      <c r="C2165">
        <f>IMAGE("https://cf.shopee.tw/file/sg-11134201-22110-upf95k2pbekv3a_tn")</f>
        <v/>
      </c>
      <c r="D2165" t="inlineStr">
        <is>
          <t>棕色-小束口袋-B17</t>
        </is>
      </c>
      <c r="E2165" t="inlineStr">
        <is>
          <t>221958571767</t>
        </is>
      </c>
      <c r="F2165">
        <f>IMAGE("https://cf.shopee.tw/file/tw-11134207-7r98o-lkw2l1znp0r5be_tn")</f>
        <v/>
      </c>
    </row>
    <row r="2166">
      <c r="A2166" t="inlineStr">
        <is>
          <t>17490527158</t>
        </is>
      </c>
      <c r="B2166" t="inlineStr">
        <is>
          <t>隔日到貨🔥 燈芯絨化妝包 B18 化妝包 毛絨化妝包 大容量 收納包 便攜 洗漱包 鉛筆盒 刺繡 包包 日韓 少女</t>
        </is>
      </c>
      <c r="C2166">
        <f>IMAGE("https://cf.shopee.tw/file/sg-11134201-22110-upf95k2pbekv3a_tn")</f>
        <v/>
      </c>
      <c r="D2166" t="inlineStr">
        <is>
          <t>淺藍灰-小束口袋-B17</t>
        </is>
      </c>
      <c r="E2166" t="inlineStr">
        <is>
          <t>221958571768</t>
        </is>
      </c>
      <c r="F2166">
        <f>IMAGE("https://cf.shopee.tw/file/tw-11134207-7r98o-lkw2l1znqfblb1_tn")</f>
        <v/>
      </c>
    </row>
    <row r="2167">
      <c r="A2167" t="inlineStr">
        <is>
          <t>17490527158</t>
        </is>
      </c>
      <c r="B2167" t="inlineStr">
        <is>
          <t>隔日到貨🔥 燈芯絨化妝包 B18 化妝包 毛絨化妝包 大容量 收納包 便攜 洗漱包 鉛筆盒 刺繡 包包 日韓 少女</t>
        </is>
      </c>
      <c r="C2167">
        <f>IMAGE("https://cf.shopee.tw/file/sg-11134201-22110-upf95k2pbekv3a_tn")</f>
        <v/>
      </c>
      <c r="D2167" t="inlineStr">
        <is>
          <t>草綠-小束口袋-B17</t>
        </is>
      </c>
      <c r="E2167" t="inlineStr">
        <is>
          <t>221958571773</t>
        </is>
      </c>
      <c r="F2167">
        <f>IMAGE("https://cf.shopee.tw/file/tw-11134207-7r98o-lkw2lb9q45jl84_tn")</f>
        <v/>
      </c>
    </row>
    <row r="2168">
      <c r="A2168" t="inlineStr">
        <is>
          <t>17490527158</t>
        </is>
      </c>
      <c r="B2168" t="inlineStr">
        <is>
          <t>隔日到貨🔥 燈芯絨化妝包 B18 化妝包 毛絨化妝包 大容量 收納包 便攜 洗漱包 鉛筆盒 刺繡 包包 日韓 少女</t>
        </is>
      </c>
      <c r="C2168">
        <f>IMAGE("https://cf.shopee.tw/file/sg-11134201-22110-upf95k2pbekv3a_tn")</f>
        <v/>
      </c>
      <c r="D2168" t="inlineStr">
        <is>
          <t>杏色-小束口袋-B17</t>
        </is>
      </c>
      <c r="E2168" t="inlineStr">
        <is>
          <t>221958571774</t>
        </is>
      </c>
      <c r="F2168">
        <f>IMAGE("https://cf.shopee.tw/file/tw-11134207-7r98o-lkw2lb9q5k415b_tn")</f>
        <v/>
      </c>
    </row>
    <row r="2169">
      <c r="A2169" t="inlineStr">
        <is>
          <t>17490527158</t>
        </is>
      </c>
      <c r="B2169" t="inlineStr">
        <is>
          <t>隔日到貨🔥 燈芯絨化妝包 B18 化妝包 毛絨化妝包 大容量 收納包 便攜 洗漱包 鉛筆盒 刺繡 包包 日韓 少女</t>
        </is>
      </c>
      <c r="C2169">
        <f>IMAGE("https://cf.shopee.tw/file/sg-11134201-22110-upf95k2pbekv3a_tn")</f>
        <v/>
      </c>
      <c r="D2169" t="inlineStr">
        <is>
          <t>藕粉-小束口袋-B17</t>
        </is>
      </c>
      <c r="E2169" t="inlineStr">
        <is>
          <t>221958571770</t>
        </is>
      </c>
      <c r="F2169">
        <f>IMAGE("https://cf.shopee.tw/file/tw-11134207-7r98o-lkw2lnofyfpt06_tn")</f>
        <v/>
      </c>
    </row>
    <row r="2170">
      <c r="A2170" t="inlineStr">
        <is>
          <t>17490527158</t>
        </is>
      </c>
      <c r="B2170" t="inlineStr">
        <is>
          <t>隔日到貨🔥 燈芯絨化妝包 B18 化妝包 毛絨化妝包 大容量 收納包 便攜 洗漱包 鉛筆盒 刺繡 包包 日韓 少女</t>
        </is>
      </c>
      <c r="C2170">
        <f>IMAGE("https://cf.shopee.tw/file/sg-11134201-22110-upf95k2pbekv3a_tn")</f>
        <v/>
      </c>
      <c r="D2170" t="inlineStr">
        <is>
          <t>奶白-小束口袋-B17</t>
        </is>
      </c>
      <c r="E2170" t="inlineStr">
        <is>
          <t>221958571769</t>
        </is>
      </c>
      <c r="F2170">
        <f>IMAGE("https://cf.shopee.tw/file/tw-11134207-7r98o-lkw2lnofzua9e5_tn")</f>
        <v/>
      </c>
    </row>
    <row r="2171">
      <c r="A2171" t="inlineStr">
        <is>
          <t>17490527158</t>
        </is>
      </c>
      <c r="B2171" t="inlineStr">
        <is>
          <t>隔日到貨🔥 燈芯絨化妝包 B18 化妝包 毛絨化妝包 大容量 收納包 便攜 洗漱包 鉛筆盒 刺繡 包包 日韓 少女</t>
        </is>
      </c>
      <c r="C2171">
        <f>IMAGE("https://cf.shopee.tw/file/sg-11134201-22110-upf95k2pbekv3a_tn")</f>
        <v/>
      </c>
      <c r="D2171" t="inlineStr">
        <is>
          <t>黑色-小束口袋-B17</t>
        </is>
      </c>
      <c r="E2171" t="inlineStr">
        <is>
          <t>221958571771</t>
        </is>
      </c>
      <c r="F2171">
        <f>IMAGE("https://cf.shopee.tw/file/tw-11134207-7r98o-lkw2ltwwtyc13c_tn")</f>
        <v/>
      </c>
    </row>
    <row r="2172">
      <c r="A2172" t="inlineStr">
        <is>
          <t>17490527158</t>
        </is>
      </c>
      <c r="B2172" t="inlineStr">
        <is>
          <t>隔日到貨🔥 燈芯絨化妝包 B18 化妝包 毛絨化妝包 大容量 收納包 便攜 洗漱包 鉛筆盒 刺繡 包包 日韓 少女</t>
        </is>
      </c>
      <c r="C2172">
        <f>IMAGE("https://cf.shopee.tw/file/sg-11134201-22110-upf95k2pbekv3a_tn")</f>
        <v/>
      </c>
      <c r="D2172" t="inlineStr">
        <is>
          <t>灰色-小束口袋-B17</t>
        </is>
      </c>
      <c r="E2172" t="inlineStr">
        <is>
          <t>221958571772</t>
        </is>
      </c>
      <c r="F2172">
        <f>IMAGE("https://cf.shopee.tw/file/tw-11134207-7r98o-lkw2ltwwvcwh51_tn")</f>
        <v/>
      </c>
    </row>
    <row r="2173">
      <c r="A2173" t="inlineStr">
        <is>
          <t>24052473753</t>
        </is>
      </c>
      <c r="B2173" t="inlineStr">
        <is>
          <t>隔日到貨🔥 口紅化妝包 化妝包 收納包 B20 便攜 洗漱包 小包 包包 日韓 少女</t>
        </is>
      </c>
      <c r="C2173">
        <f>IMAGE("https://cf.shopee.tw/file/tw-11134207-7r98v-los5j5u7ehrw86_tn")</f>
        <v/>
      </c>
      <c r="D2173" t="inlineStr">
        <is>
          <t>少女口紅化妝包</t>
        </is>
      </c>
      <c r="E2173" t="inlineStr">
        <is>
          <t>214787944849</t>
        </is>
      </c>
      <c r="F2173">
        <f>IMAGE("https://cf.shopee.tw/file/tw-11134207-7r98r-los5n8nm4gvw8b_tn")</f>
        <v/>
      </c>
    </row>
    <row r="2174">
      <c r="A2174" t="inlineStr">
        <is>
          <t>20295588179</t>
        </is>
      </c>
      <c r="B2174" t="inlineStr">
        <is>
          <t>隔日到貨🔥 便攜化妝鏡 ins風 韓版 鏡子 化妝鏡 折疊鏡 隨身鏡 簡約 可愛 女學生必備 小鏡子</t>
        </is>
      </c>
      <c r="C2174">
        <f>IMAGE("https://cf.shopee.tw/file/tw-11134207-7r991-lorypni0t720d5_tn")</f>
        <v/>
      </c>
      <c r="D2174" t="inlineStr">
        <is>
          <t>黑色</t>
        </is>
      </c>
      <c r="E2174" t="inlineStr">
        <is>
          <t>176245831934</t>
        </is>
      </c>
      <c r="F2174">
        <f>IMAGE("https://cf.shopee.tw/file/tw-11134207-7r98p-los5j7z1ukmw5e_tn")</f>
        <v/>
      </c>
    </row>
    <row r="2175">
      <c r="A2175" t="inlineStr">
        <is>
          <t>20295588179</t>
        </is>
      </c>
      <c r="B2175" t="inlineStr">
        <is>
          <t>隔日到貨🔥 便攜化妝鏡 ins風 韓版 鏡子 化妝鏡 折疊鏡 隨身鏡 簡約 可愛 女學生必備 小鏡子</t>
        </is>
      </c>
      <c r="C2175">
        <f>IMAGE("https://cf.shopee.tw/file/tw-11134207-7r991-lorypni0t720d5_tn")</f>
        <v/>
      </c>
      <c r="D2175" t="inlineStr">
        <is>
          <t>白色</t>
        </is>
      </c>
      <c r="E2175" t="inlineStr">
        <is>
          <t>176245831935</t>
        </is>
      </c>
      <c r="F2175">
        <f>IMAGE("https://cf.shopee.tw/file/tw-11134207-7r98p-los5j5u6z1j0ae_tn")</f>
        <v/>
      </c>
    </row>
    <row r="2176">
      <c r="A2176" t="inlineStr">
        <is>
          <t>20295588179</t>
        </is>
      </c>
      <c r="B2176" t="inlineStr">
        <is>
          <t>隔日到貨🔥 便攜化妝鏡 ins風 韓版 鏡子 化妝鏡 折疊鏡 隨身鏡 簡約 可愛 女學生必備 小鏡子</t>
        </is>
      </c>
      <c r="C2176">
        <f>IMAGE("https://cf.shopee.tw/file/tw-11134207-7r991-lorypni0t720d5_tn")</f>
        <v/>
      </c>
      <c r="D2176" t="inlineStr">
        <is>
          <t>粉色</t>
        </is>
      </c>
      <c r="E2176" t="inlineStr">
        <is>
          <t>176245831936</t>
        </is>
      </c>
      <c r="F2176">
        <f>IMAGE("https://cf.shopee.tw/file/tw-11134207-7r98p-los5j5u7ty0s10_tn")</f>
        <v/>
      </c>
    </row>
    <row r="2177">
      <c r="A2177" t="inlineStr">
        <is>
          <t>20295588179</t>
        </is>
      </c>
      <c r="B2177" t="inlineStr">
        <is>
          <t>隔日到貨🔥 便攜化妝鏡 ins風 韓版 鏡子 化妝鏡 折疊鏡 隨身鏡 簡約 可愛 女學生必備 小鏡子</t>
        </is>
      </c>
      <c r="C2177">
        <f>IMAGE("https://cf.shopee.tw/file/tw-11134207-7r991-lorypni0t720d5_tn")</f>
        <v/>
      </c>
      <c r="D2177" t="inlineStr">
        <is>
          <t>綠色</t>
        </is>
      </c>
      <c r="E2177" t="inlineStr">
        <is>
          <t>176245831937</t>
        </is>
      </c>
      <c r="F2177">
        <f>IMAGE("https://cf.shopee.tw/file/tw-11134207-7r98p-los5j7z2a0vs7a_tn")</f>
        <v/>
      </c>
    </row>
    <row r="2178">
      <c r="A2178" t="inlineStr">
        <is>
          <t>20295588179</t>
        </is>
      </c>
      <c r="B2178" t="inlineStr">
        <is>
          <t>隔日到貨🔥 便攜化妝鏡 ins風 韓版 鏡子 化妝鏡 折疊鏡 隨身鏡 簡約 可愛 女學生必備 小鏡子</t>
        </is>
      </c>
      <c r="C2178">
        <f>IMAGE("https://cf.shopee.tw/file/tw-11134207-7r991-lorypni0t720d5_tn")</f>
        <v/>
      </c>
      <c r="D2178" t="inlineStr">
        <is>
          <t>灰色</t>
        </is>
      </c>
      <c r="E2178" t="inlineStr">
        <is>
          <t>176245831938</t>
        </is>
      </c>
      <c r="F2178">
        <f>IMAGE("https://cf.shopee.tw/file/tw-11134207-7r98t-los5j5tx0upo7e_tn")</f>
        <v/>
      </c>
    </row>
    <row r="2179">
      <c r="A2179" t="inlineStr">
        <is>
          <t>28504078653</t>
        </is>
      </c>
      <c r="B2179" t="inlineStr">
        <is>
          <t>隔日到貨🔥 iPhone 手機殼 17 16 15 14 13 12 11 XR SE X 愛心 保護殼 軟殼 蘋果</t>
        </is>
      </c>
      <c r="C2179">
        <f>IMAGE("https://cf.shopee.tw/file/tw-11134207-7r98y-lxnvw5ldv02u48_tn")</f>
        <v/>
      </c>
      <c r="D2179" t="inlineStr">
        <is>
          <t>蝴蝶結愛心 米白,7Plus / 8Plus</t>
        </is>
      </c>
      <c r="E2179" t="inlineStr"/>
      <c r="F2179">
        <f>IMAGE("https://cf.shopee.tw/file/tw-11134207-7r98p-lx3i57iclezq6c_tn")</f>
        <v/>
      </c>
    </row>
    <row r="2180">
      <c r="A2180" t="inlineStr">
        <is>
          <t>28504078653</t>
        </is>
      </c>
      <c r="B2180" t="inlineStr">
        <is>
          <t>隔日到貨🔥 iPhone 手機殼 17 16 15 14 13 12 11 XR SE X 愛心 保護殼 軟殼 蘋果</t>
        </is>
      </c>
      <c r="C2180">
        <f>IMAGE("https://cf.shopee.tw/file/tw-11134207-7r98y-lxnvw5ldv02u48_tn")</f>
        <v/>
      </c>
      <c r="D2180" t="inlineStr">
        <is>
          <t>蝴蝶結愛心 米白,11</t>
        </is>
      </c>
      <c r="E2180" t="inlineStr">
        <is>
          <t>217617592569</t>
        </is>
      </c>
      <c r="F2180">
        <f>IMAGE("https://cf.shopee.tw/file/tw-11134207-7r98p-lx3i57iclezq6c_tn")</f>
        <v/>
      </c>
    </row>
    <row r="2181">
      <c r="A2181" t="inlineStr">
        <is>
          <t>28504078653</t>
        </is>
      </c>
      <c r="B2181" t="inlineStr">
        <is>
          <t>隔日到貨🔥 iPhone 手機殼 17 16 15 14 13 12 11 XR SE X 愛心 保護殼 軟殼 蘋果</t>
        </is>
      </c>
      <c r="C2181">
        <f>IMAGE("https://cf.shopee.tw/file/tw-11134207-7r98y-lxnvw5ldv02u48_tn")</f>
        <v/>
      </c>
      <c r="D2181" t="inlineStr">
        <is>
          <t>蝴蝶結愛心 米白,11 Pro Max</t>
        </is>
      </c>
      <c r="E2181" t="inlineStr">
        <is>
          <t>217617592570</t>
        </is>
      </c>
      <c r="F2181">
        <f>IMAGE("https://cf.shopee.tw/file/tw-11134207-7r98p-lx3i57iclezq6c_tn")</f>
        <v/>
      </c>
    </row>
    <row r="2182">
      <c r="A2182" t="inlineStr">
        <is>
          <t>28504078653</t>
        </is>
      </c>
      <c r="B2182" t="inlineStr">
        <is>
          <t>隔日到貨🔥 iPhone 手機殼 17 16 15 14 13 12 11 XR SE X 愛心 保護殼 軟殼 蘋果</t>
        </is>
      </c>
      <c r="C2182">
        <f>IMAGE("https://cf.shopee.tw/file/tw-11134207-7r98y-lxnvw5ldv02u48_tn")</f>
        <v/>
      </c>
      <c r="D2182" t="inlineStr">
        <is>
          <t>蝴蝶結愛心 米白,7 / 8 / SE2 / SE3</t>
        </is>
      </c>
      <c r="E2182" t="inlineStr"/>
      <c r="F2182">
        <f>IMAGE("https://cf.shopee.tw/file/tw-11134207-7r98p-lx3i57iclezq6c_tn")</f>
        <v/>
      </c>
    </row>
    <row r="2183">
      <c r="A2183" t="inlineStr">
        <is>
          <t>28504078653</t>
        </is>
      </c>
      <c r="B2183" t="inlineStr">
        <is>
          <t>隔日到貨🔥 iPhone 手機殼 17 16 15 14 13 12 11 XR SE X 愛心 保護殼 軟殼 蘋果</t>
        </is>
      </c>
      <c r="C2183">
        <f>IMAGE("https://cf.shopee.tw/file/tw-11134207-7r98y-lxnvw5ldv02u48_tn")</f>
        <v/>
      </c>
      <c r="D2183" t="inlineStr">
        <is>
          <t>蝴蝶結愛心 米白,X / XS</t>
        </is>
      </c>
      <c r="E2183" t="inlineStr">
        <is>
          <t>217617592566</t>
        </is>
      </c>
      <c r="F2183">
        <f>IMAGE("https://cf.shopee.tw/file/tw-11134207-7r98p-lx3i57iclezq6c_tn")</f>
        <v/>
      </c>
    </row>
    <row r="2184">
      <c r="A2184" t="inlineStr">
        <is>
          <t>28504078653</t>
        </is>
      </c>
      <c r="B2184" t="inlineStr">
        <is>
          <t>隔日到貨🔥 iPhone 手機殼 17 16 15 14 13 12 11 XR SE X 愛心 保護殼 軟殼 蘋果</t>
        </is>
      </c>
      <c r="C2184">
        <f>IMAGE("https://cf.shopee.tw/file/tw-11134207-7r98y-lxnvw5ldv02u48_tn")</f>
        <v/>
      </c>
      <c r="D2184" t="inlineStr">
        <is>
          <t>蝴蝶結愛心 米白,XR</t>
        </is>
      </c>
      <c r="E2184" t="inlineStr">
        <is>
          <t>217617592567</t>
        </is>
      </c>
      <c r="F2184">
        <f>IMAGE("https://cf.shopee.tw/file/tw-11134207-7r98p-lx3i57iclezq6c_tn")</f>
        <v/>
      </c>
    </row>
    <row r="2185">
      <c r="A2185" t="inlineStr">
        <is>
          <t>28504078653</t>
        </is>
      </c>
      <c r="B2185" t="inlineStr">
        <is>
          <t>隔日到貨🔥 iPhone 手機殼 17 16 15 14 13 12 11 XR SE X 愛心 保護殼 軟殼 蘋果</t>
        </is>
      </c>
      <c r="C2185">
        <f>IMAGE("https://cf.shopee.tw/file/tw-11134207-7r98y-lxnvw5ldv02u48_tn")</f>
        <v/>
      </c>
      <c r="D2185" t="inlineStr">
        <is>
          <t>蝴蝶結愛心 米白,XS Max</t>
        </is>
      </c>
      <c r="E2185" t="inlineStr"/>
      <c r="F2185">
        <f>IMAGE("https://cf.shopee.tw/file/tw-11134207-7r98p-lx3i57iclezq6c_tn")</f>
        <v/>
      </c>
    </row>
    <row r="2186">
      <c r="A2186" t="inlineStr">
        <is>
          <t>28504078653</t>
        </is>
      </c>
      <c r="B2186" t="inlineStr">
        <is>
          <t>隔日到貨🔥 iPhone 手機殼 17 16 15 14 13 12 11 XR SE X 愛心 保護殼 軟殼 蘋果</t>
        </is>
      </c>
      <c r="C2186">
        <f>IMAGE("https://cf.shopee.tw/file/tw-11134207-7r98y-lxnvw5ldv02u48_tn")</f>
        <v/>
      </c>
      <c r="D2186" t="inlineStr">
        <is>
          <t>蝴蝶結愛心 米白,12 / 12 Pro</t>
        </is>
      </c>
      <c r="E2186" t="inlineStr">
        <is>
          <t>217617592571</t>
        </is>
      </c>
      <c r="F2186">
        <f>IMAGE("https://cf.shopee.tw/file/tw-11134207-7r98p-lx3i57iclezq6c_tn")</f>
        <v/>
      </c>
    </row>
    <row r="2187">
      <c r="A2187" t="inlineStr">
        <is>
          <t>28504078653</t>
        </is>
      </c>
      <c r="B2187" t="inlineStr">
        <is>
          <t>隔日到貨🔥 iPhone 手機殼 17 16 15 14 13 12 11 XR SE X 愛心 保護殼 軟殼 蘋果</t>
        </is>
      </c>
      <c r="C2187">
        <f>IMAGE("https://cf.shopee.tw/file/tw-11134207-7r98y-lxnvw5ldv02u48_tn")</f>
        <v/>
      </c>
      <c r="D2187" t="inlineStr">
        <is>
          <t>蝴蝶結愛心 米白,12 Pro Max</t>
        </is>
      </c>
      <c r="E2187" t="inlineStr">
        <is>
          <t>217617592572</t>
        </is>
      </c>
      <c r="F2187">
        <f>IMAGE("https://cf.shopee.tw/file/tw-11134207-7r98p-lx3i57iclezq6c_tn")</f>
        <v/>
      </c>
    </row>
    <row r="2188">
      <c r="A2188" t="inlineStr">
        <is>
          <t>28504078653</t>
        </is>
      </c>
      <c r="B2188" t="inlineStr">
        <is>
          <t>隔日到貨🔥 iPhone 手機殼 17 16 15 14 13 12 11 XR SE X 愛心 保護殼 軟殼 蘋果</t>
        </is>
      </c>
      <c r="C2188">
        <f>IMAGE("https://cf.shopee.tw/file/tw-11134207-7r98y-lxnvw5ldv02u48_tn")</f>
        <v/>
      </c>
      <c r="D2188" t="inlineStr">
        <is>
          <t>蝴蝶結愛心 米白,13 / 14</t>
        </is>
      </c>
      <c r="E2188" t="inlineStr">
        <is>
          <t>217617592573</t>
        </is>
      </c>
      <c r="F2188">
        <f>IMAGE("https://cf.shopee.tw/file/tw-11134207-7r98p-lx3i57iclezq6c_tn")</f>
        <v/>
      </c>
    </row>
    <row r="2189">
      <c r="A2189" t="inlineStr">
        <is>
          <t>28504078653</t>
        </is>
      </c>
      <c r="B2189" t="inlineStr">
        <is>
          <t>隔日到貨🔥 iPhone 手機殼 17 16 15 14 13 12 11 XR SE X 愛心 保護殼 軟殼 蘋果</t>
        </is>
      </c>
      <c r="C2189">
        <f>IMAGE("https://cf.shopee.tw/file/tw-11134207-7r98y-lxnvw5ldv02u48_tn")</f>
        <v/>
      </c>
      <c r="D2189" t="inlineStr">
        <is>
          <t>蝴蝶結愛心 米白,13 Pro</t>
        </is>
      </c>
      <c r="E2189" t="inlineStr">
        <is>
          <t>217617592574</t>
        </is>
      </c>
      <c r="F2189">
        <f>IMAGE("https://cf.shopee.tw/file/tw-11134207-7r98p-lx3i57iclezq6c_tn")</f>
        <v/>
      </c>
    </row>
    <row r="2190">
      <c r="A2190" t="inlineStr">
        <is>
          <t>28504078653</t>
        </is>
      </c>
      <c r="B2190" t="inlineStr">
        <is>
          <t>隔日到貨🔥 iPhone 手機殼 17 16 15 14 13 12 11 XR SE X 愛心 保護殼 軟殼 蘋果</t>
        </is>
      </c>
      <c r="C2190">
        <f>IMAGE("https://cf.shopee.tw/file/tw-11134207-7r98y-lxnvw5ldv02u48_tn")</f>
        <v/>
      </c>
      <c r="D2190" t="inlineStr">
        <is>
          <t>蝴蝶結愛心 米白,13 Pro Max</t>
        </is>
      </c>
      <c r="E2190" t="inlineStr">
        <is>
          <t>217617592575</t>
        </is>
      </c>
      <c r="F2190">
        <f>IMAGE("https://cf.shopee.tw/file/tw-11134207-7r98p-lx3i57iclezq6c_tn")</f>
        <v/>
      </c>
    </row>
    <row r="2191">
      <c r="A2191" t="inlineStr">
        <is>
          <t>28504078653</t>
        </is>
      </c>
      <c r="B2191" t="inlineStr">
        <is>
          <t>隔日到貨🔥 iPhone 手機殼 17 16 15 14 13 12 11 XR SE X 愛心 保護殼 軟殼 蘋果</t>
        </is>
      </c>
      <c r="C2191">
        <f>IMAGE("https://cf.shopee.tw/file/tw-11134207-7r98y-lxnvw5ldv02u48_tn")</f>
        <v/>
      </c>
      <c r="D2191" t="inlineStr">
        <is>
          <t>蝴蝶結愛心 米白,14 Plus</t>
        </is>
      </c>
      <c r="E2191" t="inlineStr"/>
      <c r="F2191">
        <f>IMAGE("https://cf.shopee.tw/file/tw-11134207-7r98p-lx3i57iclezq6c_tn")</f>
        <v/>
      </c>
    </row>
    <row r="2192">
      <c r="A2192" t="inlineStr">
        <is>
          <t>28504078653</t>
        </is>
      </c>
      <c r="B2192" t="inlineStr">
        <is>
          <t>隔日到貨🔥 iPhone 手機殼 17 16 15 14 13 12 11 XR SE X 愛心 保護殼 軟殼 蘋果</t>
        </is>
      </c>
      <c r="C2192">
        <f>IMAGE("https://cf.shopee.tw/file/tw-11134207-7r98y-lxnvw5ldv02u48_tn")</f>
        <v/>
      </c>
      <c r="D2192" t="inlineStr">
        <is>
          <t>蝴蝶結愛心 米白,14 Pro</t>
        </is>
      </c>
      <c r="E2192" t="inlineStr"/>
      <c r="F2192">
        <f>IMAGE("https://cf.shopee.tw/file/tw-11134207-7r98p-lx3i57iclezq6c_tn")</f>
        <v/>
      </c>
    </row>
    <row r="2193">
      <c r="A2193" t="inlineStr">
        <is>
          <t>28504078653</t>
        </is>
      </c>
      <c r="B2193" t="inlineStr">
        <is>
          <t>隔日到貨🔥 iPhone 手機殼 17 16 15 14 13 12 11 XR SE X 愛心 保護殼 軟殼 蘋果</t>
        </is>
      </c>
      <c r="C2193">
        <f>IMAGE("https://cf.shopee.tw/file/tw-11134207-7r98y-lxnvw5ldv02u48_tn")</f>
        <v/>
      </c>
      <c r="D2193" t="inlineStr">
        <is>
          <t>蝴蝶結愛心 米白,14 Pro Max</t>
        </is>
      </c>
      <c r="E2193" t="inlineStr">
        <is>
          <t>217617592579</t>
        </is>
      </c>
      <c r="F2193">
        <f>IMAGE("https://cf.shopee.tw/file/tw-11134207-7r98p-lx3i57iclezq6c_tn")</f>
        <v/>
      </c>
    </row>
    <row r="2194">
      <c r="A2194" t="inlineStr">
        <is>
          <t>28504078653</t>
        </is>
      </c>
      <c r="B2194" t="inlineStr">
        <is>
          <t>隔日到貨🔥 iPhone 手機殼 17 16 15 14 13 12 11 XR SE X 愛心 保護殼 軟殼 蘋果</t>
        </is>
      </c>
      <c r="C2194">
        <f>IMAGE("https://cf.shopee.tw/file/tw-11134207-7r98y-lxnvw5ldv02u48_tn")</f>
        <v/>
      </c>
      <c r="D2194" t="inlineStr">
        <is>
          <t>蝴蝶結愛心 米白,15</t>
        </is>
      </c>
      <c r="E2194" t="inlineStr">
        <is>
          <t>217617592580</t>
        </is>
      </c>
      <c r="F2194">
        <f>IMAGE("https://cf.shopee.tw/file/tw-11134207-7r98p-lx3i57iclezq6c_tn")</f>
        <v/>
      </c>
    </row>
    <row r="2195">
      <c r="A2195" t="inlineStr">
        <is>
          <t>28504078653</t>
        </is>
      </c>
      <c r="B2195" t="inlineStr">
        <is>
          <t>隔日到貨🔥 iPhone 手機殼 17 16 15 14 13 12 11 XR SE X 愛心 保護殼 軟殼 蘋果</t>
        </is>
      </c>
      <c r="C2195">
        <f>IMAGE("https://cf.shopee.tw/file/tw-11134207-7r98y-lxnvw5ldv02u48_tn")</f>
        <v/>
      </c>
      <c r="D2195" t="inlineStr">
        <is>
          <t>蝴蝶結愛心 米白,15 Plus</t>
        </is>
      </c>
      <c r="E2195" t="inlineStr"/>
      <c r="F2195">
        <f>IMAGE("https://cf.shopee.tw/file/tw-11134207-7r98p-lx3i57iclezq6c_tn")</f>
        <v/>
      </c>
    </row>
    <row r="2196">
      <c r="A2196" t="inlineStr">
        <is>
          <t>28504078653</t>
        </is>
      </c>
      <c r="B2196" t="inlineStr">
        <is>
          <t>隔日到貨🔥 iPhone 手機殼 17 16 15 14 13 12 11 XR SE X 愛心 保護殼 軟殼 蘋果</t>
        </is>
      </c>
      <c r="C2196">
        <f>IMAGE("https://cf.shopee.tw/file/tw-11134207-7r98y-lxnvw5ldv02u48_tn")</f>
        <v/>
      </c>
      <c r="D2196" t="inlineStr">
        <is>
          <t>蝴蝶結愛心 米白,15 Pro</t>
        </is>
      </c>
      <c r="E2196" t="inlineStr">
        <is>
          <t>217617592582</t>
        </is>
      </c>
      <c r="F2196">
        <f>IMAGE("https://cf.shopee.tw/file/tw-11134207-7r98p-lx3i57iclezq6c_tn")</f>
        <v/>
      </c>
    </row>
    <row r="2197">
      <c r="A2197" t="inlineStr">
        <is>
          <t>28504078653</t>
        </is>
      </c>
      <c r="B2197" t="inlineStr">
        <is>
          <t>隔日到貨🔥 iPhone 手機殼 17 16 15 14 13 12 11 XR SE X 愛心 保護殼 軟殼 蘋果</t>
        </is>
      </c>
      <c r="C2197">
        <f>IMAGE("https://cf.shopee.tw/file/tw-11134207-7r98y-lxnvw5ldv02u48_tn")</f>
        <v/>
      </c>
      <c r="D2197" t="inlineStr">
        <is>
          <t>蝴蝶結愛心 米白,15 Pro Max</t>
        </is>
      </c>
      <c r="E2197" t="inlineStr">
        <is>
          <t>217617592583</t>
        </is>
      </c>
      <c r="F2197">
        <f>IMAGE("https://cf.shopee.tw/file/tw-11134207-7r98p-lx3i57iclezq6c_tn")</f>
        <v/>
      </c>
    </row>
    <row r="2198">
      <c r="A2198" t="inlineStr">
        <is>
          <t>28504078653</t>
        </is>
      </c>
      <c r="B2198" t="inlineStr">
        <is>
          <t>隔日到貨🔥 iPhone 手機殼 17 16 15 14 13 12 11 XR SE X 愛心 保護殼 軟殼 蘋果</t>
        </is>
      </c>
      <c r="C2198">
        <f>IMAGE("https://cf.shopee.tw/file/tw-11134207-7r98y-lxnvw5ldv02u48_tn")</f>
        <v/>
      </c>
      <c r="D2198" t="inlineStr">
        <is>
          <t>蝴蝶結愛心 米白,16</t>
        </is>
      </c>
      <c r="E2198" t="inlineStr">
        <is>
          <t>207816491866</t>
        </is>
      </c>
      <c r="F2198">
        <f>IMAGE("https://cf.shopee.tw/file/tw-11134207-7r98p-lx3i57iclezq6c_tn")</f>
        <v/>
      </c>
    </row>
    <row r="2199">
      <c r="A2199" t="inlineStr">
        <is>
          <t>28504078653</t>
        </is>
      </c>
      <c r="B2199" t="inlineStr">
        <is>
          <t>隔日到貨🔥 iPhone 手機殼 17 16 15 14 13 12 11 XR SE X 愛心 保護殼 軟殼 蘋果</t>
        </is>
      </c>
      <c r="C2199">
        <f>IMAGE("https://cf.shopee.tw/file/tw-11134207-7r98y-lxnvw5ldv02u48_tn")</f>
        <v/>
      </c>
      <c r="D2199" t="inlineStr">
        <is>
          <t>蝴蝶結愛心 米白,16 Pro</t>
        </is>
      </c>
      <c r="E2199" t="inlineStr">
        <is>
          <t>207816491867</t>
        </is>
      </c>
      <c r="F2199">
        <f>IMAGE("https://cf.shopee.tw/file/tw-11134207-7r98p-lx3i57iclezq6c_tn")</f>
        <v/>
      </c>
    </row>
    <row r="2200">
      <c r="A2200" t="inlineStr">
        <is>
          <t>28504078653</t>
        </is>
      </c>
      <c r="B2200" t="inlineStr">
        <is>
          <t>隔日到貨🔥 iPhone 手機殼 17 16 15 14 13 12 11 XR SE X 愛心 保護殼 軟殼 蘋果</t>
        </is>
      </c>
      <c r="C2200">
        <f>IMAGE("https://cf.shopee.tw/file/tw-11134207-7r98y-lxnvw5ldv02u48_tn")</f>
        <v/>
      </c>
      <c r="D2200" t="inlineStr">
        <is>
          <t>蝴蝶結愛心 米白,16 Plus</t>
        </is>
      </c>
      <c r="E2200" t="inlineStr"/>
      <c r="F2200">
        <f>IMAGE("https://cf.shopee.tw/file/tw-11134207-7r98p-lx3i57iclezq6c_tn")</f>
        <v/>
      </c>
    </row>
    <row r="2201">
      <c r="A2201" t="inlineStr">
        <is>
          <t>28504078653</t>
        </is>
      </c>
      <c r="B2201" t="inlineStr">
        <is>
          <t>隔日到貨🔥 iPhone 手機殼 17 16 15 14 13 12 11 XR SE X 愛心 保護殼 軟殼 蘋果</t>
        </is>
      </c>
      <c r="C2201">
        <f>IMAGE("https://cf.shopee.tw/file/tw-11134207-7r98y-lxnvw5ldv02u48_tn")</f>
        <v/>
      </c>
      <c r="D2201" t="inlineStr">
        <is>
          <t>蝴蝶結愛心 米白,16 Pro Max</t>
        </is>
      </c>
      <c r="E2201" t="inlineStr">
        <is>
          <t>207816491869</t>
        </is>
      </c>
      <c r="F2201">
        <f>IMAGE("https://cf.shopee.tw/file/tw-11134207-7r98p-lx3i57iclezq6c_tn")</f>
        <v/>
      </c>
    </row>
    <row r="2202">
      <c r="A2202" t="inlineStr">
        <is>
          <t>28504078653</t>
        </is>
      </c>
      <c r="B2202" t="inlineStr">
        <is>
          <t>隔日到貨🔥 iPhone 手機殼 17 16 15 14 13 12 11 XR SE X 愛心 保護殼 軟殼 蘋果</t>
        </is>
      </c>
      <c r="C2202">
        <f>IMAGE("https://cf.shopee.tw/file/tw-11134207-7r98y-lxnvw5ldv02u48_tn")</f>
        <v/>
      </c>
      <c r="D2202" t="inlineStr">
        <is>
          <t>蝴蝶結愛心 米白,17</t>
        </is>
      </c>
      <c r="E2202" t="inlineStr">
        <is>
          <t>186275147042</t>
        </is>
      </c>
      <c r="F2202">
        <f>IMAGE("https://cf.shopee.tw/file/tw-11134207-7r98p-lx3i57iclezq6c_tn")</f>
        <v/>
      </c>
    </row>
    <row r="2203">
      <c r="A2203" t="inlineStr">
        <is>
          <t>28504078653</t>
        </is>
      </c>
      <c r="B2203" t="inlineStr">
        <is>
          <t>隔日到貨🔥 iPhone 手機殼 17 16 15 14 13 12 11 XR SE X 愛心 保護殼 軟殼 蘋果</t>
        </is>
      </c>
      <c r="C2203">
        <f>IMAGE("https://cf.shopee.tw/file/tw-11134207-7r98y-lxnvw5ldv02u48_tn")</f>
        <v/>
      </c>
      <c r="D2203" t="inlineStr">
        <is>
          <t>蝴蝶結愛心 米白,17 Pro</t>
        </is>
      </c>
      <c r="E2203" t="inlineStr">
        <is>
          <t>186275147043</t>
        </is>
      </c>
      <c r="F2203">
        <f>IMAGE("https://cf.shopee.tw/file/tw-11134207-7r98p-lx3i57iclezq6c_tn")</f>
        <v/>
      </c>
    </row>
    <row r="2204">
      <c r="A2204" t="inlineStr">
        <is>
          <t>28504078653</t>
        </is>
      </c>
      <c r="B2204" t="inlineStr">
        <is>
          <t>隔日到貨🔥 iPhone 手機殼 17 16 15 14 13 12 11 XR SE X 愛心 保護殼 軟殼 蘋果</t>
        </is>
      </c>
      <c r="C2204">
        <f>IMAGE("https://cf.shopee.tw/file/tw-11134207-7r98y-lxnvw5ldv02u48_tn")</f>
        <v/>
      </c>
      <c r="D2204" t="inlineStr">
        <is>
          <t>蝴蝶結愛心 米白,17 pro Max</t>
        </is>
      </c>
      <c r="E2204" t="inlineStr">
        <is>
          <t>186275147044</t>
        </is>
      </c>
      <c r="F2204">
        <f>IMAGE("https://cf.shopee.tw/file/tw-11134207-7r98p-lx3i57iclezq6c_tn")</f>
        <v/>
      </c>
    </row>
    <row r="2205">
      <c r="A2205" t="inlineStr">
        <is>
          <t>28504078653</t>
        </is>
      </c>
      <c r="B2205" t="inlineStr">
        <is>
          <t>隔日到貨🔥 iPhone 手機殼 17 16 15 14 13 12 11 XR SE X 愛心 保護殼 軟殼 蘋果</t>
        </is>
      </c>
      <c r="C2205">
        <f>IMAGE("https://cf.shopee.tw/file/tw-11134207-7r98y-lxnvw5ldv02u48_tn")</f>
        <v/>
      </c>
      <c r="D2205" t="inlineStr">
        <is>
          <t>蝴蝶結愛心 黑色,7 / 8 / SE2 / SE3</t>
        </is>
      </c>
      <c r="E2205" t="inlineStr">
        <is>
          <t>178282529751</t>
        </is>
      </c>
      <c r="F2205">
        <f>IMAGE("https://cf.shopee.tw/file/tw-11134207-7r98y-lx3i57iclesw99_tn")</f>
        <v/>
      </c>
    </row>
    <row r="2206">
      <c r="A2206" t="inlineStr">
        <is>
          <t>28504078653</t>
        </is>
      </c>
      <c r="B2206" t="inlineStr">
        <is>
          <t>隔日到貨🔥 iPhone 手機殼 17 16 15 14 13 12 11 XR SE X 愛心 保護殼 軟殼 蘋果</t>
        </is>
      </c>
      <c r="C2206">
        <f>IMAGE("https://cf.shopee.tw/file/tw-11134207-7r98y-lxnvw5ldv02u48_tn")</f>
        <v/>
      </c>
      <c r="D2206" t="inlineStr">
        <is>
          <t>蝴蝶結愛心 黑色,7Plus / 8Plus</t>
        </is>
      </c>
      <c r="E2206" t="inlineStr">
        <is>
          <t>217617592584</t>
        </is>
      </c>
      <c r="F2206">
        <f>IMAGE("https://cf.shopee.tw/file/tw-11134207-7r98y-lx3i57iclesw99_tn")</f>
        <v/>
      </c>
    </row>
    <row r="2207">
      <c r="A2207" t="inlineStr">
        <is>
          <t>28504078653</t>
        </is>
      </c>
      <c r="B2207" t="inlineStr">
        <is>
          <t>隔日到貨🔥 iPhone 手機殼 17 16 15 14 13 12 11 XR SE X 愛心 保護殼 軟殼 蘋果</t>
        </is>
      </c>
      <c r="C2207">
        <f>IMAGE("https://cf.shopee.tw/file/tw-11134207-7r98y-lxnvw5ldv02u48_tn")</f>
        <v/>
      </c>
      <c r="D2207" t="inlineStr">
        <is>
          <t>蝴蝶結愛心 黑色,X / XS</t>
        </is>
      </c>
      <c r="E2207" t="inlineStr">
        <is>
          <t>217617592585</t>
        </is>
      </c>
      <c r="F2207">
        <f>IMAGE("https://cf.shopee.tw/file/tw-11134207-7r98y-lx3i57iclesw99_tn")</f>
        <v/>
      </c>
    </row>
    <row r="2208">
      <c r="A2208" t="inlineStr">
        <is>
          <t>28504078653</t>
        </is>
      </c>
      <c r="B2208" t="inlineStr">
        <is>
          <t>隔日到貨🔥 iPhone 手機殼 17 16 15 14 13 12 11 XR SE X 愛心 保護殼 軟殼 蘋果</t>
        </is>
      </c>
      <c r="C2208">
        <f>IMAGE("https://cf.shopee.tw/file/tw-11134207-7r98y-lxnvw5ldv02u48_tn")</f>
        <v/>
      </c>
      <c r="D2208" t="inlineStr">
        <is>
          <t>蝴蝶結愛心 黑色,XR</t>
        </is>
      </c>
      <c r="E2208" t="inlineStr">
        <is>
          <t>236494833062</t>
        </is>
      </c>
      <c r="F2208">
        <f>IMAGE("https://cf.shopee.tw/file/tw-11134207-7r98y-lx3i57iclesw99_tn")</f>
        <v/>
      </c>
    </row>
    <row r="2209">
      <c r="A2209" t="inlineStr">
        <is>
          <t>28504078653</t>
        </is>
      </c>
      <c r="B2209" t="inlineStr">
        <is>
          <t>隔日到貨🔥 iPhone 手機殼 17 16 15 14 13 12 11 XR SE X 愛心 保護殼 軟殼 蘋果</t>
        </is>
      </c>
      <c r="C2209">
        <f>IMAGE("https://cf.shopee.tw/file/tw-11134207-7r98y-lxnvw5ldv02u48_tn")</f>
        <v/>
      </c>
      <c r="D2209" t="inlineStr">
        <is>
          <t>蝴蝶結愛心 黑色,XS Max</t>
        </is>
      </c>
      <c r="E2209" t="inlineStr"/>
      <c r="F2209">
        <f>IMAGE("https://cf.shopee.tw/file/tw-11134207-7r98y-lx3i57iclesw99_tn")</f>
        <v/>
      </c>
    </row>
    <row r="2210">
      <c r="A2210" t="inlineStr">
        <is>
          <t>28504078653</t>
        </is>
      </c>
      <c r="B2210" t="inlineStr">
        <is>
          <t>隔日到貨🔥 iPhone 手機殼 17 16 15 14 13 12 11 XR SE X 愛心 保護殼 軟殼 蘋果</t>
        </is>
      </c>
      <c r="C2210">
        <f>IMAGE("https://cf.shopee.tw/file/tw-11134207-7r98y-lxnvw5ldv02u48_tn")</f>
        <v/>
      </c>
      <c r="D2210" t="inlineStr">
        <is>
          <t>蝴蝶結愛心 黑色,11</t>
        </is>
      </c>
      <c r="E2210" t="inlineStr">
        <is>
          <t>236494833064</t>
        </is>
      </c>
      <c r="F2210">
        <f>IMAGE("https://cf.shopee.tw/file/tw-11134207-7r98y-lx3i57iclesw99_tn")</f>
        <v/>
      </c>
    </row>
    <row r="2211">
      <c r="A2211" t="inlineStr">
        <is>
          <t>28504078653</t>
        </is>
      </c>
      <c r="B2211" t="inlineStr">
        <is>
          <t>隔日到貨🔥 iPhone 手機殼 17 16 15 14 13 12 11 XR SE X 愛心 保護殼 軟殼 蘋果</t>
        </is>
      </c>
      <c r="C2211">
        <f>IMAGE("https://cf.shopee.tw/file/tw-11134207-7r98y-lxnvw5ldv02u48_tn")</f>
        <v/>
      </c>
      <c r="D2211" t="inlineStr">
        <is>
          <t>蝴蝶結愛心 黑色,11 Pro Max</t>
        </is>
      </c>
      <c r="E2211" t="inlineStr">
        <is>
          <t>236494833065</t>
        </is>
      </c>
      <c r="F2211">
        <f>IMAGE("https://cf.shopee.tw/file/tw-11134207-7r98y-lx3i57iclesw99_tn")</f>
        <v/>
      </c>
    </row>
    <row r="2212">
      <c r="A2212" t="inlineStr">
        <is>
          <t>28504078653</t>
        </is>
      </c>
      <c r="B2212" t="inlineStr">
        <is>
          <t>隔日到貨🔥 iPhone 手機殼 17 16 15 14 13 12 11 XR SE X 愛心 保護殼 軟殼 蘋果</t>
        </is>
      </c>
      <c r="C2212">
        <f>IMAGE("https://cf.shopee.tw/file/tw-11134207-7r98y-lxnvw5ldv02u48_tn")</f>
        <v/>
      </c>
      <c r="D2212" t="inlineStr">
        <is>
          <t>蝴蝶結愛心 黑色,12 / 12 Pro</t>
        </is>
      </c>
      <c r="E2212" t="inlineStr">
        <is>
          <t>236494833066</t>
        </is>
      </c>
      <c r="F2212">
        <f>IMAGE("https://cf.shopee.tw/file/tw-11134207-7r98y-lx3i57iclesw99_tn")</f>
        <v/>
      </c>
    </row>
    <row r="2213">
      <c r="A2213" t="inlineStr">
        <is>
          <t>28504078653</t>
        </is>
      </c>
      <c r="B2213" t="inlineStr">
        <is>
          <t>隔日到貨🔥 iPhone 手機殼 17 16 15 14 13 12 11 XR SE X 愛心 保護殼 軟殼 蘋果</t>
        </is>
      </c>
      <c r="C2213">
        <f>IMAGE("https://cf.shopee.tw/file/tw-11134207-7r98y-lxnvw5ldv02u48_tn")</f>
        <v/>
      </c>
      <c r="D2213" t="inlineStr">
        <is>
          <t>蝴蝶結愛心 黑色,12 Pro Max</t>
        </is>
      </c>
      <c r="E2213" t="inlineStr">
        <is>
          <t>236494833067</t>
        </is>
      </c>
      <c r="F2213">
        <f>IMAGE("https://cf.shopee.tw/file/tw-11134207-7r98y-lx3i57iclesw99_tn")</f>
        <v/>
      </c>
    </row>
    <row r="2214">
      <c r="A2214" t="inlineStr">
        <is>
          <t>28504078653</t>
        </is>
      </c>
      <c r="B2214" t="inlineStr">
        <is>
          <t>隔日到貨🔥 iPhone 手機殼 17 16 15 14 13 12 11 XR SE X 愛心 保護殼 軟殼 蘋果</t>
        </is>
      </c>
      <c r="C2214">
        <f>IMAGE("https://cf.shopee.tw/file/tw-11134207-7r98y-lxnvw5ldv02u48_tn")</f>
        <v/>
      </c>
      <c r="D2214" t="inlineStr">
        <is>
          <t>蝴蝶結愛心 黑色,13 / 14</t>
        </is>
      </c>
      <c r="E2214" t="inlineStr">
        <is>
          <t>236494833068</t>
        </is>
      </c>
      <c r="F2214">
        <f>IMAGE("https://cf.shopee.tw/file/tw-11134207-7r98y-lx3i57iclesw99_tn")</f>
        <v/>
      </c>
    </row>
    <row r="2215">
      <c r="A2215" t="inlineStr">
        <is>
          <t>28504078653</t>
        </is>
      </c>
      <c r="B2215" t="inlineStr">
        <is>
          <t>隔日到貨🔥 iPhone 手機殼 17 16 15 14 13 12 11 XR SE X 愛心 保護殼 軟殼 蘋果</t>
        </is>
      </c>
      <c r="C2215">
        <f>IMAGE("https://cf.shopee.tw/file/tw-11134207-7r98y-lxnvw5ldv02u48_tn")</f>
        <v/>
      </c>
      <c r="D2215" t="inlineStr">
        <is>
          <t>蝴蝶結愛心 黑色,13 Pro</t>
        </is>
      </c>
      <c r="E2215" t="inlineStr">
        <is>
          <t>236494833069</t>
        </is>
      </c>
      <c r="F2215">
        <f>IMAGE("https://cf.shopee.tw/file/tw-11134207-7r98y-lx3i57iclesw99_tn")</f>
        <v/>
      </c>
    </row>
    <row r="2216">
      <c r="A2216" t="inlineStr">
        <is>
          <t>28504078653</t>
        </is>
      </c>
      <c r="B2216" t="inlineStr">
        <is>
          <t>隔日到貨🔥 iPhone 手機殼 17 16 15 14 13 12 11 XR SE X 愛心 保護殼 軟殼 蘋果</t>
        </is>
      </c>
      <c r="C2216">
        <f>IMAGE("https://cf.shopee.tw/file/tw-11134207-7r98y-lxnvw5ldv02u48_tn")</f>
        <v/>
      </c>
      <c r="D2216" t="inlineStr">
        <is>
          <t>蝴蝶結愛心 黑色,13 Pro Max</t>
        </is>
      </c>
      <c r="E2216" t="inlineStr">
        <is>
          <t>236494833070</t>
        </is>
      </c>
      <c r="F2216">
        <f>IMAGE("https://cf.shopee.tw/file/tw-11134207-7r98y-lx3i57iclesw99_tn")</f>
        <v/>
      </c>
    </row>
    <row r="2217">
      <c r="A2217" t="inlineStr">
        <is>
          <t>28504078653</t>
        </is>
      </c>
      <c r="B2217" t="inlineStr">
        <is>
          <t>隔日到貨🔥 iPhone 手機殼 17 16 15 14 13 12 11 XR SE X 愛心 保護殼 軟殼 蘋果</t>
        </is>
      </c>
      <c r="C2217">
        <f>IMAGE("https://cf.shopee.tw/file/tw-11134207-7r98y-lxnvw5ldv02u48_tn")</f>
        <v/>
      </c>
      <c r="D2217" t="inlineStr">
        <is>
          <t>蝴蝶結愛心 黑色,14 Plus</t>
        </is>
      </c>
      <c r="E2217" t="inlineStr"/>
      <c r="F2217">
        <f>IMAGE("https://cf.shopee.tw/file/tw-11134207-7r98y-lx3i57iclesw99_tn")</f>
        <v/>
      </c>
    </row>
    <row r="2218">
      <c r="A2218" t="inlineStr">
        <is>
          <t>28504078653</t>
        </is>
      </c>
      <c r="B2218" t="inlineStr">
        <is>
          <t>隔日到貨🔥 iPhone 手機殼 17 16 15 14 13 12 11 XR SE X 愛心 保護殼 軟殼 蘋果</t>
        </is>
      </c>
      <c r="C2218">
        <f>IMAGE("https://cf.shopee.tw/file/tw-11134207-7r98y-lxnvw5ldv02u48_tn")</f>
        <v/>
      </c>
      <c r="D2218" t="inlineStr">
        <is>
          <t>蝴蝶結愛心 黑色,14 Pro</t>
        </is>
      </c>
      <c r="E2218" t="inlineStr">
        <is>
          <t>236494833073</t>
        </is>
      </c>
      <c r="F2218">
        <f>IMAGE("https://cf.shopee.tw/file/tw-11134207-7r98y-lx3i57iclesw99_tn")</f>
        <v/>
      </c>
    </row>
    <row r="2219">
      <c r="A2219" t="inlineStr">
        <is>
          <t>28504078653</t>
        </is>
      </c>
      <c r="B2219" t="inlineStr">
        <is>
          <t>隔日到貨🔥 iPhone 手機殼 17 16 15 14 13 12 11 XR SE X 愛心 保護殼 軟殼 蘋果</t>
        </is>
      </c>
      <c r="C2219">
        <f>IMAGE("https://cf.shopee.tw/file/tw-11134207-7r98y-lxnvw5ldv02u48_tn")</f>
        <v/>
      </c>
      <c r="D2219" t="inlineStr">
        <is>
          <t>蝴蝶結愛心 黑色,14 Pro Max</t>
        </is>
      </c>
      <c r="E2219" t="inlineStr"/>
      <c r="F2219">
        <f>IMAGE("https://cf.shopee.tw/file/tw-11134207-7r98y-lx3i57iclesw99_tn")</f>
        <v/>
      </c>
    </row>
    <row r="2220">
      <c r="A2220" t="inlineStr">
        <is>
          <t>28504078653</t>
        </is>
      </c>
      <c r="B2220" t="inlineStr">
        <is>
          <t>隔日到貨🔥 iPhone 手機殼 17 16 15 14 13 12 11 XR SE X 愛心 保護殼 軟殼 蘋果</t>
        </is>
      </c>
      <c r="C2220">
        <f>IMAGE("https://cf.shopee.tw/file/tw-11134207-7r98y-lxnvw5ldv02u48_tn")</f>
        <v/>
      </c>
      <c r="D2220" t="inlineStr">
        <is>
          <t>蝴蝶結愛心 黑色,15</t>
        </is>
      </c>
      <c r="E2220" t="inlineStr">
        <is>
          <t>236494833075</t>
        </is>
      </c>
      <c r="F2220">
        <f>IMAGE("https://cf.shopee.tw/file/tw-11134207-7r98y-lx3i57iclesw99_tn")</f>
        <v/>
      </c>
    </row>
    <row r="2221">
      <c r="A2221" t="inlineStr">
        <is>
          <t>28504078653</t>
        </is>
      </c>
      <c r="B2221" t="inlineStr">
        <is>
          <t>隔日到貨🔥 iPhone 手機殼 17 16 15 14 13 12 11 XR SE X 愛心 保護殼 軟殼 蘋果</t>
        </is>
      </c>
      <c r="C2221">
        <f>IMAGE("https://cf.shopee.tw/file/tw-11134207-7r98y-lxnvw5ldv02u48_tn")</f>
        <v/>
      </c>
      <c r="D2221" t="inlineStr">
        <is>
          <t>蝴蝶結愛心 黑色,15 Plus</t>
        </is>
      </c>
      <c r="E2221" t="inlineStr">
        <is>
          <t>236494833076</t>
        </is>
      </c>
      <c r="F2221">
        <f>IMAGE("https://cf.shopee.tw/file/tw-11134207-7r98y-lx3i57iclesw99_tn")</f>
        <v/>
      </c>
    </row>
    <row r="2222">
      <c r="A2222" t="inlineStr">
        <is>
          <t>28504078653</t>
        </is>
      </c>
      <c r="B2222" t="inlineStr">
        <is>
          <t>隔日到貨🔥 iPhone 手機殼 17 16 15 14 13 12 11 XR SE X 愛心 保護殼 軟殼 蘋果</t>
        </is>
      </c>
      <c r="C2222">
        <f>IMAGE("https://cf.shopee.tw/file/tw-11134207-7r98y-lxnvw5ldv02u48_tn")</f>
        <v/>
      </c>
      <c r="D2222" t="inlineStr">
        <is>
          <t>蝴蝶結愛心 黑色,15 Pro</t>
        </is>
      </c>
      <c r="E2222" t="inlineStr"/>
      <c r="F2222">
        <f>IMAGE("https://cf.shopee.tw/file/tw-11134207-7r98y-lx3i57iclesw99_tn")</f>
        <v/>
      </c>
    </row>
    <row r="2223">
      <c r="A2223" t="inlineStr">
        <is>
          <t>28504078653</t>
        </is>
      </c>
      <c r="B2223" t="inlineStr">
        <is>
          <t>隔日到貨🔥 iPhone 手機殼 17 16 15 14 13 12 11 XR SE X 愛心 保護殼 軟殼 蘋果</t>
        </is>
      </c>
      <c r="C2223">
        <f>IMAGE("https://cf.shopee.tw/file/tw-11134207-7r98y-lxnvw5ldv02u48_tn")</f>
        <v/>
      </c>
      <c r="D2223" t="inlineStr">
        <is>
          <t>蝴蝶結愛心 黑色,15 Pro Max</t>
        </is>
      </c>
      <c r="E2223" t="inlineStr"/>
      <c r="F2223">
        <f>IMAGE("https://cf.shopee.tw/file/tw-11134207-7r98y-lx3i57iclesw99_tn")</f>
        <v/>
      </c>
    </row>
    <row r="2224">
      <c r="A2224" t="inlineStr">
        <is>
          <t>28504078653</t>
        </is>
      </c>
      <c r="B2224" t="inlineStr">
        <is>
          <t>隔日到貨🔥 iPhone 手機殼 17 16 15 14 13 12 11 XR SE X 愛心 保護殼 軟殼 蘋果</t>
        </is>
      </c>
      <c r="C2224">
        <f>IMAGE("https://cf.shopee.tw/file/tw-11134207-7r98y-lxnvw5ldv02u48_tn")</f>
        <v/>
      </c>
      <c r="D2224" t="inlineStr">
        <is>
          <t>蝴蝶結愛心 黑色,16</t>
        </is>
      </c>
      <c r="E2224" t="inlineStr">
        <is>
          <t>207816491870</t>
        </is>
      </c>
      <c r="F2224">
        <f>IMAGE("https://cf.shopee.tw/file/tw-11134207-7r98y-lx3i57iclesw99_tn")</f>
        <v/>
      </c>
    </row>
    <row r="2225">
      <c r="A2225" t="inlineStr">
        <is>
          <t>28504078653</t>
        </is>
      </c>
      <c r="B2225" t="inlineStr">
        <is>
          <t>隔日到貨🔥 iPhone 手機殼 17 16 15 14 13 12 11 XR SE X 愛心 保護殼 軟殼 蘋果</t>
        </is>
      </c>
      <c r="C2225">
        <f>IMAGE("https://cf.shopee.tw/file/tw-11134207-7r98y-lxnvw5ldv02u48_tn")</f>
        <v/>
      </c>
      <c r="D2225" t="inlineStr">
        <is>
          <t>蝴蝶結愛心 黑色,16 Pro</t>
        </is>
      </c>
      <c r="E2225" t="inlineStr"/>
      <c r="F2225">
        <f>IMAGE("https://cf.shopee.tw/file/tw-11134207-7r98y-lx3i57iclesw99_tn")</f>
        <v/>
      </c>
    </row>
    <row r="2226">
      <c r="A2226" t="inlineStr">
        <is>
          <t>28504078653</t>
        </is>
      </c>
      <c r="B2226" t="inlineStr">
        <is>
          <t>隔日到貨🔥 iPhone 手機殼 17 16 15 14 13 12 11 XR SE X 愛心 保護殼 軟殼 蘋果</t>
        </is>
      </c>
      <c r="C2226">
        <f>IMAGE("https://cf.shopee.tw/file/tw-11134207-7r98y-lxnvw5ldv02u48_tn")</f>
        <v/>
      </c>
      <c r="D2226" t="inlineStr">
        <is>
          <t>蝴蝶結愛心 黑色,16 Plus</t>
        </is>
      </c>
      <c r="E2226" t="inlineStr"/>
      <c r="F2226">
        <f>IMAGE("https://cf.shopee.tw/file/tw-11134207-7r98y-lx3i57iclesw99_tn")</f>
        <v/>
      </c>
    </row>
    <row r="2227">
      <c r="A2227" t="inlineStr">
        <is>
          <t>28504078653</t>
        </is>
      </c>
      <c r="B2227" t="inlineStr">
        <is>
          <t>隔日到貨🔥 iPhone 手機殼 17 16 15 14 13 12 11 XR SE X 愛心 保護殼 軟殼 蘋果</t>
        </is>
      </c>
      <c r="C2227">
        <f>IMAGE("https://cf.shopee.tw/file/tw-11134207-7r98y-lxnvw5ldv02u48_tn")</f>
        <v/>
      </c>
      <c r="D2227" t="inlineStr">
        <is>
          <t>蝴蝶結愛心 黑色,16 Pro Max</t>
        </is>
      </c>
      <c r="E2227" t="inlineStr">
        <is>
          <t>207816491873</t>
        </is>
      </c>
      <c r="F2227">
        <f>IMAGE("https://cf.shopee.tw/file/tw-11134207-7r98y-lx3i57iclesw99_tn")</f>
        <v/>
      </c>
    </row>
    <row r="2228">
      <c r="A2228" t="inlineStr">
        <is>
          <t>28504078653</t>
        </is>
      </c>
      <c r="B2228" t="inlineStr">
        <is>
          <t>隔日到貨🔥 iPhone 手機殼 17 16 15 14 13 12 11 XR SE X 愛心 保護殼 軟殼 蘋果</t>
        </is>
      </c>
      <c r="C2228">
        <f>IMAGE("https://cf.shopee.tw/file/tw-11134207-7r98y-lxnvw5ldv02u48_tn")</f>
        <v/>
      </c>
      <c r="D2228" t="inlineStr">
        <is>
          <t>蝴蝶結愛心 黑色,17</t>
        </is>
      </c>
      <c r="E2228" t="inlineStr">
        <is>
          <t>186275147045</t>
        </is>
      </c>
      <c r="F2228">
        <f>IMAGE("https://cf.shopee.tw/file/tw-11134207-7r98y-lx3i57iclesw99_tn")</f>
        <v/>
      </c>
    </row>
    <row r="2229">
      <c r="A2229" t="inlineStr">
        <is>
          <t>28504078653</t>
        </is>
      </c>
      <c r="B2229" t="inlineStr">
        <is>
          <t>隔日到貨🔥 iPhone 手機殼 17 16 15 14 13 12 11 XR SE X 愛心 保護殼 軟殼 蘋果</t>
        </is>
      </c>
      <c r="C2229">
        <f>IMAGE("https://cf.shopee.tw/file/tw-11134207-7r98y-lxnvw5ldv02u48_tn")</f>
        <v/>
      </c>
      <c r="D2229" t="inlineStr">
        <is>
          <t>蝴蝶結愛心 黑色,17 Pro</t>
        </is>
      </c>
      <c r="E2229" t="inlineStr">
        <is>
          <t>188714965301</t>
        </is>
      </c>
      <c r="F2229">
        <f>IMAGE("https://cf.shopee.tw/file/tw-11134207-7r98y-lx3i57iclesw99_tn")</f>
        <v/>
      </c>
    </row>
    <row r="2230">
      <c r="A2230" t="inlineStr">
        <is>
          <t>28504078653</t>
        </is>
      </c>
      <c r="B2230" t="inlineStr">
        <is>
          <t>隔日到貨🔥 iPhone 手機殼 17 16 15 14 13 12 11 XR SE X 愛心 保護殼 軟殼 蘋果</t>
        </is>
      </c>
      <c r="C2230">
        <f>IMAGE("https://cf.shopee.tw/file/tw-11134207-7r98y-lxnvw5ldv02u48_tn")</f>
        <v/>
      </c>
      <c r="D2230" t="inlineStr">
        <is>
          <t>蝴蝶結愛心 黑色,17 pro Max</t>
        </is>
      </c>
      <c r="E2230" t="inlineStr">
        <is>
          <t>188714965302</t>
        </is>
      </c>
      <c r="F2230">
        <f>IMAGE("https://cf.shopee.tw/file/tw-11134207-7r98y-lx3i57iclesw99_tn")</f>
        <v/>
      </c>
    </row>
    <row r="2231">
      <c r="A2231" t="inlineStr">
        <is>
          <t>28504078653</t>
        </is>
      </c>
      <c r="B2231" t="inlineStr">
        <is>
          <t>隔日到貨🔥 iPhone 手機殼 17 16 15 14 13 12 11 XR SE X 愛心 保護殼 軟殼 蘋果</t>
        </is>
      </c>
      <c r="C2231">
        <f>IMAGE("https://cf.shopee.tw/file/tw-11134207-7r98y-lxnvw5ldv02u48_tn")</f>
        <v/>
      </c>
      <c r="D2231" t="inlineStr">
        <is>
          <t>蝴蝶結愛心 粉色,7 / 8 / SE2 / SE3</t>
        </is>
      </c>
      <c r="E2231" t="inlineStr">
        <is>
          <t>178282529752</t>
        </is>
      </c>
      <c r="F2231">
        <f>IMAGE("https://cf.shopee.tw/file/tw-11134207-7r98w-lx3i7nrve33kdc_tn")</f>
        <v/>
      </c>
    </row>
    <row r="2232">
      <c r="A2232" t="inlineStr">
        <is>
          <t>28504078653</t>
        </is>
      </c>
      <c r="B2232" t="inlineStr">
        <is>
          <t>隔日到貨🔥 iPhone 手機殼 17 16 15 14 13 12 11 XR SE X 愛心 保護殼 軟殼 蘋果</t>
        </is>
      </c>
      <c r="C2232">
        <f>IMAGE("https://cf.shopee.tw/file/tw-11134207-7r98y-lxnvw5ldv02u48_tn")</f>
        <v/>
      </c>
      <c r="D2232" t="inlineStr">
        <is>
          <t>蝴蝶結愛心 粉色,7Plus / 8Plus</t>
        </is>
      </c>
      <c r="E2232" t="inlineStr">
        <is>
          <t>236494833079</t>
        </is>
      </c>
      <c r="F2232">
        <f>IMAGE("https://cf.shopee.tw/file/tw-11134207-7r98w-lx3i7nrve33kdc_tn")</f>
        <v/>
      </c>
    </row>
    <row r="2233">
      <c r="A2233" t="inlineStr">
        <is>
          <t>28504078653</t>
        </is>
      </c>
      <c r="B2233" t="inlineStr">
        <is>
          <t>隔日到貨🔥 iPhone 手機殼 17 16 15 14 13 12 11 XR SE X 愛心 保護殼 軟殼 蘋果</t>
        </is>
      </c>
      <c r="C2233">
        <f>IMAGE("https://cf.shopee.tw/file/tw-11134207-7r98y-lxnvw5ldv02u48_tn")</f>
        <v/>
      </c>
      <c r="D2233" t="inlineStr">
        <is>
          <t>蝴蝶結愛心 粉色,X / XS</t>
        </is>
      </c>
      <c r="E2233" t="inlineStr">
        <is>
          <t>236494833080</t>
        </is>
      </c>
      <c r="F2233">
        <f>IMAGE("https://cf.shopee.tw/file/tw-11134207-7r98w-lx3i7nrve33kdc_tn")</f>
        <v/>
      </c>
    </row>
    <row r="2234">
      <c r="A2234" t="inlineStr">
        <is>
          <t>28504078653</t>
        </is>
      </c>
      <c r="B2234" t="inlineStr">
        <is>
          <t>隔日到貨🔥 iPhone 手機殼 17 16 15 14 13 12 11 XR SE X 愛心 保護殼 軟殼 蘋果</t>
        </is>
      </c>
      <c r="C2234">
        <f>IMAGE("https://cf.shopee.tw/file/tw-11134207-7r98y-lxnvw5ldv02u48_tn")</f>
        <v/>
      </c>
      <c r="D2234" t="inlineStr">
        <is>
          <t>蝴蝶結愛心 粉色,XR</t>
        </is>
      </c>
      <c r="E2234" t="inlineStr">
        <is>
          <t>236494833081</t>
        </is>
      </c>
      <c r="F2234">
        <f>IMAGE("https://cf.shopee.tw/file/tw-11134207-7r98w-lx3i7nrve33kdc_tn")</f>
        <v/>
      </c>
    </row>
    <row r="2235">
      <c r="A2235" t="inlineStr">
        <is>
          <t>28504078653</t>
        </is>
      </c>
      <c r="B2235" t="inlineStr">
        <is>
          <t>隔日到貨🔥 iPhone 手機殼 17 16 15 14 13 12 11 XR SE X 愛心 保護殼 軟殼 蘋果</t>
        </is>
      </c>
      <c r="C2235">
        <f>IMAGE("https://cf.shopee.tw/file/tw-11134207-7r98y-lxnvw5ldv02u48_tn")</f>
        <v/>
      </c>
      <c r="D2235" t="inlineStr">
        <is>
          <t>蝴蝶結愛心 粉色,XS Max</t>
        </is>
      </c>
      <c r="E2235" t="inlineStr"/>
      <c r="F2235">
        <f>IMAGE("https://cf.shopee.tw/file/tw-11134207-7r98w-lx3i7nrve33kdc_tn")</f>
        <v/>
      </c>
    </row>
    <row r="2236">
      <c r="A2236" t="inlineStr">
        <is>
          <t>28504078653</t>
        </is>
      </c>
      <c r="B2236" t="inlineStr">
        <is>
          <t>隔日到貨🔥 iPhone 手機殼 17 16 15 14 13 12 11 XR SE X 愛心 保護殼 軟殼 蘋果</t>
        </is>
      </c>
      <c r="C2236">
        <f>IMAGE("https://cf.shopee.tw/file/tw-11134207-7r98y-lxnvw5ldv02u48_tn")</f>
        <v/>
      </c>
      <c r="D2236" t="inlineStr">
        <is>
          <t>蝴蝶結愛心 粉色,11</t>
        </is>
      </c>
      <c r="E2236" t="inlineStr">
        <is>
          <t>236494833083</t>
        </is>
      </c>
      <c r="F2236">
        <f>IMAGE("https://cf.shopee.tw/file/tw-11134207-7r98w-lx3i7nrve33kdc_tn")</f>
        <v/>
      </c>
    </row>
    <row r="2237">
      <c r="A2237" t="inlineStr">
        <is>
          <t>28504078653</t>
        </is>
      </c>
      <c r="B2237" t="inlineStr">
        <is>
          <t>隔日到貨🔥 iPhone 手機殼 17 16 15 14 13 12 11 XR SE X 愛心 保護殼 軟殼 蘋果</t>
        </is>
      </c>
      <c r="C2237">
        <f>IMAGE("https://cf.shopee.tw/file/tw-11134207-7r98y-lxnvw5ldv02u48_tn")</f>
        <v/>
      </c>
      <c r="D2237" t="inlineStr">
        <is>
          <t>蝴蝶結愛心 粉色,11 Pro Max</t>
        </is>
      </c>
      <c r="E2237" t="inlineStr">
        <is>
          <t>236494833084</t>
        </is>
      </c>
      <c r="F2237">
        <f>IMAGE("https://cf.shopee.tw/file/tw-11134207-7r98w-lx3i7nrve33kdc_tn")</f>
        <v/>
      </c>
    </row>
    <row r="2238">
      <c r="A2238" t="inlineStr">
        <is>
          <t>28504078653</t>
        </is>
      </c>
      <c r="B2238" t="inlineStr">
        <is>
          <t>隔日到貨🔥 iPhone 手機殼 17 16 15 14 13 12 11 XR SE X 愛心 保護殼 軟殼 蘋果</t>
        </is>
      </c>
      <c r="C2238">
        <f>IMAGE("https://cf.shopee.tw/file/tw-11134207-7r98y-lxnvw5ldv02u48_tn")</f>
        <v/>
      </c>
      <c r="D2238" t="inlineStr">
        <is>
          <t>蝴蝶結愛心 粉色,12 / 12 Pro</t>
        </is>
      </c>
      <c r="E2238" t="inlineStr">
        <is>
          <t>236494833085</t>
        </is>
      </c>
      <c r="F2238">
        <f>IMAGE("https://cf.shopee.tw/file/tw-11134207-7r98w-lx3i7nrve33kdc_tn")</f>
        <v/>
      </c>
    </row>
    <row r="2239">
      <c r="A2239" t="inlineStr">
        <is>
          <t>28504078653</t>
        </is>
      </c>
      <c r="B2239" t="inlineStr">
        <is>
          <t>隔日到貨🔥 iPhone 手機殼 17 16 15 14 13 12 11 XR SE X 愛心 保護殼 軟殼 蘋果</t>
        </is>
      </c>
      <c r="C2239">
        <f>IMAGE("https://cf.shopee.tw/file/tw-11134207-7r98y-lxnvw5ldv02u48_tn")</f>
        <v/>
      </c>
      <c r="D2239" t="inlineStr">
        <is>
          <t>蝴蝶結愛心 粉色,12 Pro Max</t>
        </is>
      </c>
      <c r="E2239" t="inlineStr">
        <is>
          <t>236494833086</t>
        </is>
      </c>
      <c r="F2239">
        <f>IMAGE("https://cf.shopee.tw/file/tw-11134207-7r98w-lx3i7nrve33kdc_tn")</f>
        <v/>
      </c>
    </row>
    <row r="2240">
      <c r="A2240" t="inlineStr">
        <is>
          <t>28504078653</t>
        </is>
      </c>
      <c r="B2240" t="inlineStr">
        <is>
          <t>隔日到貨🔥 iPhone 手機殼 17 16 15 14 13 12 11 XR SE X 愛心 保護殼 軟殼 蘋果</t>
        </is>
      </c>
      <c r="C2240">
        <f>IMAGE("https://cf.shopee.tw/file/tw-11134207-7r98y-lxnvw5ldv02u48_tn")</f>
        <v/>
      </c>
      <c r="D2240" t="inlineStr">
        <is>
          <t>蝴蝶結愛心 粉色,13 / 14</t>
        </is>
      </c>
      <c r="E2240" t="inlineStr">
        <is>
          <t>236494833087</t>
        </is>
      </c>
      <c r="F2240">
        <f>IMAGE("https://cf.shopee.tw/file/tw-11134207-7r98w-lx3i7nrve33kdc_tn")</f>
        <v/>
      </c>
    </row>
    <row r="2241">
      <c r="A2241" t="inlineStr">
        <is>
          <t>28504078653</t>
        </is>
      </c>
      <c r="B2241" t="inlineStr">
        <is>
          <t>隔日到貨🔥 iPhone 手機殼 17 16 15 14 13 12 11 XR SE X 愛心 保護殼 軟殼 蘋果</t>
        </is>
      </c>
      <c r="C2241">
        <f>IMAGE("https://cf.shopee.tw/file/tw-11134207-7r98y-lxnvw5ldv02u48_tn")</f>
        <v/>
      </c>
      <c r="D2241" t="inlineStr">
        <is>
          <t>蝴蝶結愛心 粉色,13 Pro</t>
        </is>
      </c>
      <c r="E2241" t="inlineStr">
        <is>
          <t>236494833088</t>
        </is>
      </c>
      <c r="F2241">
        <f>IMAGE("https://cf.shopee.tw/file/tw-11134207-7r98w-lx3i7nrve33kdc_tn")</f>
        <v/>
      </c>
    </row>
    <row r="2242">
      <c r="A2242" t="inlineStr">
        <is>
          <t>28504078653</t>
        </is>
      </c>
      <c r="B2242" t="inlineStr">
        <is>
          <t>隔日到貨🔥 iPhone 手機殼 17 16 15 14 13 12 11 XR SE X 愛心 保護殼 軟殼 蘋果</t>
        </is>
      </c>
      <c r="C2242">
        <f>IMAGE("https://cf.shopee.tw/file/tw-11134207-7r98y-lxnvw5ldv02u48_tn")</f>
        <v/>
      </c>
      <c r="D2242" t="inlineStr">
        <is>
          <t>蝴蝶結愛心 粉色,13 Pro Max</t>
        </is>
      </c>
      <c r="E2242" t="inlineStr"/>
      <c r="F2242">
        <f>IMAGE("https://cf.shopee.tw/file/tw-11134207-7r98w-lx3i7nrve33kdc_tn")</f>
        <v/>
      </c>
    </row>
    <row r="2243">
      <c r="A2243" t="inlineStr">
        <is>
          <t>28504078653</t>
        </is>
      </c>
      <c r="B2243" t="inlineStr">
        <is>
          <t>隔日到貨🔥 iPhone 手機殼 17 16 15 14 13 12 11 XR SE X 愛心 保護殼 軟殼 蘋果</t>
        </is>
      </c>
      <c r="C2243">
        <f>IMAGE("https://cf.shopee.tw/file/tw-11134207-7r98y-lxnvw5ldv02u48_tn")</f>
        <v/>
      </c>
      <c r="D2243" t="inlineStr">
        <is>
          <t>蝴蝶結愛心 粉色,14 Plus</t>
        </is>
      </c>
      <c r="E2243" t="inlineStr">
        <is>
          <t>236494833091</t>
        </is>
      </c>
      <c r="F2243">
        <f>IMAGE("https://cf.shopee.tw/file/tw-11134207-7r98w-lx3i7nrve33kdc_tn")</f>
        <v/>
      </c>
    </row>
    <row r="2244">
      <c r="A2244" t="inlineStr">
        <is>
          <t>28504078653</t>
        </is>
      </c>
      <c r="B2244" t="inlineStr">
        <is>
          <t>隔日到貨🔥 iPhone 手機殼 17 16 15 14 13 12 11 XR SE X 愛心 保護殼 軟殼 蘋果</t>
        </is>
      </c>
      <c r="C2244">
        <f>IMAGE("https://cf.shopee.tw/file/tw-11134207-7r98y-lxnvw5ldv02u48_tn")</f>
        <v/>
      </c>
      <c r="D2244" t="inlineStr">
        <is>
          <t>蝴蝶結愛心 粉色,14 Pro</t>
        </is>
      </c>
      <c r="E2244" t="inlineStr">
        <is>
          <t>236494833092</t>
        </is>
      </c>
      <c r="F2244">
        <f>IMAGE("https://cf.shopee.tw/file/tw-11134207-7r98w-lx3i7nrve33kdc_tn")</f>
        <v/>
      </c>
    </row>
    <row r="2245">
      <c r="A2245" t="inlineStr">
        <is>
          <t>28504078653</t>
        </is>
      </c>
      <c r="B2245" t="inlineStr">
        <is>
          <t>隔日到貨🔥 iPhone 手機殼 17 16 15 14 13 12 11 XR SE X 愛心 保護殼 軟殼 蘋果</t>
        </is>
      </c>
      <c r="C2245">
        <f>IMAGE("https://cf.shopee.tw/file/tw-11134207-7r98y-lxnvw5ldv02u48_tn")</f>
        <v/>
      </c>
      <c r="D2245" t="inlineStr">
        <is>
          <t>蝴蝶結愛心 粉色,14 Pro Max</t>
        </is>
      </c>
      <c r="E2245" t="inlineStr">
        <is>
          <t>236494833093</t>
        </is>
      </c>
      <c r="F2245">
        <f>IMAGE("https://cf.shopee.tw/file/tw-11134207-7r98w-lx3i7nrve33kdc_tn")</f>
        <v/>
      </c>
    </row>
    <row r="2246">
      <c r="A2246" t="inlineStr">
        <is>
          <t>28504078653</t>
        </is>
      </c>
      <c r="B2246" t="inlineStr">
        <is>
          <t>隔日到貨🔥 iPhone 手機殼 17 16 15 14 13 12 11 XR SE X 愛心 保護殼 軟殼 蘋果</t>
        </is>
      </c>
      <c r="C2246">
        <f>IMAGE("https://cf.shopee.tw/file/tw-11134207-7r98y-lxnvw5ldv02u48_tn")</f>
        <v/>
      </c>
      <c r="D2246" t="inlineStr">
        <is>
          <t>蝴蝶結愛心 粉色,15</t>
        </is>
      </c>
      <c r="E2246" t="inlineStr"/>
      <c r="F2246">
        <f>IMAGE("https://cf.shopee.tw/file/tw-11134207-7r98w-lx3i7nrve33kdc_tn")</f>
        <v/>
      </c>
    </row>
    <row r="2247">
      <c r="A2247" t="inlineStr">
        <is>
          <t>28504078653</t>
        </is>
      </c>
      <c r="B2247" t="inlineStr">
        <is>
          <t>隔日到貨🔥 iPhone 手機殼 17 16 15 14 13 12 11 XR SE X 愛心 保護殼 軟殼 蘋果</t>
        </is>
      </c>
      <c r="C2247">
        <f>IMAGE("https://cf.shopee.tw/file/tw-11134207-7r98y-lxnvw5ldv02u48_tn")</f>
        <v/>
      </c>
      <c r="D2247" t="inlineStr">
        <is>
          <t>蝴蝶結愛心 粉色,15 Plus</t>
        </is>
      </c>
      <c r="E2247" t="inlineStr">
        <is>
          <t>236494833095</t>
        </is>
      </c>
      <c r="F2247">
        <f>IMAGE("https://cf.shopee.tw/file/tw-11134207-7r98w-lx3i7nrve33kdc_tn")</f>
        <v/>
      </c>
    </row>
    <row r="2248">
      <c r="A2248" t="inlineStr">
        <is>
          <t>28504078653</t>
        </is>
      </c>
      <c r="B2248" t="inlineStr">
        <is>
          <t>隔日到貨🔥 iPhone 手機殼 17 16 15 14 13 12 11 XR SE X 愛心 保護殼 軟殼 蘋果</t>
        </is>
      </c>
      <c r="C2248">
        <f>IMAGE("https://cf.shopee.tw/file/tw-11134207-7r98y-lxnvw5ldv02u48_tn")</f>
        <v/>
      </c>
      <c r="D2248" t="inlineStr">
        <is>
          <t>蝴蝶結愛心 粉色,15 Pro</t>
        </is>
      </c>
      <c r="E2248" t="inlineStr">
        <is>
          <t>236494833096</t>
        </is>
      </c>
      <c r="F2248">
        <f>IMAGE("https://cf.shopee.tw/file/tw-11134207-7r98w-lx3i7nrve33kdc_tn")</f>
        <v/>
      </c>
    </row>
    <row r="2249">
      <c r="A2249" t="inlineStr">
        <is>
          <t>28504078653</t>
        </is>
      </c>
      <c r="B2249" t="inlineStr">
        <is>
          <t>隔日到貨🔥 iPhone 手機殼 17 16 15 14 13 12 11 XR SE X 愛心 保護殼 軟殼 蘋果</t>
        </is>
      </c>
      <c r="C2249">
        <f>IMAGE("https://cf.shopee.tw/file/tw-11134207-7r98y-lxnvw5ldv02u48_tn")</f>
        <v/>
      </c>
      <c r="D2249" t="inlineStr">
        <is>
          <t>蝴蝶結愛心 粉色,15 Pro Max</t>
        </is>
      </c>
      <c r="E2249" t="inlineStr">
        <is>
          <t>236494833097</t>
        </is>
      </c>
      <c r="F2249">
        <f>IMAGE("https://cf.shopee.tw/file/tw-11134207-7r98w-lx3i7nrve33kdc_tn")</f>
        <v/>
      </c>
    </row>
    <row r="2250">
      <c r="A2250" t="inlineStr">
        <is>
          <t>28504078653</t>
        </is>
      </c>
      <c r="B2250" t="inlineStr">
        <is>
          <t>隔日到貨🔥 iPhone 手機殼 17 16 15 14 13 12 11 XR SE X 愛心 保護殼 軟殼 蘋果</t>
        </is>
      </c>
      <c r="C2250">
        <f>IMAGE("https://cf.shopee.tw/file/tw-11134207-7r98y-lxnvw5ldv02u48_tn")</f>
        <v/>
      </c>
      <c r="D2250" t="inlineStr">
        <is>
          <t>蝴蝶結愛心 粉色,16</t>
        </is>
      </c>
      <c r="E2250" t="inlineStr">
        <is>
          <t>207816491874</t>
        </is>
      </c>
      <c r="F2250">
        <f>IMAGE("https://cf.shopee.tw/file/tw-11134207-7r98w-lx3i7nrve33kdc_tn")</f>
        <v/>
      </c>
    </row>
    <row r="2251">
      <c r="A2251" t="inlineStr">
        <is>
          <t>28504078653</t>
        </is>
      </c>
      <c r="B2251" t="inlineStr">
        <is>
          <t>隔日到貨🔥 iPhone 手機殼 17 16 15 14 13 12 11 XR SE X 愛心 保護殼 軟殼 蘋果</t>
        </is>
      </c>
      <c r="C2251">
        <f>IMAGE("https://cf.shopee.tw/file/tw-11134207-7r98y-lxnvw5ldv02u48_tn")</f>
        <v/>
      </c>
      <c r="D2251" t="inlineStr">
        <is>
          <t>蝴蝶結愛心 粉色,16 Pro</t>
        </is>
      </c>
      <c r="E2251" t="inlineStr">
        <is>
          <t>207816491875</t>
        </is>
      </c>
      <c r="F2251">
        <f>IMAGE("https://cf.shopee.tw/file/tw-11134207-7r98w-lx3i7nrve33kdc_tn")</f>
        <v/>
      </c>
    </row>
    <row r="2252">
      <c r="A2252" t="inlineStr">
        <is>
          <t>28504078653</t>
        </is>
      </c>
      <c r="B2252" t="inlineStr">
        <is>
          <t>隔日到貨🔥 iPhone 手機殼 17 16 15 14 13 12 11 XR SE X 愛心 保護殼 軟殼 蘋果</t>
        </is>
      </c>
      <c r="C2252">
        <f>IMAGE("https://cf.shopee.tw/file/tw-11134207-7r98y-lxnvw5ldv02u48_tn")</f>
        <v/>
      </c>
      <c r="D2252" t="inlineStr">
        <is>
          <t>蝴蝶結愛心 粉色,16 Plus</t>
        </is>
      </c>
      <c r="E2252" t="inlineStr"/>
      <c r="F2252">
        <f>IMAGE("https://cf.shopee.tw/file/tw-11134207-7r98w-lx3i7nrve33kdc_tn")</f>
        <v/>
      </c>
    </row>
    <row r="2253">
      <c r="A2253" t="inlineStr">
        <is>
          <t>28504078653</t>
        </is>
      </c>
      <c r="B2253" t="inlineStr">
        <is>
          <t>隔日到貨🔥 iPhone 手機殼 17 16 15 14 13 12 11 XR SE X 愛心 保護殼 軟殼 蘋果</t>
        </is>
      </c>
      <c r="C2253">
        <f>IMAGE("https://cf.shopee.tw/file/tw-11134207-7r98y-lxnvw5ldv02u48_tn")</f>
        <v/>
      </c>
      <c r="D2253" t="inlineStr">
        <is>
          <t>蝴蝶結愛心 粉色,16 Pro Max</t>
        </is>
      </c>
      <c r="E2253" t="inlineStr">
        <is>
          <t>207816491877</t>
        </is>
      </c>
      <c r="F2253">
        <f>IMAGE("https://cf.shopee.tw/file/tw-11134207-7r98w-lx3i7nrve33kdc_tn")</f>
        <v/>
      </c>
    </row>
    <row r="2254">
      <c r="A2254" t="inlineStr">
        <is>
          <t>28504078653</t>
        </is>
      </c>
      <c r="B2254" t="inlineStr">
        <is>
          <t>隔日到貨🔥 iPhone 手機殼 17 16 15 14 13 12 11 XR SE X 愛心 保護殼 軟殼 蘋果</t>
        </is>
      </c>
      <c r="C2254">
        <f>IMAGE("https://cf.shopee.tw/file/tw-11134207-7r98y-lxnvw5ldv02u48_tn")</f>
        <v/>
      </c>
      <c r="D2254" t="inlineStr">
        <is>
          <t>蝴蝶結愛心 粉色,17</t>
        </is>
      </c>
      <c r="E2254" t="inlineStr">
        <is>
          <t>188714965303</t>
        </is>
      </c>
      <c r="F2254">
        <f>IMAGE("https://cf.shopee.tw/file/tw-11134207-7r98w-lx3i7nrve33kdc_tn")</f>
        <v/>
      </c>
    </row>
    <row r="2255">
      <c r="A2255" t="inlineStr">
        <is>
          <t>28504078653</t>
        </is>
      </c>
      <c r="B2255" t="inlineStr">
        <is>
          <t>隔日到貨🔥 iPhone 手機殼 17 16 15 14 13 12 11 XR SE X 愛心 保護殼 軟殼 蘋果</t>
        </is>
      </c>
      <c r="C2255">
        <f>IMAGE("https://cf.shopee.tw/file/tw-11134207-7r98y-lxnvw5ldv02u48_tn")</f>
        <v/>
      </c>
      <c r="D2255" t="inlineStr">
        <is>
          <t>蝴蝶結愛心 粉色,17 Pro</t>
        </is>
      </c>
      <c r="E2255" t="inlineStr">
        <is>
          <t>188714965304</t>
        </is>
      </c>
      <c r="F2255">
        <f>IMAGE("https://cf.shopee.tw/file/tw-11134207-7r98w-lx3i7nrve33kdc_tn")</f>
        <v/>
      </c>
    </row>
    <row r="2256">
      <c r="A2256" t="inlineStr">
        <is>
          <t>28504078653</t>
        </is>
      </c>
      <c r="B2256" t="inlineStr">
        <is>
          <t>隔日到貨🔥 iPhone 手機殼 17 16 15 14 13 12 11 XR SE X 愛心 保護殼 軟殼 蘋果</t>
        </is>
      </c>
      <c r="C2256">
        <f>IMAGE("https://cf.shopee.tw/file/tw-11134207-7r98y-lxnvw5ldv02u48_tn")</f>
        <v/>
      </c>
      <c r="D2256" t="inlineStr">
        <is>
          <t>蝴蝶結愛心 粉色,17 pro Max</t>
        </is>
      </c>
      <c r="E2256" t="inlineStr"/>
      <c r="F2256">
        <f>IMAGE("https://cf.shopee.tw/file/tw-11134207-7r98w-lx3i7nrve33kdc_tn")</f>
        <v/>
      </c>
    </row>
    <row r="2257">
      <c r="A2257" t="inlineStr">
        <is>
          <t>25252473631</t>
        </is>
      </c>
      <c r="B2257" t="inlineStr">
        <is>
          <t>隔日到貨🔥 格紋小方包 化妝包 B20 收納包 便攜 洗漱包 包包 日韓 少女 小包</t>
        </is>
      </c>
      <c r="C2257">
        <f>IMAGE("https://cf.shopee.tw/file/tw-11134207-7r98w-los5nat0z6rcb8_tn")</f>
        <v/>
      </c>
      <c r="D2257" t="inlineStr">
        <is>
          <t>藍格子</t>
        </is>
      </c>
      <c r="E2257" t="inlineStr">
        <is>
          <t>204787948796</t>
        </is>
      </c>
      <c r="F2257">
        <f>IMAGE("https://cf.shopee.tw/file/tw-11134207-7r991-los5q3fbqe4840_tn")</f>
        <v/>
      </c>
    </row>
    <row r="2258">
      <c r="A2258" t="inlineStr">
        <is>
          <t>25252473631</t>
        </is>
      </c>
      <c r="B2258" t="inlineStr">
        <is>
          <t>隔日到貨🔥 格紋小方包 化妝包 B20 收納包 便攜 洗漱包 包包 日韓 少女 小包</t>
        </is>
      </c>
      <c r="C2258">
        <f>IMAGE("https://cf.shopee.tw/file/tw-11134207-7r98w-los5nat0z6rcb8_tn")</f>
        <v/>
      </c>
      <c r="D2258" t="inlineStr">
        <is>
          <t>黃格子</t>
        </is>
      </c>
      <c r="E2258" t="inlineStr">
        <is>
          <t>204787948797</t>
        </is>
      </c>
      <c r="F2258">
        <f>IMAGE("https://cf.shopee.tw/file/tw-11134207-7r98u-los5q3err7co68_tn")</f>
        <v/>
      </c>
    </row>
    <row r="2259">
      <c r="A2259" t="inlineStr">
        <is>
          <t>25252473631</t>
        </is>
      </c>
      <c r="B2259" t="inlineStr">
        <is>
          <t>隔日到貨🔥 格紋小方包 化妝包 B20 收納包 便攜 洗漱包 包包 日韓 少女 小包</t>
        </is>
      </c>
      <c r="C2259">
        <f>IMAGE("https://cf.shopee.tw/file/tw-11134207-7r98w-los5nat0z6rcb8_tn")</f>
        <v/>
      </c>
      <c r="D2259" t="inlineStr">
        <is>
          <t>綠格子</t>
        </is>
      </c>
      <c r="E2259" t="inlineStr">
        <is>
          <t>204787948798</t>
        </is>
      </c>
      <c r="F2259">
        <f>IMAGE("https://cf.shopee.tw/file/tw-11134207-7r98t-los5q3jhkauw85_tn")</f>
        <v/>
      </c>
    </row>
    <row r="2260">
      <c r="A2260" t="inlineStr">
        <is>
          <t>24059230506</t>
        </is>
      </c>
      <c r="B2260" t="inlineStr">
        <is>
          <t>隔日到貨🔥 iPhone 手機殼 17 16 15 14 13 12 11 XS XR SE X 保護殼 硬殼 蘋果</t>
        </is>
      </c>
      <c r="C2260">
        <f>IMAGE("https://cf.shopee.tw/file/tw-11134207-7r990-lqnk3zs1pzwicc_tn")</f>
        <v/>
      </c>
      <c r="D2260" t="inlineStr">
        <is>
          <t>菲林 奶凶小貓,7/8/SE2/SE3</t>
        </is>
      </c>
      <c r="E2260" t="inlineStr">
        <is>
          <t>178039789148</t>
        </is>
      </c>
      <c r="F2260">
        <f>IMAGE("https://cf.shopee.tw/file/tw-11134207-7r990-lqnk3zs1regy43_tn")</f>
        <v/>
      </c>
    </row>
    <row r="2261">
      <c r="A2261" t="inlineStr">
        <is>
          <t>24059230506</t>
        </is>
      </c>
      <c r="B2261" t="inlineStr">
        <is>
          <t>隔日到貨🔥 iPhone 手機殼 17 16 15 14 13 12 11 XS XR SE X 保護殼 硬殼 蘋果</t>
        </is>
      </c>
      <c r="C2261">
        <f>IMAGE("https://cf.shopee.tw/file/tw-11134207-7r990-lqnk3zs1pzwicc_tn")</f>
        <v/>
      </c>
      <c r="D2261" t="inlineStr">
        <is>
          <t>菲林 奶凶小貓,7Plus/8Plus</t>
        </is>
      </c>
      <c r="E2261" t="inlineStr">
        <is>
          <t>178039789159</t>
        </is>
      </c>
      <c r="F2261">
        <f>IMAGE("https://cf.shopee.tw/file/tw-11134207-7r990-lqnk3zs1regy43_tn")</f>
        <v/>
      </c>
    </row>
    <row r="2262">
      <c r="A2262" t="inlineStr">
        <is>
          <t>24059230506</t>
        </is>
      </c>
      <c r="B2262" t="inlineStr">
        <is>
          <t>隔日到貨🔥 iPhone 手機殼 17 16 15 14 13 12 11 XS XR SE X 保護殼 硬殼 蘋果</t>
        </is>
      </c>
      <c r="C2262">
        <f>IMAGE("https://cf.shopee.tw/file/tw-11134207-7r990-lqnk3zs1pzwicc_tn")</f>
        <v/>
      </c>
      <c r="D2262" t="inlineStr">
        <is>
          <t>菲林 奶凶小貓,X/XS</t>
        </is>
      </c>
      <c r="E2262" t="inlineStr">
        <is>
          <t>178039789160</t>
        </is>
      </c>
      <c r="F2262">
        <f>IMAGE("https://cf.shopee.tw/file/tw-11134207-7r990-lqnk3zs1regy43_tn")</f>
        <v/>
      </c>
    </row>
    <row r="2263">
      <c r="A2263" t="inlineStr">
        <is>
          <t>24059230506</t>
        </is>
      </c>
      <c r="B2263" t="inlineStr">
        <is>
          <t>隔日到貨🔥 iPhone 手機殼 17 16 15 14 13 12 11 XS XR SE X 保護殼 硬殼 蘋果</t>
        </is>
      </c>
      <c r="C2263">
        <f>IMAGE("https://cf.shopee.tw/file/tw-11134207-7r990-lqnk3zs1pzwicc_tn")</f>
        <v/>
      </c>
      <c r="D2263" t="inlineStr">
        <is>
          <t>菲林 奶凶小貓,XR</t>
        </is>
      </c>
      <c r="E2263" t="inlineStr">
        <is>
          <t>178039789161</t>
        </is>
      </c>
      <c r="F2263">
        <f>IMAGE("https://cf.shopee.tw/file/tw-11134207-7r990-lqnk3zs1regy43_tn")</f>
        <v/>
      </c>
    </row>
    <row r="2264">
      <c r="A2264" t="inlineStr">
        <is>
          <t>24059230506</t>
        </is>
      </c>
      <c r="B2264" t="inlineStr">
        <is>
          <t>隔日到貨🔥 iPhone 手機殼 17 16 15 14 13 12 11 XS XR SE X 保護殼 硬殼 蘋果</t>
        </is>
      </c>
      <c r="C2264">
        <f>IMAGE("https://cf.shopee.tw/file/tw-11134207-7r990-lqnk3zs1pzwicc_tn")</f>
        <v/>
      </c>
      <c r="D2264" t="inlineStr">
        <is>
          <t>菲林 奶凶小貓,XS Max</t>
        </is>
      </c>
      <c r="E2264" t="inlineStr">
        <is>
          <t>178039789162</t>
        </is>
      </c>
      <c r="F2264">
        <f>IMAGE("https://cf.shopee.tw/file/tw-11134207-7r990-lqnk3zs1regy43_tn")</f>
        <v/>
      </c>
    </row>
    <row r="2265">
      <c r="A2265" t="inlineStr">
        <is>
          <t>24059230506</t>
        </is>
      </c>
      <c r="B2265" t="inlineStr">
        <is>
          <t>隔日到貨🔥 iPhone 手機殼 17 16 15 14 13 12 11 XS XR SE X 保護殼 硬殼 蘋果</t>
        </is>
      </c>
      <c r="C2265">
        <f>IMAGE("https://cf.shopee.tw/file/tw-11134207-7r990-lqnk3zs1pzwicc_tn")</f>
        <v/>
      </c>
      <c r="D2265" t="inlineStr">
        <is>
          <t>菲林 奶凶小貓,11</t>
        </is>
      </c>
      <c r="E2265" t="inlineStr">
        <is>
          <t>178039789163</t>
        </is>
      </c>
      <c r="F2265">
        <f>IMAGE("https://cf.shopee.tw/file/tw-11134207-7r990-lqnk3zs1regy43_tn")</f>
        <v/>
      </c>
    </row>
    <row r="2266">
      <c r="A2266" t="inlineStr">
        <is>
          <t>24059230506</t>
        </is>
      </c>
      <c r="B2266" t="inlineStr">
        <is>
          <t>隔日到貨🔥 iPhone 手機殼 17 16 15 14 13 12 11 XS XR SE X 保護殼 硬殼 蘋果</t>
        </is>
      </c>
      <c r="C2266">
        <f>IMAGE("https://cf.shopee.tw/file/tw-11134207-7r990-lqnk3zs1pzwicc_tn")</f>
        <v/>
      </c>
      <c r="D2266" t="inlineStr">
        <is>
          <t>菲林 奶凶小貓,11 pro</t>
        </is>
      </c>
      <c r="E2266" t="inlineStr">
        <is>
          <t>178039789164</t>
        </is>
      </c>
      <c r="F2266">
        <f>IMAGE("https://cf.shopee.tw/file/tw-11134207-7r990-lqnk3zs1regy43_tn")</f>
        <v/>
      </c>
    </row>
    <row r="2267">
      <c r="A2267" t="inlineStr">
        <is>
          <t>24059230506</t>
        </is>
      </c>
      <c r="B2267" t="inlineStr">
        <is>
          <t>隔日到貨🔥 iPhone 手機殼 17 16 15 14 13 12 11 XS XR SE X 保護殼 硬殼 蘋果</t>
        </is>
      </c>
      <c r="C2267">
        <f>IMAGE("https://cf.shopee.tw/file/tw-11134207-7r990-lqnk3zs1pzwicc_tn")</f>
        <v/>
      </c>
      <c r="D2267" t="inlineStr">
        <is>
          <t>菲林 奶凶小貓,11 pro Max</t>
        </is>
      </c>
      <c r="E2267" t="inlineStr">
        <is>
          <t>178039789165</t>
        </is>
      </c>
      <c r="F2267">
        <f>IMAGE("https://cf.shopee.tw/file/tw-11134207-7r990-lqnk3zs1regy43_tn")</f>
        <v/>
      </c>
    </row>
    <row r="2268">
      <c r="A2268" t="inlineStr">
        <is>
          <t>24059230506</t>
        </is>
      </c>
      <c r="B2268" t="inlineStr">
        <is>
          <t>隔日到貨🔥 iPhone 手機殼 17 16 15 14 13 12 11 XS XR SE X 保護殼 硬殼 蘋果</t>
        </is>
      </c>
      <c r="C2268">
        <f>IMAGE("https://cf.shopee.tw/file/tw-11134207-7r990-lqnk3zs1pzwicc_tn")</f>
        <v/>
      </c>
      <c r="D2268" t="inlineStr">
        <is>
          <t>菲林 奶凶小貓,12/12pro</t>
        </is>
      </c>
      <c r="E2268" t="inlineStr">
        <is>
          <t>178039789166</t>
        </is>
      </c>
      <c r="F2268">
        <f>IMAGE("https://cf.shopee.tw/file/tw-11134207-7r990-lqnk3zs1regy43_tn")</f>
        <v/>
      </c>
    </row>
    <row r="2269">
      <c r="A2269" t="inlineStr">
        <is>
          <t>24059230506</t>
        </is>
      </c>
      <c r="B2269" t="inlineStr">
        <is>
          <t>隔日到貨🔥 iPhone 手機殼 17 16 15 14 13 12 11 XS XR SE X 保護殼 硬殼 蘋果</t>
        </is>
      </c>
      <c r="C2269">
        <f>IMAGE("https://cf.shopee.tw/file/tw-11134207-7r990-lqnk3zs1pzwicc_tn")</f>
        <v/>
      </c>
      <c r="D2269" t="inlineStr">
        <is>
          <t>菲林 奶凶小貓,12 pro Max</t>
        </is>
      </c>
      <c r="E2269" t="inlineStr">
        <is>
          <t>178039789168</t>
        </is>
      </c>
      <c r="F2269">
        <f>IMAGE("https://cf.shopee.tw/file/tw-11134207-7r990-lqnk3zs1regy43_tn")</f>
        <v/>
      </c>
    </row>
    <row r="2270">
      <c r="A2270" t="inlineStr">
        <is>
          <t>24059230506</t>
        </is>
      </c>
      <c r="B2270" t="inlineStr">
        <is>
          <t>隔日到貨🔥 iPhone 手機殼 17 16 15 14 13 12 11 XS XR SE X 保護殼 硬殼 蘋果</t>
        </is>
      </c>
      <c r="C2270">
        <f>IMAGE("https://cf.shopee.tw/file/tw-11134207-7r990-lqnk3zs1pzwicc_tn")</f>
        <v/>
      </c>
      <c r="D2270" t="inlineStr">
        <is>
          <t>菲林 奶凶小貓,13</t>
        </is>
      </c>
      <c r="E2270" t="inlineStr">
        <is>
          <t>178039789169</t>
        </is>
      </c>
      <c r="F2270">
        <f>IMAGE("https://cf.shopee.tw/file/tw-11134207-7r990-lqnk3zs1regy43_tn")</f>
        <v/>
      </c>
    </row>
    <row r="2271">
      <c r="A2271" t="inlineStr">
        <is>
          <t>24059230506</t>
        </is>
      </c>
      <c r="B2271" t="inlineStr">
        <is>
          <t>隔日到貨🔥 iPhone 手機殼 17 16 15 14 13 12 11 XS XR SE X 保護殼 硬殼 蘋果</t>
        </is>
      </c>
      <c r="C2271">
        <f>IMAGE("https://cf.shopee.tw/file/tw-11134207-7r990-lqnk3zs1pzwicc_tn")</f>
        <v/>
      </c>
      <c r="D2271" t="inlineStr">
        <is>
          <t>菲林 奶凶小貓,13 pro</t>
        </is>
      </c>
      <c r="E2271" t="inlineStr">
        <is>
          <t>178039789170</t>
        </is>
      </c>
      <c r="F2271">
        <f>IMAGE("https://cf.shopee.tw/file/tw-11134207-7r990-lqnk3zs1regy43_tn")</f>
        <v/>
      </c>
    </row>
    <row r="2272">
      <c r="A2272" t="inlineStr">
        <is>
          <t>24059230506</t>
        </is>
      </c>
      <c r="B2272" t="inlineStr">
        <is>
          <t>隔日到貨🔥 iPhone 手機殼 17 16 15 14 13 12 11 XS XR SE X 保護殼 硬殼 蘋果</t>
        </is>
      </c>
      <c r="C2272">
        <f>IMAGE("https://cf.shopee.tw/file/tw-11134207-7r990-lqnk3zs1pzwicc_tn")</f>
        <v/>
      </c>
      <c r="D2272" t="inlineStr">
        <is>
          <t>菲林 奶凶小貓,13 pro Max</t>
        </is>
      </c>
      <c r="E2272" t="inlineStr"/>
      <c r="F2272">
        <f>IMAGE("https://cf.shopee.tw/file/tw-11134207-7r990-lqnk3zs1regy43_tn")</f>
        <v/>
      </c>
    </row>
    <row r="2273">
      <c r="A2273" t="inlineStr">
        <is>
          <t>24059230506</t>
        </is>
      </c>
      <c r="B2273" t="inlineStr">
        <is>
          <t>隔日到貨🔥 iPhone 手機殼 17 16 15 14 13 12 11 XS XR SE X 保護殼 硬殼 蘋果</t>
        </is>
      </c>
      <c r="C2273">
        <f>IMAGE("https://cf.shopee.tw/file/tw-11134207-7r990-lqnk3zs1pzwicc_tn")</f>
        <v/>
      </c>
      <c r="D2273" t="inlineStr">
        <is>
          <t>菲林 奶凶小貓,14</t>
        </is>
      </c>
      <c r="E2273" t="inlineStr"/>
      <c r="F2273">
        <f>IMAGE("https://cf.shopee.tw/file/tw-11134207-7r990-lqnk3zs1regy43_tn")</f>
        <v/>
      </c>
    </row>
    <row r="2274">
      <c r="A2274" t="inlineStr">
        <is>
          <t>24059230506</t>
        </is>
      </c>
      <c r="B2274" t="inlineStr">
        <is>
          <t>隔日到貨🔥 iPhone 手機殼 17 16 15 14 13 12 11 XS XR SE X 保護殼 硬殼 蘋果</t>
        </is>
      </c>
      <c r="C2274">
        <f>IMAGE("https://cf.shopee.tw/file/tw-11134207-7r990-lqnk3zs1pzwicc_tn")</f>
        <v/>
      </c>
      <c r="D2274" t="inlineStr">
        <is>
          <t>菲林 奶凶小貓,14 pro</t>
        </is>
      </c>
      <c r="E2274" t="inlineStr">
        <is>
          <t>178039789173</t>
        </is>
      </c>
      <c r="F2274">
        <f>IMAGE("https://cf.shopee.tw/file/tw-11134207-7r990-lqnk3zs1regy43_tn")</f>
        <v/>
      </c>
    </row>
    <row r="2275">
      <c r="A2275" t="inlineStr">
        <is>
          <t>24059230506</t>
        </is>
      </c>
      <c r="B2275" t="inlineStr">
        <is>
          <t>隔日到貨🔥 iPhone 手機殼 17 16 15 14 13 12 11 XS XR SE X 保護殼 硬殼 蘋果</t>
        </is>
      </c>
      <c r="C2275">
        <f>IMAGE("https://cf.shopee.tw/file/tw-11134207-7r990-lqnk3zs1pzwicc_tn")</f>
        <v/>
      </c>
      <c r="D2275" t="inlineStr">
        <is>
          <t>菲林 奶凶小貓,14 pro Max</t>
        </is>
      </c>
      <c r="E2275" t="inlineStr">
        <is>
          <t>178039789174</t>
        </is>
      </c>
      <c r="F2275">
        <f>IMAGE("https://cf.shopee.tw/file/tw-11134207-7r990-lqnk3zs1regy43_tn")</f>
        <v/>
      </c>
    </row>
    <row r="2276">
      <c r="A2276" t="inlineStr">
        <is>
          <t>24059230506</t>
        </is>
      </c>
      <c r="B2276" t="inlineStr">
        <is>
          <t>隔日到貨🔥 iPhone 手機殼 17 16 15 14 13 12 11 XS XR SE X 保護殼 硬殼 蘋果</t>
        </is>
      </c>
      <c r="C2276">
        <f>IMAGE("https://cf.shopee.tw/file/tw-11134207-7r990-lqnk3zs1pzwicc_tn")</f>
        <v/>
      </c>
      <c r="D2276" t="inlineStr">
        <is>
          <t>菲林 奶凶小貓,14 Plus</t>
        </is>
      </c>
      <c r="E2276" t="inlineStr">
        <is>
          <t>178039789175</t>
        </is>
      </c>
      <c r="F2276">
        <f>IMAGE("https://cf.shopee.tw/file/tw-11134207-7r990-lqnk3zs1regy43_tn")</f>
        <v/>
      </c>
    </row>
    <row r="2277">
      <c r="A2277" t="inlineStr">
        <is>
          <t>24059230506</t>
        </is>
      </c>
      <c r="B2277" t="inlineStr">
        <is>
          <t>隔日到貨🔥 iPhone 手機殼 17 16 15 14 13 12 11 XS XR SE X 保護殼 硬殼 蘋果</t>
        </is>
      </c>
      <c r="C2277">
        <f>IMAGE("https://cf.shopee.tw/file/tw-11134207-7r990-lqnk3zs1pzwicc_tn")</f>
        <v/>
      </c>
      <c r="D2277" t="inlineStr">
        <is>
          <t>菲林 奶凶小貓,15</t>
        </is>
      </c>
      <c r="E2277" t="inlineStr">
        <is>
          <t>178039789176</t>
        </is>
      </c>
      <c r="F2277">
        <f>IMAGE("https://cf.shopee.tw/file/tw-11134207-7r990-lqnk3zs1regy43_tn")</f>
        <v/>
      </c>
    </row>
    <row r="2278">
      <c r="A2278" t="inlineStr">
        <is>
          <t>24059230506</t>
        </is>
      </c>
      <c r="B2278" t="inlineStr">
        <is>
          <t>隔日到貨🔥 iPhone 手機殼 17 16 15 14 13 12 11 XS XR SE X 保護殼 硬殼 蘋果</t>
        </is>
      </c>
      <c r="C2278">
        <f>IMAGE("https://cf.shopee.tw/file/tw-11134207-7r990-lqnk3zs1pzwicc_tn")</f>
        <v/>
      </c>
      <c r="D2278" t="inlineStr">
        <is>
          <t>菲林 奶凶小貓,15 pro</t>
        </is>
      </c>
      <c r="E2278" t="inlineStr">
        <is>
          <t>178039789177</t>
        </is>
      </c>
      <c r="F2278">
        <f>IMAGE("https://cf.shopee.tw/file/tw-11134207-7r990-lqnk3zs1regy43_tn")</f>
        <v/>
      </c>
    </row>
    <row r="2279">
      <c r="A2279" t="inlineStr">
        <is>
          <t>24059230506</t>
        </is>
      </c>
      <c r="B2279" t="inlineStr">
        <is>
          <t>隔日到貨🔥 iPhone 手機殼 17 16 15 14 13 12 11 XS XR SE X 保護殼 硬殼 蘋果</t>
        </is>
      </c>
      <c r="C2279">
        <f>IMAGE("https://cf.shopee.tw/file/tw-11134207-7r990-lqnk3zs1pzwicc_tn")</f>
        <v/>
      </c>
      <c r="D2279" t="inlineStr">
        <is>
          <t>菲林 奶凶小貓,15 pro Max</t>
        </is>
      </c>
      <c r="E2279" t="inlineStr">
        <is>
          <t>178039789178</t>
        </is>
      </c>
      <c r="F2279">
        <f>IMAGE("https://cf.shopee.tw/file/tw-11134207-7r990-lqnk3zs1regy43_tn")</f>
        <v/>
      </c>
    </row>
    <row r="2280">
      <c r="A2280" t="inlineStr">
        <is>
          <t>24059230506</t>
        </is>
      </c>
      <c r="B2280" t="inlineStr">
        <is>
          <t>隔日到貨🔥 iPhone 手機殼 17 16 15 14 13 12 11 XS XR SE X 保護殼 硬殼 蘋果</t>
        </is>
      </c>
      <c r="C2280">
        <f>IMAGE("https://cf.shopee.tw/file/tw-11134207-7r990-lqnk3zs1pzwicc_tn")</f>
        <v/>
      </c>
      <c r="D2280" t="inlineStr">
        <is>
          <t>菲林 奶凶小貓,15 Plus</t>
        </is>
      </c>
      <c r="E2280" t="inlineStr">
        <is>
          <t>178039789179</t>
        </is>
      </c>
      <c r="F2280">
        <f>IMAGE("https://cf.shopee.tw/file/tw-11134207-7r990-lqnk3zs1regy43_tn")</f>
        <v/>
      </c>
    </row>
    <row r="2281">
      <c r="A2281" t="inlineStr">
        <is>
          <t>24059230506</t>
        </is>
      </c>
      <c r="B2281" t="inlineStr">
        <is>
          <t>隔日到貨🔥 iPhone 手機殼 17 16 15 14 13 12 11 XS XR SE X 保護殼 硬殼 蘋果</t>
        </is>
      </c>
      <c r="C2281">
        <f>IMAGE("https://cf.shopee.tw/file/tw-11134207-7r990-lqnk3zs1pzwicc_tn")</f>
        <v/>
      </c>
      <c r="D2281" t="inlineStr">
        <is>
          <t>菲林 奶凶小貓,16</t>
        </is>
      </c>
      <c r="E2281" t="inlineStr">
        <is>
          <t>158797340441</t>
        </is>
      </c>
      <c r="F2281">
        <f>IMAGE("https://cf.shopee.tw/file/tw-11134207-7r990-lqnk3zs1regy43_tn")</f>
        <v/>
      </c>
    </row>
    <row r="2282">
      <c r="A2282" t="inlineStr">
        <is>
          <t>24059230506</t>
        </is>
      </c>
      <c r="B2282" t="inlineStr">
        <is>
          <t>隔日到貨🔥 iPhone 手機殼 17 16 15 14 13 12 11 XS XR SE X 保護殼 硬殼 蘋果</t>
        </is>
      </c>
      <c r="C2282">
        <f>IMAGE("https://cf.shopee.tw/file/tw-11134207-7r990-lqnk3zs1pzwicc_tn")</f>
        <v/>
      </c>
      <c r="D2282" t="inlineStr">
        <is>
          <t>菲林 奶凶小貓,16 pro</t>
        </is>
      </c>
      <c r="E2282" t="inlineStr">
        <is>
          <t>158797340442</t>
        </is>
      </c>
      <c r="F2282">
        <f>IMAGE("https://cf.shopee.tw/file/tw-11134207-7r990-lqnk3zs1regy43_tn")</f>
        <v/>
      </c>
    </row>
    <row r="2283">
      <c r="A2283" t="inlineStr">
        <is>
          <t>24059230506</t>
        </is>
      </c>
      <c r="B2283" t="inlineStr">
        <is>
          <t>隔日到貨🔥 iPhone 手機殼 17 16 15 14 13 12 11 XS XR SE X 保護殼 硬殼 蘋果</t>
        </is>
      </c>
      <c r="C2283">
        <f>IMAGE("https://cf.shopee.tw/file/tw-11134207-7r990-lqnk3zs1pzwicc_tn")</f>
        <v/>
      </c>
      <c r="D2283" t="inlineStr">
        <is>
          <t>菲林 奶凶小貓,16 pro Max</t>
        </is>
      </c>
      <c r="E2283" t="inlineStr">
        <is>
          <t>158797340443</t>
        </is>
      </c>
      <c r="F2283">
        <f>IMAGE("https://cf.shopee.tw/file/tw-11134207-7r990-lqnk3zs1regy43_tn")</f>
        <v/>
      </c>
    </row>
    <row r="2284">
      <c r="A2284" t="inlineStr">
        <is>
          <t>24059230506</t>
        </is>
      </c>
      <c r="B2284" t="inlineStr">
        <is>
          <t>隔日到貨🔥 iPhone 手機殼 17 16 15 14 13 12 11 XS XR SE X 保護殼 硬殼 蘋果</t>
        </is>
      </c>
      <c r="C2284">
        <f>IMAGE("https://cf.shopee.tw/file/tw-11134207-7r990-lqnk3zs1pzwicc_tn")</f>
        <v/>
      </c>
      <c r="D2284" t="inlineStr">
        <is>
          <t>菲林 奶凶小貓,16 Plus</t>
        </is>
      </c>
      <c r="E2284" t="inlineStr">
        <is>
          <t>157468372808</t>
        </is>
      </c>
      <c r="F2284">
        <f>IMAGE("https://cf.shopee.tw/file/tw-11134207-7r990-lqnk3zs1regy43_tn")</f>
        <v/>
      </c>
    </row>
    <row r="2285">
      <c r="A2285" t="inlineStr">
        <is>
          <t>24059230506</t>
        </is>
      </c>
      <c r="B2285" t="inlineStr">
        <is>
          <t>隔日到貨🔥 iPhone 手機殼 17 16 15 14 13 12 11 XS XR SE X 保護殼 硬殼 蘋果</t>
        </is>
      </c>
      <c r="C2285">
        <f>IMAGE("https://cf.shopee.tw/file/tw-11134207-7r990-lqnk3zs1pzwicc_tn")</f>
        <v/>
      </c>
      <c r="D2285" t="inlineStr">
        <is>
          <t>菲林 奶凶小貓,17</t>
        </is>
      </c>
      <c r="E2285" t="inlineStr">
        <is>
          <t>149313391444</t>
        </is>
      </c>
      <c r="F2285">
        <f>IMAGE("https://cf.shopee.tw/file/tw-11134207-7r990-lqnk3zs1regy43_tn")</f>
        <v/>
      </c>
    </row>
    <row r="2286">
      <c r="A2286" t="inlineStr">
        <is>
          <t>24059230506</t>
        </is>
      </c>
      <c r="B2286" t="inlineStr">
        <is>
          <t>隔日到貨🔥 iPhone 手機殼 17 16 15 14 13 12 11 XS XR SE X 保護殼 硬殼 蘋果</t>
        </is>
      </c>
      <c r="C2286">
        <f>IMAGE("https://cf.shopee.tw/file/tw-11134207-7r990-lqnk3zs1pzwicc_tn")</f>
        <v/>
      </c>
      <c r="D2286" t="inlineStr">
        <is>
          <t>菲林 奶凶小貓,17 pro</t>
        </is>
      </c>
      <c r="E2286" t="inlineStr">
        <is>
          <t>147972681363</t>
        </is>
      </c>
      <c r="F2286">
        <f>IMAGE("https://cf.shopee.tw/file/tw-11134207-7r990-lqnk3zs1regy43_tn")</f>
        <v/>
      </c>
    </row>
    <row r="2287">
      <c r="A2287" t="inlineStr">
        <is>
          <t>24059230506</t>
        </is>
      </c>
      <c r="B2287" t="inlineStr">
        <is>
          <t>隔日到貨🔥 iPhone 手機殼 17 16 15 14 13 12 11 XS XR SE X 保護殼 硬殼 蘋果</t>
        </is>
      </c>
      <c r="C2287">
        <f>IMAGE("https://cf.shopee.tw/file/tw-11134207-7r990-lqnk3zs1pzwicc_tn")</f>
        <v/>
      </c>
      <c r="D2287" t="inlineStr">
        <is>
          <t>菲林 奶凶小貓,17 pro Max</t>
        </is>
      </c>
      <c r="E2287" t="inlineStr">
        <is>
          <t>147972681364</t>
        </is>
      </c>
      <c r="F2287">
        <f>IMAGE("https://cf.shopee.tw/file/tw-11134207-7r990-lqnk3zs1regy43_tn")</f>
        <v/>
      </c>
    </row>
    <row r="2288">
      <c r="A2288" t="inlineStr">
        <is>
          <t>24059230506</t>
        </is>
      </c>
      <c r="B2288" t="inlineStr">
        <is>
          <t>隔日到貨🔥 iPhone 手機殼 17 16 15 14 13 12 11 XS XR SE X 保護殼 硬殼 蘋果</t>
        </is>
      </c>
      <c r="C2288">
        <f>IMAGE("https://cf.shopee.tw/file/tw-11134207-7r990-lqnk3zs1pzwicc_tn")</f>
        <v/>
      </c>
      <c r="D2288" t="inlineStr">
        <is>
          <t>菲林 奶凶小貓,17 Air</t>
        </is>
      </c>
      <c r="E2288" t="inlineStr"/>
      <c r="F2288">
        <f>IMAGE("https://cf.shopee.tw/file/tw-11134207-7r990-lqnk3zs1regy43_tn")</f>
        <v/>
      </c>
    </row>
    <row r="2289">
      <c r="A2289" t="inlineStr">
        <is>
          <t>27704809463</t>
        </is>
      </c>
      <c r="B2289" t="inlineStr">
        <is>
          <t>隔日到貨🔥 iPhone 磁吸 Magsafe 透明手機殼 iPhone手機殼 磁吸手機殼 保護殼 蘋果 磁吸殼</t>
        </is>
      </c>
      <c r="C2289">
        <f>IMAGE("https://cf.shopee.tw/file/tw-11134207-7r98r-lxh1fdnyd3xi04_tn")</f>
        <v/>
      </c>
      <c r="D2289" t="inlineStr">
        <is>
          <t>磁吸壓克力 白邊,14Plus/15Plus</t>
        </is>
      </c>
      <c r="E2289" t="inlineStr">
        <is>
          <t>147372796830</t>
        </is>
      </c>
      <c r="F2289">
        <f>IMAGE("https://cf.shopee.tw/file/tw-11134207-7r98w-lx3jkfstp4xc62_tn")</f>
        <v/>
      </c>
    </row>
    <row r="2290">
      <c r="A2290" t="inlineStr">
        <is>
          <t>27704809463</t>
        </is>
      </c>
      <c r="B2290" t="inlineStr">
        <is>
          <t>隔日到貨🔥 iPhone 磁吸 Magsafe 透明手機殼 iPhone手機殼 磁吸手機殼 保護殼 蘋果 磁吸殼</t>
        </is>
      </c>
      <c r="C2290">
        <f>IMAGE("https://cf.shopee.tw/file/tw-11134207-7r98r-lxh1fdnyd3xi04_tn")</f>
        <v/>
      </c>
      <c r="D2290" t="inlineStr">
        <is>
          <t>磁吸壓克力 黑邊,13</t>
        </is>
      </c>
      <c r="E2290" t="inlineStr"/>
      <c r="F2290">
        <f>IMAGE("https://cf.shopee.tw/file/tw-11134207-7r992-lx3jkfsu4l6888_tn")</f>
        <v/>
      </c>
    </row>
    <row r="2291">
      <c r="A2291" t="inlineStr">
        <is>
          <t>27704809463</t>
        </is>
      </c>
      <c r="B2291" t="inlineStr">
        <is>
          <t>隔日到貨🔥 iPhone 磁吸 Magsafe 透明手機殼 iPhone手機殼 磁吸手機殼 保護殼 蘋果 磁吸殼</t>
        </is>
      </c>
      <c r="C2291">
        <f>IMAGE("https://cf.shopee.tw/file/tw-11134207-7r98r-lxh1fdnyd3xi04_tn")</f>
        <v/>
      </c>
      <c r="D2291" t="inlineStr">
        <is>
          <t>磁吸壓克力 黑邊,15 Pro</t>
        </is>
      </c>
      <c r="E2291" t="inlineStr"/>
      <c r="F2291">
        <f>IMAGE("https://cf.shopee.tw/file/tw-11134207-7r992-lx3jkfsu4l6888_tn")</f>
        <v/>
      </c>
    </row>
    <row r="2292">
      <c r="A2292" t="inlineStr">
        <is>
          <t>27704809463</t>
        </is>
      </c>
      <c r="B2292" t="inlineStr">
        <is>
          <t>隔日到貨🔥 iPhone 磁吸 Magsafe 透明手機殼 iPhone手機殼 磁吸手機殼 保護殼 蘋果 磁吸殼</t>
        </is>
      </c>
      <c r="C2292">
        <f>IMAGE("https://cf.shopee.tw/file/tw-11134207-7r98r-lxh1fdnyd3xi04_tn")</f>
        <v/>
      </c>
      <c r="D2292" t="inlineStr">
        <is>
          <t>磁吸壓克力 粉邊,17</t>
        </is>
      </c>
      <c r="E2292" t="inlineStr"/>
      <c r="F2292">
        <f>IMAGE("https://cf.shopee.tw/file/tw-11134207-7r990-lx3jkfstp546d7_tn")</f>
        <v/>
      </c>
    </row>
    <row r="2293">
      <c r="A2293" t="inlineStr">
        <is>
          <t>27704809463</t>
        </is>
      </c>
      <c r="B2293" t="inlineStr">
        <is>
          <t>隔日到貨🔥 iPhone 磁吸 Magsafe 透明手機殼 iPhone手機殼 磁吸手機殼 保護殼 蘋果 磁吸殼</t>
        </is>
      </c>
      <c r="C2293">
        <f>IMAGE("https://cf.shopee.tw/file/tw-11134207-7r98r-lxh1fdnyd3xi04_tn")</f>
        <v/>
      </c>
      <c r="D2293" t="inlineStr">
        <is>
          <t>磁吸壓克力 粉邊,17 Pro</t>
        </is>
      </c>
      <c r="E2293" t="inlineStr"/>
      <c r="F2293">
        <f>IMAGE("https://cf.shopee.tw/file/tw-11134207-7r990-lx3jkfstp546d7_tn")</f>
        <v/>
      </c>
    </row>
    <row r="2294">
      <c r="A2294" t="inlineStr">
        <is>
          <t>27704809463</t>
        </is>
      </c>
      <c r="B2294" t="inlineStr">
        <is>
          <t>隔日到貨🔥 iPhone 磁吸 Magsafe 透明手機殼 iPhone手機殼 磁吸手機殼 保護殼 蘋果 磁吸殼</t>
        </is>
      </c>
      <c r="C2294">
        <f>IMAGE("https://cf.shopee.tw/file/tw-11134207-7r98r-lxh1fdnyd3xi04_tn")</f>
        <v/>
      </c>
      <c r="D2294" t="inlineStr">
        <is>
          <t>磁吸壓克力 粉邊,17 Pro Max</t>
        </is>
      </c>
      <c r="E2294" t="inlineStr"/>
      <c r="F2294">
        <f>IMAGE("https://cf.shopee.tw/file/tw-11134207-7r990-lx3jkfstp546d7_tn")</f>
        <v/>
      </c>
    </row>
    <row r="2295">
      <c r="A2295" t="inlineStr">
        <is>
          <t>27704809463</t>
        </is>
      </c>
      <c r="B2295" t="inlineStr">
        <is>
          <t>隔日到貨🔥 iPhone 磁吸 Magsafe 透明手機殼 iPhone手機殼 磁吸手機殼 保護殼 蘋果 磁吸殼</t>
        </is>
      </c>
      <c r="C2295">
        <f>IMAGE("https://cf.shopee.tw/file/tw-11134207-7r98r-lxh1fdnyd3xi04_tn")</f>
        <v/>
      </c>
      <c r="D2295" t="inlineStr">
        <is>
          <t>磁吸壓克力 綠邊,17</t>
        </is>
      </c>
      <c r="E2295" t="inlineStr"/>
      <c r="F2295">
        <f>IMAGE("https://cf.shopee.tw/file/tw-11134207-7r98s-lx3jkfsu4ld2e4_tn")</f>
        <v/>
      </c>
    </row>
    <row r="2296">
      <c r="A2296" t="inlineStr">
        <is>
          <t>27704809463</t>
        </is>
      </c>
      <c r="B2296" t="inlineStr">
        <is>
          <t>隔日到貨🔥 iPhone 磁吸 Magsafe 透明手機殼 iPhone手機殼 磁吸手機殼 保護殼 蘋果 磁吸殼</t>
        </is>
      </c>
      <c r="C2296">
        <f>IMAGE("https://cf.shopee.tw/file/tw-11134207-7r98r-lxh1fdnyd3xi04_tn")</f>
        <v/>
      </c>
      <c r="D2296" t="inlineStr">
        <is>
          <t>磁吸壓克力 綠邊,17 Pro</t>
        </is>
      </c>
      <c r="E2296" t="inlineStr"/>
      <c r="F2296">
        <f>IMAGE("https://cf.shopee.tw/file/tw-11134207-7r98s-lx3jkfsu4ld2e4_tn")</f>
        <v/>
      </c>
    </row>
    <row r="2297">
      <c r="A2297" t="inlineStr">
        <is>
          <t>27704809463</t>
        </is>
      </c>
      <c r="B2297" t="inlineStr">
        <is>
          <t>隔日到貨🔥 iPhone 磁吸 Magsafe 透明手機殼 iPhone手機殼 磁吸手機殼 保護殼 蘋果 磁吸殼</t>
        </is>
      </c>
      <c r="C2297">
        <f>IMAGE("https://cf.shopee.tw/file/tw-11134207-7r98r-lxh1fdnyd3xi04_tn")</f>
        <v/>
      </c>
      <c r="D2297" t="inlineStr">
        <is>
          <t>磁吸壓克力 綠邊,17 Pro Max</t>
        </is>
      </c>
      <c r="E2297" t="inlineStr"/>
      <c r="F2297">
        <f>IMAGE("https://cf.shopee.tw/file/tw-11134207-7r98s-lx3jkfsu4ld2e4_tn")</f>
        <v/>
      </c>
    </row>
    <row r="2298">
      <c r="A2298" t="inlineStr">
        <is>
          <t>27704809463</t>
        </is>
      </c>
      <c r="B2298" t="inlineStr">
        <is>
          <t>隔日到貨🔥 iPhone 磁吸 Magsafe 透明手機殼 iPhone手機殼 磁吸手機殼 保護殼 蘋果 磁吸殼</t>
        </is>
      </c>
      <c r="C2298">
        <f>IMAGE("https://cf.shopee.tw/file/tw-11134207-7r98r-lxh1fdnyd3xi04_tn")</f>
        <v/>
      </c>
      <c r="D2298" t="inlineStr">
        <is>
          <t>磁吸壓克力 白邊,11</t>
        </is>
      </c>
      <c r="E2298" t="inlineStr">
        <is>
          <t>147372796821</t>
        </is>
      </c>
      <c r="F2298">
        <f>IMAGE("https://cf.shopee.tw/file/tw-11134207-7r98w-lx3jkfstp4xc62_tn")</f>
        <v/>
      </c>
    </row>
    <row r="2299">
      <c r="A2299" t="inlineStr">
        <is>
          <t>27704809463</t>
        </is>
      </c>
      <c r="B2299" t="inlineStr">
        <is>
          <t>隔日到貨🔥 iPhone 磁吸 Magsafe 透明手機殼 iPhone手機殼 磁吸手機殼 保護殼 蘋果 磁吸殼</t>
        </is>
      </c>
      <c r="C2299">
        <f>IMAGE("https://cf.shopee.tw/file/tw-11134207-7r98r-lxh1fdnyd3xi04_tn")</f>
        <v/>
      </c>
      <c r="D2299" t="inlineStr">
        <is>
          <t>磁吸壓克力 白邊,12/12pro</t>
        </is>
      </c>
      <c r="E2299" t="inlineStr">
        <is>
          <t>147372796823</t>
        </is>
      </c>
      <c r="F2299">
        <f>IMAGE("https://cf.shopee.tw/file/tw-11134207-7r98w-lx3jkfstp4xc62_tn")</f>
        <v/>
      </c>
    </row>
    <row r="2300">
      <c r="A2300" t="inlineStr">
        <is>
          <t>27704809463</t>
        </is>
      </c>
      <c r="B2300" t="inlineStr">
        <is>
          <t>隔日到貨🔥 iPhone 磁吸 Magsafe 透明手機殼 iPhone手機殼 磁吸手機殼 保護殼 蘋果 磁吸殼</t>
        </is>
      </c>
      <c r="C2300">
        <f>IMAGE("https://cf.shopee.tw/file/tw-11134207-7r98r-lxh1fdnyd3xi04_tn")</f>
        <v/>
      </c>
      <c r="D2300" t="inlineStr">
        <is>
          <t>磁吸壓克力 白邊,12 Pro Max</t>
        </is>
      </c>
      <c r="E2300" t="inlineStr">
        <is>
          <t>147372796825</t>
        </is>
      </c>
      <c r="F2300">
        <f>IMAGE("https://cf.shopee.tw/file/tw-11134207-7r98w-lx3jkfstp4xc62_tn")</f>
        <v/>
      </c>
    </row>
    <row r="2301">
      <c r="A2301" t="inlineStr">
        <is>
          <t>27704809463</t>
        </is>
      </c>
      <c r="B2301" t="inlineStr">
        <is>
          <t>隔日到貨🔥 iPhone 磁吸 Magsafe 透明手機殼 iPhone手機殼 磁吸手機殼 保護殼 蘋果 磁吸殼</t>
        </is>
      </c>
      <c r="C2301">
        <f>IMAGE("https://cf.shopee.tw/file/tw-11134207-7r98r-lxh1fdnyd3xi04_tn")</f>
        <v/>
      </c>
      <c r="D2301" t="inlineStr">
        <is>
          <t>磁吸壓克力 白邊,13</t>
        </is>
      </c>
      <c r="E2301" t="inlineStr">
        <is>
          <t>147372796826</t>
        </is>
      </c>
      <c r="F2301">
        <f>IMAGE("https://cf.shopee.tw/file/tw-11134207-7r98w-lx3jkfstp4xc62_tn")</f>
        <v/>
      </c>
    </row>
    <row r="2302">
      <c r="A2302" t="inlineStr">
        <is>
          <t>27704809463</t>
        </is>
      </c>
      <c r="B2302" t="inlineStr">
        <is>
          <t>隔日到貨🔥 iPhone 磁吸 Magsafe 透明手機殼 iPhone手機殼 磁吸手機殼 保護殼 蘋果 磁吸殼</t>
        </is>
      </c>
      <c r="C2302">
        <f>IMAGE("https://cf.shopee.tw/file/tw-11134207-7r98r-lxh1fdnyd3xi04_tn")</f>
        <v/>
      </c>
      <c r="D2302" t="inlineStr">
        <is>
          <t>磁吸壓克力 白邊,13 Pro</t>
        </is>
      </c>
      <c r="E2302" t="inlineStr">
        <is>
          <t>147372796827</t>
        </is>
      </c>
      <c r="F2302">
        <f>IMAGE("https://cf.shopee.tw/file/tw-11134207-7r98w-lx3jkfstp4xc62_tn")</f>
        <v/>
      </c>
    </row>
    <row r="2303">
      <c r="A2303" t="inlineStr">
        <is>
          <t>27704809463</t>
        </is>
      </c>
      <c r="B2303" t="inlineStr">
        <is>
          <t>隔日到貨🔥 iPhone 磁吸 Magsafe 透明手機殼 iPhone手機殼 磁吸手機殼 保護殼 蘋果 磁吸殼</t>
        </is>
      </c>
      <c r="C2303">
        <f>IMAGE("https://cf.shopee.tw/file/tw-11134207-7r98r-lxh1fdnyd3xi04_tn")</f>
        <v/>
      </c>
      <c r="D2303" t="inlineStr">
        <is>
          <t>磁吸壓克力 白邊,13 Pro Max</t>
        </is>
      </c>
      <c r="E2303" t="inlineStr">
        <is>
          <t>147372796828</t>
        </is>
      </c>
      <c r="F2303">
        <f>IMAGE("https://cf.shopee.tw/file/tw-11134207-7r98w-lx3jkfstp4xc62_tn")</f>
        <v/>
      </c>
    </row>
    <row r="2304">
      <c r="A2304" t="inlineStr">
        <is>
          <t>27704809463</t>
        </is>
      </c>
      <c r="B2304" t="inlineStr">
        <is>
          <t>隔日到貨🔥 iPhone 磁吸 Magsafe 透明手機殼 iPhone手機殼 磁吸手機殼 保護殼 蘋果 磁吸殼</t>
        </is>
      </c>
      <c r="C2304">
        <f>IMAGE("https://cf.shopee.tw/file/tw-11134207-7r98r-lxh1fdnyd3xi04_tn")</f>
        <v/>
      </c>
      <c r="D2304" t="inlineStr">
        <is>
          <t>磁吸壓克力 白邊,14</t>
        </is>
      </c>
      <c r="E2304" t="inlineStr">
        <is>
          <t>147372796829</t>
        </is>
      </c>
      <c r="F2304">
        <f>IMAGE("https://cf.shopee.tw/file/tw-11134207-7r98w-lx3jkfstp4xc62_tn")</f>
        <v/>
      </c>
    </row>
    <row r="2305">
      <c r="A2305" t="inlineStr">
        <is>
          <t>27704809463</t>
        </is>
      </c>
      <c r="B2305" t="inlineStr">
        <is>
          <t>隔日到貨🔥 iPhone 磁吸 Magsafe 透明手機殼 iPhone手機殼 磁吸手機殼 保護殼 蘋果 磁吸殼</t>
        </is>
      </c>
      <c r="C2305">
        <f>IMAGE("https://cf.shopee.tw/file/tw-11134207-7r98r-lxh1fdnyd3xi04_tn")</f>
        <v/>
      </c>
      <c r="D2305" t="inlineStr">
        <is>
          <t>磁吸壓克力 白邊,14 Pro</t>
        </is>
      </c>
      <c r="E2305" t="inlineStr">
        <is>
          <t>147372796831</t>
        </is>
      </c>
      <c r="F2305">
        <f>IMAGE("https://cf.shopee.tw/file/tw-11134207-7r98w-lx3jkfstp4xc62_tn")</f>
        <v/>
      </c>
    </row>
    <row r="2306">
      <c r="A2306" t="inlineStr">
        <is>
          <t>27704809463</t>
        </is>
      </c>
      <c r="B2306" t="inlineStr">
        <is>
          <t>隔日到貨🔥 iPhone 磁吸 Magsafe 透明手機殼 iPhone手機殼 磁吸手機殼 保護殼 蘋果 磁吸殼</t>
        </is>
      </c>
      <c r="C2306">
        <f>IMAGE("https://cf.shopee.tw/file/tw-11134207-7r98r-lxh1fdnyd3xi04_tn")</f>
        <v/>
      </c>
      <c r="D2306" t="inlineStr">
        <is>
          <t>磁吸壓克力 白邊,14 Pro Max</t>
        </is>
      </c>
      <c r="E2306" t="inlineStr">
        <is>
          <t>147372796832</t>
        </is>
      </c>
      <c r="F2306">
        <f>IMAGE("https://cf.shopee.tw/file/tw-11134207-7r98w-lx3jkfstp4xc62_tn")</f>
        <v/>
      </c>
    </row>
    <row r="2307">
      <c r="A2307" t="inlineStr">
        <is>
          <t>27704809463</t>
        </is>
      </c>
      <c r="B2307" t="inlineStr">
        <is>
          <t>隔日到貨🔥 iPhone 磁吸 Magsafe 透明手機殼 iPhone手機殼 磁吸手機殼 保護殼 蘋果 磁吸殼</t>
        </is>
      </c>
      <c r="C2307">
        <f>IMAGE("https://cf.shopee.tw/file/tw-11134207-7r98r-lxh1fdnyd3xi04_tn")</f>
        <v/>
      </c>
      <c r="D2307" t="inlineStr">
        <is>
          <t>磁吸壓克力 白邊,15</t>
        </is>
      </c>
      <c r="E2307" t="inlineStr">
        <is>
          <t>147372796833</t>
        </is>
      </c>
      <c r="F2307">
        <f>IMAGE("https://cf.shopee.tw/file/tw-11134207-7r98w-lx3jkfstp4xc62_tn")</f>
        <v/>
      </c>
    </row>
    <row r="2308">
      <c r="A2308" t="inlineStr">
        <is>
          <t>27704809463</t>
        </is>
      </c>
      <c r="B2308" t="inlineStr">
        <is>
          <t>隔日到貨🔥 iPhone 磁吸 Magsafe 透明手機殼 iPhone手機殼 磁吸手機殼 保護殼 蘋果 磁吸殼</t>
        </is>
      </c>
      <c r="C2308">
        <f>IMAGE("https://cf.shopee.tw/file/tw-11134207-7r98r-lxh1fdnyd3xi04_tn")</f>
        <v/>
      </c>
      <c r="D2308" t="inlineStr">
        <is>
          <t>磁吸壓克力 白邊,15 Pro</t>
        </is>
      </c>
      <c r="E2308" t="inlineStr"/>
      <c r="F2308">
        <f>IMAGE("https://cf.shopee.tw/file/tw-11134207-7r98w-lx3jkfstp4xc62_tn")</f>
        <v/>
      </c>
    </row>
    <row r="2309">
      <c r="A2309" t="inlineStr">
        <is>
          <t>27704809463</t>
        </is>
      </c>
      <c r="B2309" t="inlineStr">
        <is>
          <t>隔日到貨🔥 iPhone 磁吸 Magsafe 透明手機殼 iPhone手機殼 磁吸手機殼 保護殼 蘋果 磁吸殼</t>
        </is>
      </c>
      <c r="C2309">
        <f>IMAGE("https://cf.shopee.tw/file/tw-11134207-7r98r-lxh1fdnyd3xi04_tn")</f>
        <v/>
      </c>
      <c r="D2309" t="inlineStr">
        <is>
          <t>磁吸壓克力 白邊,15 Pro Max</t>
        </is>
      </c>
      <c r="E2309" t="inlineStr">
        <is>
          <t>147372796836</t>
        </is>
      </c>
      <c r="F2309">
        <f>IMAGE("https://cf.shopee.tw/file/tw-11134207-7r98w-lx3jkfstp4xc62_tn")</f>
        <v/>
      </c>
    </row>
    <row r="2310">
      <c r="A2310" t="inlineStr">
        <is>
          <t>27704809463</t>
        </is>
      </c>
      <c r="B2310" t="inlineStr">
        <is>
          <t>隔日到貨🔥 iPhone 磁吸 Magsafe 透明手機殼 iPhone手機殼 磁吸手機殼 保護殼 蘋果 磁吸殼</t>
        </is>
      </c>
      <c r="C2310">
        <f>IMAGE("https://cf.shopee.tw/file/tw-11134207-7r98r-lxh1fdnyd3xi04_tn")</f>
        <v/>
      </c>
      <c r="D2310" t="inlineStr">
        <is>
          <t>磁吸壓克力 白邊,16</t>
        </is>
      </c>
      <c r="E2310" t="inlineStr">
        <is>
          <t>197959600459</t>
        </is>
      </c>
      <c r="F2310">
        <f>IMAGE("https://cf.shopee.tw/file/tw-11134207-7r98w-lx3jkfstp4xc62_tn")</f>
        <v/>
      </c>
    </row>
    <row r="2311">
      <c r="A2311" t="inlineStr">
        <is>
          <t>27704809463</t>
        </is>
      </c>
      <c r="B2311" t="inlineStr">
        <is>
          <t>隔日到貨🔥 iPhone 磁吸 Magsafe 透明手機殼 iPhone手機殼 磁吸手機殼 保護殼 蘋果 磁吸殼</t>
        </is>
      </c>
      <c r="C2311">
        <f>IMAGE("https://cf.shopee.tw/file/tw-11134207-7r98r-lxh1fdnyd3xi04_tn")</f>
        <v/>
      </c>
      <c r="D2311" t="inlineStr">
        <is>
          <t>磁吸壓克力 白邊,16 Pro</t>
        </is>
      </c>
      <c r="E2311" t="inlineStr">
        <is>
          <t>197959600460</t>
        </is>
      </c>
      <c r="F2311">
        <f>IMAGE("https://cf.shopee.tw/file/tw-11134207-7r98w-lx3jkfstp4xc62_tn")</f>
        <v/>
      </c>
    </row>
    <row r="2312">
      <c r="A2312" t="inlineStr">
        <is>
          <t>27704809463</t>
        </is>
      </c>
      <c r="B2312" t="inlineStr">
        <is>
          <t>隔日到貨🔥 iPhone 磁吸 Magsafe 透明手機殼 iPhone手機殼 磁吸手機殼 保護殼 蘋果 磁吸殼</t>
        </is>
      </c>
      <c r="C2312">
        <f>IMAGE("https://cf.shopee.tw/file/tw-11134207-7r98r-lxh1fdnyd3xi04_tn")</f>
        <v/>
      </c>
      <c r="D2312" t="inlineStr">
        <is>
          <t>磁吸壓克力 白邊,16 Plus</t>
        </is>
      </c>
      <c r="E2312" t="inlineStr">
        <is>
          <t>197959600461</t>
        </is>
      </c>
      <c r="F2312">
        <f>IMAGE("https://cf.shopee.tw/file/tw-11134207-7r98w-lx3jkfstp4xc62_tn")</f>
        <v/>
      </c>
    </row>
    <row r="2313">
      <c r="A2313" t="inlineStr">
        <is>
          <t>27704809463</t>
        </is>
      </c>
      <c r="B2313" t="inlineStr">
        <is>
          <t>隔日到貨🔥 iPhone 磁吸 Magsafe 透明手機殼 iPhone手機殼 磁吸手機殼 保護殼 蘋果 磁吸殼</t>
        </is>
      </c>
      <c r="C2313">
        <f>IMAGE("https://cf.shopee.tw/file/tw-11134207-7r98r-lxh1fdnyd3xi04_tn")</f>
        <v/>
      </c>
      <c r="D2313" t="inlineStr">
        <is>
          <t>磁吸壓克力 白邊,16 Pro Max</t>
        </is>
      </c>
      <c r="E2313" t="inlineStr">
        <is>
          <t>223438913648</t>
        </is>
      </c>
      <c r="F2313">
        <f>IMAGE("https://cf.shopee.tw/file/tw-11134207-7r98w-lx3jkfstp4xc62_tn")</f>
        <v/>
      </c>
    </row>
    <row r="2314">
      <c r="A2314" t="inlineStr">
        <is>
          <t>27704809463</t>
        </is>
      </c>
      <c r="B2314" t="inlineStr">
        <is>
          <t>隔日到貨🔥 iPhone 磁吸 Magsafe 透明手機殼 iPhone手機殼 磁吸手機殼 保護殼 蘋果 磁吸殼</t>
        </is>
      </c>
      <c r="C2314">
        <f>IMAGE("https://cf.shopee.tw/file/tw-11134207-7r98r-lxh1fdnyd3xi04_tn")</f>
        <v/>
      </c>
      <c r="D2314" t="inlineStr">
        <is>
          <t>磁吸壓克力 白邊,17</t>
        </is>
      </c>
      <c r="E2314" t="inlineStr">
        <is>
          <t>345088797248</t>
        </is>
      </c>
      <c r="F2314">
        <f>IMAGE("https://cf.shopee.tw/file/tw-11134207-7r98w-lx3jkfstp4xc62_tn")</f>
        <v/>
      </c>
    </row>
    <row r="2315">
      <c r="A2315" t="inlineStr">
        <is>
          <t>27704809463</t>
        </is>
      </c>
      <c r="B2315" t="inlineStr">
        <is>
          <t>隔日到貨🔥 iPhone 磁吸 Magsafe 透明手機殼 iPhone手機殼 磁吸手機殼 保護殼 蘋果 磁吸殼</t>
        </is>
      </c>
      <c r="C2315">
        <f>IMAGE("https://cf.shopee.tw/file/tw-11134207-7r98r-lxh1fdnyd3xi04_tn")</f>
        <v/>
      </c>
      <c r="D2315" t="inlineStr">
        <is>
          <t>磁吸壓克力 白邊,17 Pro</t>
        </is>
      </c>
      <c r="E2315" t="inlineStr">
        <is>
          <t>345088797249</t>
        </is>
      </c>
      <c r="F2315">
        <f>IMAGE("https://cf.shopee.tw/file/tw-11134207-7r98w-lx3jkfstp4xc62_tn")</f>
        <v/>
      </c>
    </row>
    <row r="2316">
      <c r="A2316" t="inlineStr">
        <is>
          <t>27704809463</t>
        </is>
      </c>
      <c r="B2316" t="inlineStr">
        <is>
          <t>隔日到貨🔥 iPhone 磁吸 Magsafe 透明手機殼 iPhone手機殼 磁吸手機殼 保護殼 蘋果 磁吸殼</t>
        </is>
      </c>
      <c r="C2316">
        <f>IMAGE("https://cf.shopee.tw/file/tw-11134207-7r98r-lxh1fdnyd3xi04_tn")</f>
        <v/>
      </c>
      <c r="D2316" t="inlineStr">
        <is>
          <t>磁吸壓克力 白邊,17 Pro Max</t>
        </is>
      </c>
      <c r="E2316" t="inlineStr"/>
      <c r="F2316">
        <f>IMAGE("https://cf.shopee.tw/file/tw-11134207-7r98w-lx3jkfstp4xc62_tn")</f>
        <v/>
      </c>
    </row>
    <row r="2317">
      <c r="A2317" t="inlineStr">
        <is>
          <t>27704809463</t>
        </is>
      </c>
      <c r="B2317" t="inlineStr">
        <is>
          <t>隔日到貨🔥 iPhone 磁吸 Magsafe 透明手機殼 iPhone手機殼 磁吸手機殼 保護殼 蘋果 磁吸殼</t>
        </is>
      </c>
      <c r="C2317">
        <f>IMAGE("https://cf.shopee.tw/file/tw-11134207-7r98r-lxh1fdnyd3xi04_tn")</f>
        <v/>
      </c>
      <c r="D2317" t="inlineStr">
        <is>
          <t>磁吸壓克力 黑邊,11</t>
        </is>
      </c>
      <c r="E2317" t="inlineStr">
        <is>
          <t>147372796837</t>
        </is>
      </c>
      <c r="F2317">
        <f>IMAGE("https://cf.shopee.tw/file/tw-11134207-7r992-lx3jkfsu4l6888_tn")</f>
        <v/>
      </c>
    </row>
    <row r="2318">
      <c r="A2318" t="inlineStr">
        <is>
          <t>27704809463</t>
        </is>
      </c>
      <c r="B2318" t="inlineStr">
        <is>
          <t>隔日到貨🔥 iPhone 磁吸 Magsafe 透明手機殼 iPhone手機殼 磁吸手機殼 保護殼 蘋果 磁吸殼</t>
        </is>
      </c>
      <c r="C2318">
        <f>IMAGE("https://cf.shopee.tw/file/tw-11134207-7r98r-lxh1fdnyd3xi04_tn")</f>
        <v/>
      </c>
      <c r="D2318" t="inlineStr">
        <is>
          <t>磁吸壓克力 黑邊,12/12pro</t>
        </is>
      </c>
      <c r="E2318" t="inlineStr">
        <is>
          <t>147372796839</t>
        </is>
      </c>
      <c r="F2318">
        <f>IMAGE("https://cf.shopee.tw/file/tw-11134207-7r992-lx3jkfsu4l6888_tn")</f>
        <v/>
      </c>
    </row>
    <row r="2319">
      <c r="A2319" t="inlineStr">
        <is>
          <t>27704809463</t>
        </is>
      </c>
      <c r="B2319" t="inlineStr">
        <is>
          <t>隔日到貨🔥 iPhone 磁吸 Magsafe 透明手機殼 iPhone手機殼 磁吸手機殼 保護殼 蘋果 磁吸殼</t>
        </is>
      </c>
      <c r="C2319">
        <f>IMAGE("https://cf.shopee.tw/file/tw-11134207-7r98r-lxh1fdnyd3xi04_tn")</f>
        <v/>
      </c>
      <c r="D2319" t="inlineStr">
        <is>
          <t>磁吸壓克力 黑邊,12 Pro Max</t>
        </is>
      </c>
      <c r="E2319" t="inlineStr">
        <is>
          <t>147372796841</t>
        </is>
      </c>
      <c r="F2319">
        <f>IMAGE("https://cf.shopee.tw/file/tw-11134207-7r992-lx3jkfsu4l6888_tn")</f>
        <v/>
      </c>
    </row>
    <row r="2320">
      <c r="A2320" t="inlineStr">
        <is>
          <t>27704809463</t>
        </is>
      </c>
      <c r="B2320" t="inlineStr">
        <is>
          <t>隔日到貨🔥 iPhone 磁吸 Magsafe 透明手機殼 iPhone手機殼 磁吸手機殼 保護殼 蘋果 磁吸殼</t>
        </is>
      </c>
      <c r="C2320">
        <f>IMAGE("https://cf.shopee.tw/file/tw-11134207-7r98r-lxh1fdnyd3xi04_tn")</f>
        <v/>
      </c>
      <c r="D2320" t="inlineStr">
        <is>
          <t>磁吸壓克力 黑邊,13 Pro</t>
        </is>
      </c>
      <c r="E2320" t="inlineStr">
        <is>
          <t>147372796843</t>
        </is>
      </c>
      <c r="F2320">
        <f>IMAGE("https://cf.shopee.tw/file/tw-11134207-7r992-lx3jkfsu4l6888_tn")</f>
        <v/>
      </c>
    </row>
    <row r="2321">
      <c r="A2321" t="inlineStr">
        <is>
          <t>27704809463</t>
        </is>
      </c>
      <c r="B2321" t="inlineStr">
        <is>
          <t>隔日到貨🔥 iPhone 磁吸 Magsafe 透明手機殼 iPhone手機殼 磁吸手機殼 保護殼 蘋果 磁吸殼</t>
        </is>
      </c>
      <c r="C2321">
        <f>IMAGE("https://cf.shopee.tw/file/tw-11134207-7r98r-lxh1fdnyd3xi04_tn")</f>
        <v/>
      </c>
      <c r="D2321" t="inlineStr">
        <is>
          <t>磁吸壓克力 黑邊,13 Pro Max</t>
        </is>
      </c>
      <c r="E2321" t="inlineStr">
        <is>
          <t>147372796844</t>
        </is>
      </c>
      <c r="F2321">
        <f>IMAGE("https://cf.shopee.tw/file/tw-11134207-7r992-lx3jkfsu4l6888_tn")</f>
        <v/>
      </c>
    </row>
    <row r="2322">
      <c r="A2322" t="inlineStr">
        <is>
          <t>27704809463</t>
        </is>
      </c>
      <c r="B2322" t="inlineStr">
        <is>
          <t>隔日到貨🔥 iPhone 磁吸 Magsafe 透明手機殼 iPhone手機殼 磁吸手機殼 保護殼 蘋果 磁吸殼</t>
        </is>
      </c>
      <c r="C2322">
        <f>IMAGE("https://cf.shopee.tw/file/tw-11134207-7r98r-lxh1fdnyd3xi04_tn")</f>
        <v/>
      </c>
      <c r="D2322" t="inlineStr">
        <is>
          <t>磁吸壓克力 黑邊,14</t>
        </is>
      </c>
      <c r="E2322" t="inlineStr">
        <is>
          <t>147372796845</t>
        </is>
      </c>
      <c r="F2322">
        <f>IMAGE("https://cf.shopee.tw/file/tw-11134207-7r992-lx3jkfsu4l6888_tn")</f>
        <v/>
      </c>
    </row>
    <row r="2323">
      <c r="A2323" t="inlineStr">
        <is>
          <t>27704809463</t>
        </is>
      </c>
      <c r="B2323" t="inlineStr">
        <is>
          <t>隔日到貨🔥 iPhone 磁吸 Magsafe 透明手機殼 iPhone手機殼 磁吸手機殼 保護殼 蘋果 磁吸殼</t>
        </is>
      </c>
      <c r="C2323">
        <f>IMAGE("https://cf.shopee.tw/file/tw-11134207-7r98r-lxh1fdnyd3xi04_tn")</f>
        <v/>
      </c>
      <c r="D2323" t="inlineStr">
        <is>
          <t>磁吸壓克力 黑邊,14Plus/15Plus</t>
        </is>
      </c>
      <c r="E2323" t="inlineStr"/>
      <c r="F2323">
        <f>IMAGE("https://cf.shopee.tw/file/tw-11134207-7r992-lx3jkfsu4l6888_tn")</f>
        <v/>
      </c>
    </row>
    <row r="2324">
      <c r="A2324" t="inlineStr">
        <is>
          <t>27704809463</t>
        </is>
      </c>
      <c r="B2324" t="inlineStr">
        <is>
          <t>隔日到貨🔥 iPhone 磁吸 Magsafe 透明手機殼 iPhone手機殼 磁吸手機殼 保護殼 蘋果 磁吸殼</t>
        </is>
      </c>
      <c r="C2324">
        <f>IMAGE("https://cf.shopee.tw/file/tw-11134207-7r98r-lxh1fdnyd3xi04_tn")</f>
        <v/>
      </c>
      <c r="D2324" t="inlineStr">
        <is>
          <t>磁吸壓克力 黑邊,14 Pro</t>
        </is>
      </c>
      <c r="E2324" t="inlineStr">
        <is>
          <t>147372796847</t>
        </is>
      </c>
      <c r="F2324">
        <f>IMAGE("https://cf.shopee.tw/file/tw-11134207-7r992-lx3jkfsu4l6888_tn")</f>
        <v/>
      </c>
    </row>
    <row r="2325">
      <c r="A2325" t="inlineStr">
        <is>
          <t>27704809463</t>
        </is>
      </c>
      <c r="B2325" t="inlineStr">
        <is>
          <t>隔日到貨🔥 iPhone 磁吸 Magsafe 透明手機殼 iPhone手機殼 磁吸手機殼 保護殼 蘋果 磁吸殼</t>
        </is>
      </c>
      <c r="C2325">
        <f>IMAGE("https://cf.shopee.tw/file/tw-11134207-7r98r-lxh1fdnyd3xi04_tn")</f>
        <v/>
      </c>
      <c r="D2325" t="inlineStr">
        <is>
          <t>磁吸壓克力 黑邊,14 Pro Max</t>
        </is>
      </c>
      <c r="E2325" t="inlineStr"/>
      <c r="F2325">
        <f>IMAGE("https://cf.shopee.tw/file/tw-11134207-7r992-lx3jkfsu4l6888_tn")</f>
        <v/>
      </c>
    </row>
    <row r="2326">
      <c r="A2326" t="inlineStr">
        <is>
          <t>27704809463</t>
        </is>
      </c>
      <c r="B2326" t="inlineStr">
        <is>
          <t>隔日到貨🔥 iPhone 磁吸 Magsafe 透明手機殼 iPhone手機殼 磁吸手機殼 保護殼 蘋果 磁吸殼</t>
        </is>
      </c>
      <c r="C2326">
        <f>IMAGE("https://cf.shopee.tw/file/tw-11134207-7r98r-lxh1fdnyd3xi04_tn")</f>
        <v/>
      </c>
      <c r="D2326" t="inlineStr">
        <is>
          <t>磁吸壓克力 黑邊,15</t>
        </is>
      </c>
      <c r="E2326" t="inlineStr"/>
      <c r="F2326">
        <f>IMAGE("https://cf.shopee.tw/file/tw-11134207-7r992-lx3jkfsu4l6888_tn")</f>
        <v/>
      </c>
    </row>
    <row r="2327">
      <c r="A2327" t="inlineStr">
        <is>
          <t>27704809463</t>
        </is>
      </c>
      <c r="B2327" t="inlineStr">
        <is>
          <t>隔日到貨🔥 iPhone 磁吸 Magsafe 透明手機殼 iPhone手機殼 磁吸手機殼 保護殼 蘋果 磁吸殼</t>
        </is>
      </c>
      <c r="C2327">
        <f>IMAGE("https://cf.shopee.tw/file/tw-11134207-7r98r-lxh1fdnyd3xi04_tn")</f>
        <v/>
      </c>
      <c r="D2327" t="inlineStr">
        <is>
          <t>磁吸壓克力 黑邊,15 Pro Max</t>
        </is>
      </c>
      <c r="E2327" t="inlineStr"/>
      <c r="F2327">
        <f>IMAGE("https://cf.shopee.tw/file/tw-11134207-7r992-lx3jkfsu4l6888_tn")</f>
        <v/>
      </c>
    </row>
    <row r="2328">
      <c r="A2328" t="inlineStr">
        <is>
          <t>27704809463</t>
        </is>
      </c>
      <c r="B2328" t="inlineStr">
        <is>
          <t>隔日到貨🔥 iPhone 磁吸 Magsafe 透明手機殼 iPhone手機殼 磁吸手機殼 保護殼 蘋果 磁吸殼</t>
        </is>
      </c>
      <c r="C2328">
        <f>IMAGE("https://cf.shopee.tw/file/tw-11134207-7r98r-lxh1fdnyd3xi04_tn")</f>
        <v/>
      </c>
      <c r="D2328" t="inlineStr">
        <is>
          <t>磁吸壓克力 黑邊,16</t>
        </is>
      </c>
      <c r="E2328" t="inlineStr"/>
      <c r="F2328">
        <f>IMAGE("https://cf.shopee.tw/file/tw-11134207-7r992-lx3jkfsu4l6888_tn")</f>
        <v/>
      </c>
    </row>
    <row r="2329">
      <c r="A2329" t="inlineStr">
        <is>
          <t>27704809463</t>
        </is>
      </c>
      <c r="B2329" t="inlineStr">
        <is>
          <t>隔日到貨🔥 iPhone 磁吸 Magsafe 透明手機殼 iPhone手機殼 磁吸手機殼 保護殼 蘋果 磁吸殼</t>
        </is>
      </c>
      <c r="C2329">
        <f>IMAGE("https://cf.shopee.tw/file/tw-11134207-7r98r-lxh1fdnyd3xi04_tn")</f>
        <v/>
      </c>
      <c r="D2329" t="inlineStr">
        <is>
          <t>磁吸壓克力 黑邊,16 Pro</t>
        </is>
      </c>
      <c r="E2329" t="inlineStr">
        <is>
          <t>223438913650</t>
        </is>
      </c>
      <c r="F2329">
        <f>IMAGE("https://cf.shopee.tw/file/tw-11134207-7r992-lx3jkfsu4l6888_tn")</f>
        <v/>
      </c>
    </row>
    <row r="2330">
      <c r="A2330" t="inlineStr">
        <is>
          <t>27704809463</t>
        </is>
      </c>
      <c r="B2330" t="inlineStr">
        <is>
          <t>隔日到貨🔥 iPhone 磁吸 Magsafe 透明手機殼 iPhone手機殼 磁吸手機殼 保護殼 蘋果 磁吸殼</t>
        </is>
      </c>
      <c r="C2330">
        <f>IMAGE("https://cf.shopee.tw/file/tw-11134207-7r98r-lxh1fdnyd3xi04_tn")</f>
        <v/>
      </c>
      <c r="D2330" t="inlineStr">
        <is>
          <t>磁吸壓克力 黑邊,16 Plus</t>
        </is>
      </c>
      <c r="E2330" t="inlineStr">
        <is>
          <t>223438913651</t>
        </is>
      </c>
      <c r="F2330">
        <f>IMAGE("https://cf.shopee.tw/file/tw-11134207-7r992-lx3jkfsu4l6888_tn")</f>
        <v/>
      </c>
    </row>
    <row r="2331">
      <c r="A2331" t="inlineStr">
        <is>
          <t>27704809463</t>
        </is>
      </c>
      <c r="B2331" t="inlineStr">
        <is>
          <t>隔日到貨🔥 iPhone 磁吸 Magsafe 透明手機殼 iPhone手機殼 磁吸手機殼 保護殼 蘋果 磁吸殼</t>
        </is>
      </c>
      <c r="C2331">
        <f>IMAGE("https://cf.shopee.tw/file/tw-11134207-7r98r-lxh1fdnyd3xi04_tn")</f>
        <v/>
      </c>
      <c r="D2331" t="inlineStr">
        <is>
          <t>磁吸壓克力 黑邊,16 Pro Max</t>
        </is>
      </c>
      <c r="E2331" t="inlineStr"/>
      <c r="F2331">
        <f>IMAGE("https://cf.shopee.tw/file/tw-11134207-7r992-lx3jkfsu4l6888_tn")</f>
        <v/>
      </c>
    </row>
    <row r="2332">
      <c r="A2332" t="inlineStr">
        <is>
          <t>27704809463</t>
        </is>
      </c>
      <c r="B2332" t="inlineStr">
        <is>
          <t>隔日到貨🔥 iPhone 磁吸 Magsafe 透明手機殼 iPhone手機殼 磁吸手機殼 保護殼 蘋果 磁吸殼</t>
        </is>
      </c>
      <c r="C2332">
        <f>IMAGE("https://cf.shopee.tw/file/tw-11134207-7r98r-lxh1fdnyd3xi04_tn")</f>
        <v/>
      </c>
      <c r="D2332" t="inlineStr">
        <is>
          <t>磁吸壓克力 黑邊,17</t>
        </is>
      </c>
      <c r="E2332" t="inlineStr">
        <is>
          <t>345088797251</t>
        </is>
      </c>
      <c r="F2332">
        <f>IMAGE("https://cf.shopee.tw/file/tw-11134207-7r992-lx3jkfsu4l6888_tn")</f>
        <v/>
      </c>
    </row>
    <row r="2333">
      <c r="A2333" t="inlineStr">
        <is>
          <t>27704809463</t>
        </is>
      </c>
      <c r="B2333" t="inlineStr">
        <is>
          <t>隔日到貨🔥 iPhone 磁吸 Magsafe 透明手機殼 iPhone手機殼 磁吸手機殼 保護殼 蘋果 磁吸殼</t>
        </is>
      </c>
      <c r="C2333">
        <f>IMAGE("https://cf.shopee.tw/file/tw-11134207-7r98r-lxh1fdnyd3xi04_tn")</f>
        <v/>
      </c>
      <c r="D2333" t="inlineStr">
        <is>
          <t>磁吸壓克力 黑邊,17 Pro</t>
        </is>
      </c>
      <c r="E2333" t="inlineStr">
        <is>
          <t>345088797252</t>
        </is>
      </c>
      <c r="F2333">
        <f>IMAGE("https://cf.shopee.tw/file/tw-11134207-7r992-lx3jkfsu4l6888_tn")</f>
        <v/>
      </c>
    </row>
    <row r="2334">
      <c r="A2334" t="inlineStr">
        <is>
          <t>27704809463</t>
        </is>
      </c>
      <c r="B2334" t="inlineStr">
        <is>
          <t>隔日到貨🔥 iPhone 磁吸 Magsafe 透明手機殼 iPhone手機殼 磁吸手機殼 保護殼 蘋果 磁吸殼</t>
        </is>
      </c>
      <c r="C2334">
        <f>IMAGE("https://cf.shopee.tw/file/tw-11134207-7r98r-lxh1fdnyd3xi04_tn")</f>
        <v/>
      </c>
      <c r="D2334" t="inlineStr">
        <is>
          <t>磁吸壓克力 黑邊,17 Pro Max</t>
        </is>
      </c>
      <c r="E2334" t="inlineStr"/>
      <c r="F2334">
        <f>IMAGE("https://cf.shopee.tw/file/tw-11134207-7r992-lx3jkfsu4l6888_tn")</f>
        <v/>
      </c>
    </row>
    <row r="2335">
      <c r="A2335" t="inlineStr">
        <is>
          <t>27704809463</t>
        </is>
      </c>
      <c r="B2335" t="inlineStr">
        <is>
          <t>隔日到貨🔥 iPhone 磁吸 Magsafe 透明手機殼 iPhone手機殼 磁吸手機殼 保護殼 蘋果 磁吸殼</t>
        </is>
      </c>
      <c r="C2335">
        <f>IMAGE("https://cf.shopee.tw/file/tw-11134207-7r98r-lxh1fdnyd3xi04_tn")</f>
        <v/>
      </c>
      <c r="D2335" t="inlineStr">
        <is>
          <t>磁吸壓克力 粉邊,11</t>
        </is>
      </c>
      <c r="E2335" t="inlineStr">
        <is>
          <t>147372796853</t>
        </is>
      </c>
      <c r="F2335">
        <f>IMAGE("https://cf.shopee.tw/file/tw-11134207-7r990-lx3jkfstp546d7_tn")</f>
        <v/>
      </c>
    </row>
    <row r="2336">
      <c r="A2336" t="inlineStr">
        <is>
          <t>27704809463</t>
        </is>
      </c>
      <c r="B2336" t="inlineStr">
        <is>
          <t>隔日到貨🔥 iPhone 磁吸 Magsafe 透明手機殼 iPhone手機殼 磁吸手機殼 保護殼 蘋果 磁吸殼</t>
        </is>
      </c>
      <c r="C2336">
        <f>IMAGE("https://cf.shopee.tw/file/tw-11134207-7r98r-lxh1fdnyd3xi04_tn")</f>
        <v/>
      </c>
      <c r="D2336" t="inlineStr">
        <is>
          <t>磁吸壓克力 粉邊,12/12pro</t>
        </is>
      </c>
      <c r="E2336" t="inlineStr">
        <is>
          <t>147372796855</t>
        </is>
      </c>
      <c r="F2336">
        <f>IMAGE("https://cf.shopee.tw/file/tw-11134207-7r990-lx3jkfstp546d7_tn")</f>
        <v/>
      </c>
    </row>
    <row r="2337">
      <c r="A2337" t="inlineStr">
        <is>
          <t>27704809463</t>
        </is>
      </c>
      <c r="B2337" t="inlineStr">
        <is>
          <t>隔日到貨🔥 iPhone 磁吸 Magsafe 透明手機殼 iPhone手機殼 磁吸手機殼 保護殼 蘋果 磁吸殼</t>
        </is>
      </c>
      <c r="C2337">
        <f>IMAGE("https://cf.shopee.tw/file/tw-11134207-7r98r-lxh1fdnyd3xi04_tn")</f>
        <v/>
      </c>
      <c r="D2337" t="inlineStr">
        <is>
          <t>磁吸壓克力 粉邊,12 Pro Max</t>
        </is>
      </c>
      <c r="E2337" t="inlineStr">
        <is>
          <t>147372796857</t>
        </is>
      </c>
      <c r="F2337">
        <f>IMAGE("https://cf.shopee.tw/file/tw-11134207-7r990-lx3jkfstp546d7_tn")</f>
        <v/>
      </c>
    </row>
    <row r="2338">
      <c r="A2338" t="inlineStr">
        <is>
          <t>27704809463</t>
        </is>
      </c>
      <c r="B2338" t="inlineStr">
        <is>
          <t>隔日到貨🔥 iPhone 磁吸 Magsafe 透明手機殼 iPhone手機殼 磁吸手機殼 保護殼 蘋果 磁吸殼</t>
        </is>
      </c>
      <c r="C2338">
        <f>IMAGE("https://cf.shopee.tw/file/tw-11134207-7r98r-lxh1fdnyd3xi04_tn")</f>
        <v/>
      </c>
      <c r="D2338" t="inlineStr">
        <is>
          <t>磁吸壓克力 粉邊,13</t>
        </is>
      </c>
      <c r="E2338" t="inlineStr">
        <is>
          <t>147372796858</t>
        </is>
      </c>
      <c r="F2338">
        <f>IMAGE("https://cf.shopee.tw/file/tw-11134207-7r990-lx3jkfstp546d7_tn")</f>
        <v/>
      </c>
    </row>
    <row r="2339">
      <c r="A2339" t="inlineStr">
        <is>
          <t>27704809463</t>
        </is>
      </c>
      <c r="B2339" t="inlineStr">
        <is>
          <t>隔日到貨🔥 iPhone 磁吸 Magsafe 透明手機殼 iPhone手機殼 磁吸手機殼 保護殼 蘋果 磁吸殼</t>
        </is>
      </c>
      <c r="C2339">
        <f>IMAGE("https://cf.shopee.tw/file/tw-11134207-7r98r-lxh1fdnyd3xi04_tn")</f>
        <v/>
      </c>
      <c r="D2339" t="inlineStr">
        <is>
          <t>磁吸壓克力 粉邊,13 Pro</t>
        </is>
      </c>
      <c r="E2339" t="inlineStr">
        <is>
          <t>147372796859</t>
        </is>
      </c>
      <c r="F2339">
        <f>IMAGE("https://cf.shopee.tw/file/tw-11134207-7r990-lx3jkfstp546d7_tn")</f>
        <v/>
      </c>
    </row>
    <row r="2340">
      <c r="A2340" t="inlineStr">
        <is>
          <t>27704809463</t>
        </is>
      </c>
      <c r="B2340" t="inlineStr">
        <is>
          <t>隔日到貨🔥 iPhone 磁吸 Magsafe 透明手機殼 iPhone手機殼 磁吸手機殼 保護殼 蘋果 磁吸殼</t>
        </is>
      </c>
      <c r="C2340">
        <f>IMAGE("https://cf.shopee.tw/file/tw-11134207-7r98r-lxh1fdnyd3xi04_tn")</f>
        <v/>
      </c>
      <c r="D2340" t="inlineStr">
        <is>
          <t>磁吸壓克力 粉邊,13 Pro Max</t>
        </is>
      </c>
      <c r="E2340" t="inlineStr">
        <is>
          <t>147372796860</t>
        </is>
      </c>
      <c r="F2340">
        <f>IMAGE("https://cf.shopee.tw/file/tw-11134207-7r990-lx3jkfstp546d7_tn")</f>
        <v/>
      </c>
    </row>
    <row r="2341">
      <c r="A2341" t="inlineStr">
        <is>
          <t>27704809463</t>
        </is>
      </c>
      <c r="B2341" t="inlineStr">
        <is>
          <t>隔日到貨🔥 iPhone 磁吸 Magsafe 透明手機殼 iPhone手機殼 磁吸手機殼 保護殼 蘋果 磁吸殼</t>
        </is>
      </c>
      <c r="C2341">
        <f>IMAGE("https://cf.shopee.tw/file/tw-11134207-7r98r-lxh1fdnyd3xi04_tn")</f>
        <v/>
      </c>
      <c r="D2341" t="inlineStr">
        <is>
          <t>磁吸壓克力 粉邊,14</t>
        </is>
      </c>
      <c r="E2341" t="inlineStr"/>
      <c r="F2341">
        <f>IMAGE("https://cf.shopee.tw/file/tw-11134207-7r990-lx3jkfstp546d7_tn")</f>
        <v/>
      </c>
    </row>
    <row r="2342">
      <c r="A2342" t="inlineStr">
        <is>
          <t>27704809463</t>
        </is>
      </c>
      <c r="B2342" t="inlineStr">
        <is>
          <t>隔日到貨🔥 iPhone 磁吸 Magsafe 透明手機殼 iPhone手機殼 磁吸手機殼 保護殼 蘋果 磁吸殼</t>
        </is>
      </c>
      <c r="C2342">
        <f>IMAGE("https://cf.shopee.tw/file/tw-11134207-7r98r-lxh1fdnyd3xi04_tn")</f>
        <v/>
      </c>
      <c r="D2342" t="inlineStr">
        <is>
          <t>磁吸壓克力 粉邊,14Plus/15Plus</t>
        </is>
      </c>
      <c r="E2342" t="inlineStr">
        <is>
          <t>147372796862</t>
        </is>
      </c>
      <c r="F2342">
        <f>IMAGE("https://cf.shopee.tw/file/tw-11134207-7r990-lx3jkfstp546d7_tn")</f>
        <v/>
      </c>
    </row>
    <row r="2343">
      <c r="A2343" t="inlineStr">
        <is>
          <t>27704809463</t>
        </is>
      </c>
      <c r="B2343" t="inlineStr">
        <is>
          <t>隔日到貨🔥 iPhone 磁吸 Magsafe 透明手機殼 iPhone手機殼 磁吸手機殼 保護殼 蘋果 磁吸殼</t>
        </is>
      </c>
      <c r="C2343">
        <f>IMAGE("https://cf.shopee.tw/file/tw-11134207-7r98r-lxh1fdnyd3xi04_tn")</f>
        <v/>
      </c>
      <c r="D2343" t="inlineStr">
        <is>
          <t>磁吸壓克力 粉邊,14 Pro</t>
        </is>
      </c>
      <c r="E2343" t="inlineStr"/>
      <c r="F2343">
        <f>IMAGE("https://cf.shopee.tw/file/tw-11134207-7r990-lx3jkfstp546d7_tn")</f>
        <v/>
      </c>
    </row>
    <row r="2344">
      <c r="A2344" t="inlineStr">
        <is>
          <t>27704809463</t>
        </is>
      </c>
      <c r="B2344" t="inlineStr">
        <is>
          <t>隔日到貨🔥 iPhone 磁吸 Magsafe 透明手機殼 iPhone手機殼 磁吸手機殼 保護殼 蘋果 磁吸殼</t>
        </is>
      </c>
      <c r="C2344">
        <f>IMAGE("https://cf.shopee.tw/file/tw-11134207-7r98r-lxh1fdnyd3xi04_tn")</f>
        <v/>
      </c>
      <c r="D2344" t="inlineStr">
        <is>
          <t>磁吸壓克力 粉邊,14 Pro Max</t>
        </is>
      </c>
      <c r="E2344" t="inlineStr">
        <is>
          <t>98956789951</t>
        </is>
      </c>
      <c r="F2344">
        <f>IMAGE("https://cf.shopee.tw/file/tw-11134207-7r990-lx3jkfstp546d7_tn")</f>
        <v/>
      </c>
    </row>
    <row r="2345">
      <c r="A2345" t="inlineStr">
        <is>
          <t>27704809463</t>
        </is>
      </c>
      <c r="B2345" t="inlineStr">
        <is>
          <t>隔日到貨🔥 iPhone 磁吸 Magsafe 透明手機殼 iPhone手機殼 磁吸手機殼 保護殼 蘋果 磁吸殼</t>
        </is>
      </c>
      <c r="C2345">
        <f>IMAGE("https://cf.shopee.tw/file/tw-11134207-7r98r-lxh1fdnyd3xi04_tn")</f>
        <v/>
      </c>
      <c r="D2345" t="inlineStr">
        <is>
          <t>磁吸壓克力 粉邊,15</t>
        </is>
      </c>
      <c r="E2345" t="inlineStr">
        <is>
          <t>98956789952</t>
        </is>
      </c>
      <c r="F2345">
        <f>IMAGE("https://cf.shopee.tw/file/tw-11134207-7r990-lx3jkfstp546d7_tn")</f>
        <v/>
      </c>
    </row>
    <row r="2346">
      <c r="A2346" t="inlineStr">
        <is>
          <t>27704809463</t>
        </is>
      </c>
      <c r="B2346" t="inlineStr">
        <is>
          <t>隔日到貨🔥 iPhone 磁吸 Magsafe 透明手機殼 iPhone手機殼 磁吸手機殼 保護殼 蘋果 磁吸殼</t>
        </is>
      </c>
      <c r="C2346">
        <f>IMAGE("https://cf.shopee.tw/file/tw-11134207-7r98r-lxh1fdnyd3xi04_tn")</f>
        <v/>
      </c>
      <c r="D2346" t="inlineStr">
        <is>
          <t>磁吸壓克力 粉邊,15 Pro</t>
        </is>
      </c>
      <c r="E2346" t="inlineStr">
        <is>
          <t>98956789954</t>
        </is>
      </c>
      <c r="F2346">
        <f>IMAGE("https://cf.shopee.tw/file/tw-11134207-7r990-lx3jkfstp546d7_tn")</f>
        <v/>
      </c>
    </row>
    <row r="2347">
      <c r="A2347" t="inlineStr">
        <is>
          <t>27704809463</t>
        </is>
      </c>
      <c r="B2347" t="inlineStr">
        <is>
          <t>隔日到貨🔥 iPhone 磁吸 Magsafe 透明手機殼 iPhone手機殼 磁吸手機殼 保護殼 蘋果 磁吸殼</t>
        </is>
      </c>
      <c r="C2347">
        <f>IMAGE("https://cf.shopee.tw/file/tw-11134207-7r98r-lxh1fdnyd3xi04_tn")</f>
        <v/>
      </c>
      <c r="D2347" t="inlineStr">
        <is>
          <t>磁吸壓克力 粉邊,15 Pro Max</t>
        </is>
      </c>
      <c r="E2347" t="inlineStr"/>
      <c r="F2347">
        <f>IMAGE("https://cf.shopee.tw/file/tw-11134207-7r990-lx3jkfstp546d7_tn")</f>
        <v/>
      </c>
    </row>
    <row r="2348">
      <c r="A2348" t="inlineStr">
        <is>
          <t>27704809463</t>
        </is>
      </c>
      <c r="B2348" t="inlineStr">
        <is>
          <t>隔日到貨🔥 iPhone 磁吸 Magsafe 透明手機殼 iPhone手機殼 磁吸手機殼 保護殼 蘋果 磁吸殼</t>
        </is>
      </c>
      <c r="C2348">
        <f>IMAGE("https://cf.shopee.tw/file/tw-11134207-7r98r-lxh1fdnyd3xi04_tn")</f>
        <v/>
      </c>
      <c r="D2348" t="inlineStr">
        <is>
          <t>磁吸壓克力 粉邊,16</t>
        </is>
      </c>
      <c r="E2348" t="inlineStr">
        <is>
          <t>223438913653</t>
        </is>
      </c>
      <c r="F2348">
        <f>IMAGE("https://cf.shopee.tw/file/tw-11134207-7r990-lx3jkfstp546d7_tn")</f>
        <v/>
      </c>
    </row>
    <row r="2349">
      <c r="A2349" t="inlineStr">
        <is>
          <t>27704809463</t>
        </is>
      </c>
      <c r="B2349" t="inlineStr">
        <is>
          <t>隔日到貨🔥 iPhone 磁吸 Magsafe 透明手機殼 iPhone手機殼 磁吸手機殼 保護殼 蘋果 磁吸殼</t>
        </is>
      </c>
      <c r="C2349">
        <f>IMAGE("https://cf.shopee.tw/file/tw-11134207-7r98r-lxh1fdnyd3xi04_tn")</f>
        <v/>
      </c>
      <c r="D2349" t="inlineStr">
        <is>
          <t>磁吸壓克力 粉邊,16 Pro</t>
        </is>
      </c>
      <c r="E2349" t="inlineStr">
        <is>
          <t>223438913654</t>
        </is>
      </c>
      <c r="F2349">
        <f>IMAGE("https://cf.shopee.tw/file/tw-11134207-7r990-lx3jkfstp546d7_tn")</f>
        <v/>
      </c>
    </row>
    <row r="2350">
      <c r="A2350" t="inlineStr">
        <is>
          <t>27704809463</t>
        </is>
      </c>
      <c r="B2350" t="inlineStr">
        <is>
          <t>隔日到貨🔥 iPhone 磁吸 Magsafe 透明手機殼 iPhone手機殼 磁吸手機殼 保護殼 蘋果 磁吸殼</t>
        </is>
      </c>
      <c r="C2350">
        <f>IMAGE("https://cf.shopee.tw/file/tw-11134207-7r98r-lxh1fdnyd3xi04_tn")</f>
        <v/>
      </c>
      <c r="D2350" t="inlineStr">
        <is>
          <t>磁吸壓克力 粉邊,16 Plus</t>
        </is>
      </c>
      <c r="E2350" t="inlineStr">
        <is>
          <t>223438913655</t>
        </is>
      </c>
      <c r="F2350">
        <f>IMAGE("https://cf.shopee.tw/file/tw-11134207-7r990-lx3jkfstp546d7_tn")</f>
        <v/>
      </c>
    </row>
    <row r="2351">
      <c r="A2351" t="inlineStr">
        <is>
          <t>27704809463</t>
        </is>
      </c>
      <c r="B2351" t="inlineStr">
        <is>
          <t>隔日到貨🔥 iPhone 磁吸 Magsafe 透明手機殼 iPhone手機殼 磁吸手機殼 保護殼 蘋果 磁吸殼</t>
        </is>
      </c>
      <c r="C2351">
        <f>IMAGE("https://cf.shopee.tw/file/tw-11134207-7r98r-lxh1fdnyd3xi04_tn")</f>
        <v/>
      </c>
      <c r="D2351" t="inlineStr">
        <is>
          <t>磁吸壓克力 粉邊,16 Pro Max</t>
        </is>
      </c>
      <c r="E2351" t="inlineStr">
        <is>
          <t>223438913656</t>
        </is>
      </c>
      <c r="F2351">
        <f>IMAGE("https://cf.shopee.tw/file/tw-11134207-7r990-lx3jkfstp546d7_tn")</f>
        <v/>
      </c>
    </row>
    <row r="2352">
      <c r="A2352" t="inlineStr">
        <is>
          <t>27704809463</t>
        </is>
      </c>
      <c r="B2352" t="inlineStr">
        <is>
          <t>隔日到貨🔥 iPhone 磁吸 Magsafe 透明手機殼 iPhone手機殼 磁吸手機殼 保護殼 蘋果 磁吸殼</t>
        </is>
      </c>
      <c r="C2352">
        <f>IMAGE("https://cf.shopee.tw/file/tw-11134207-7r98r-lxh1fdnyd3xi04_tn")</f>
        <v/>
      </c>
      <c r="D2352" t="inlineStr">
        <is>
          <t>磁吸壓克力 綠邊,11</t>
        </is>
      </c>
      <c r="E2352" t="inlineStr">
        <is>
          <t>98956789956</t>
        </is>
      </c>
      <c r="F2352">
        <f>IMAGE("https://cf.shopee.tw/file/tw-11134207-7r98s-lx3jkfsu4ld2e4_tn")</f>
        <v/>
      </c>
    </row>
    <row r="2353">
      <c r="A2353" t="inlineStr">
        <is>
          <t>27704809463</t>
        </is>
      </c>
      <c r="B2353" t="inlineStr">
        <is>
          <t>隔日到貨🔥 iPhone 磁吸 Magsafe 透明手機殼 iPhone手機殼 磁吸手機殼 保護殼 蘋果 磁吸殼</t>
        </is>
      </c>
      <c r="C2353">
        <f>IMAGE("https://cf.shopee.tw/file/tw-11134207-7r98r-lxh1fdnyd3xi04_tn")</f>
        <v/>
      </c>
      <c r="D2353" t="inlineStr">
        <is>
          <t>磁吸壓克力 綠邊,12/12pro</t>
        </is>
      </c>
      <c r="E2353" t="inlineStr">
        <is>
          <t>98956789958</t>
        </is>
      </c>
      <c r="F2353">
        <f>IMAGE("https://cf.shopee.tw/file/tw-11134207-7r98s-lx3jkfsu4ld2e4_tn")</f>
        <v/>
      </c>
    </row>
    <row r="2354">
      <c r="A2354" t="inlineStr">
        <is>
          <t>27704809463</t>
        </is>
      </c>
      <c r="B2354" t="inlineStr">
        <is>
          <t>隔日到貨🔥 iPhone 磁吸 Magsafe 透明手機殼 iPhone手機殼 磁吸手機殼 保護殼 蘋果 磁吸殼</t>
        </is>
      </c>
      <c r="C2354">
        <f>IMAGE("https://cf.shopee.tw/file/tw-11134207-7r98r-lxh1fdnyd3xi04_tn")</f>
        <v/>
      </c>
      <c r="D2354" t="inlineStr">
        <is>
          <t>磁吸壓克力 綠邊,12 Pro Max</t>
        </is>
      </c>
      <c r="E2354" t="inlineStr"/>
      <c r="F2354">
        <f>IMAGE("https://cf.shopee.tw/file/tw-11134207-7r98s-lx3jkfsu4ld2e4_tn")</f>
        <v/>
      </c>
    </row>
    <row r="2355">
      <c r="A2355" t="inlineStr">
        <is>
          <t>27704809463</t>
        </is>
      </c>
      <c r="B2355" t="inlineStr">
        <is>
          <t>隔日到貨🔥 iPhone 磁吸 Magsafe 透明手機殼 iPhone手機殼 磁吸手機殼 保護殼 蘋果 磁吸殼</t>
        </is>
      </c>
      <c r="C2355">
        <f>IMAGE("https://cf.shopee.tw/file/tw-11134207-7r98r-lxh1fdnyd3xi04_tn")</f>
        <v/>
      </c>
      <c r="D2355" t="inlineStr">
        <is>
          <t>磁吸壓克力 綠邊,13</t>
        </is>
      </c>
      <c r="E2355" t="inlineStr">
        <is>
          <t>98956789961</t>
        </is>
      </c>
      <c r="F2355">
        <f>IMAGE("https://cf.shopee.tw/file/tw-11134207-7r98s-lx3jkfsu4ld2e4_tn")</f>
        <v/>
      </c>
    </row>
    <row r="2356">
      <c r="A2356" t="inlineStr">
        <is>
          <t>27704809463</t>
        </is>
      </c>
      <c r="B2356" t="inlineStr">
        <is>
          <t>隔日到貨🔥 iPhone 磁吸 Magsafe 透明手機殼 iPhone手機殼 磁吸手機殼 保護殼 蘋果 磁吸殼</t>
        </is>
      </c>
      <c r="C2356">
        <f>IMAGE("https://cf.shopee.tw/file/tw-11134207-7r98r-lxh1fdnyd3xi04_tn")</f>
        <v/>
      </c>
      <c r="D2356" t="inlineStr">
        <is>
          <t>磁吸壓克力 綠邊,13 Pro</t>
        </is>
      </c>
      <c r="E2356" t="inlineStr"/>
      <c r="F2356">
        <f>IMAGE("https://cf.shopee.tw/file/tw-11134207-7r98s-lx3jkfsu4ld2e4_tn")</f>
        <v/>
      </c>
    </row>
    <row r="2357">
      <c r="A2357" t="inlineStr">
        <is>
          <t>27704809463</t>
        </is>
      </c>
      <c r="B2357" t="inlineStr">
        <is>
          <t>隔日到貨🔥 iPhone 磁吸 Magsafe 透明手機殼 iPhone手機殼 磁吸手機殼 保護殼 蘋果 磁吸殼</t>
        </is>
      </c>
      <c r="C2357">
        <f>IMAGE("https://cf.shopee.tw/file/tw-11134207-7r98r-lxh1fdnyd3xi04_tn")</f>
        <v/>
      </c>
      <c r="D2357" t="inlineStr">
        <is>
          <t>磁吸壓克力 綠邊,13 Pro Max</t>
        </is>
      </c>
      <c r="E2357" t="inlineStr"/>
      <c r="F2357">
        <f>IMAGE("https://cf.shopee.tw/file/tw-11134207-7r98s-lx3jkfsu4ld2e4_tn")</f>
        <v/>
      </c>
    </row>
    <row r="2358">
      <c r="A2358" t="inlineStr">
        <is>
          <t>27704809463</t>
        </is>
      </c>
      <c r="B2358" t="inlineStr">
        <is>
          <t>隔日到貨🔥 iPhone 磁吸 Magsafe 透明手機殼 iPhone手機殼 磁吸手機殼 保護殼 蘋果 磁吸殼</t>
        </is>
      </c>
      <c r="C2358">
        <f>IMAGE("https://cf.shopee.tw/file/tw-11134207-7r98r-lxh1fdnyd3xi04_tn")</f>
        <v/>
      </c>
      <c r="D2358" t="inlineStr">
        <is>
          <t>磁吸壓克力 綠邊,14</t>
        </is>
      </c>
      <c r="E2358" t="inlineStr"/>
      <c r="F2358">
        <f>IMAGE("https://cf.shopee.tw/file/tw-11134207-7r98s-lx3jkfsu4ld2e4_tn")</f>
        <v/>
      </c>
    </row>
    <row r="2359">
      <c r="A2359" t="inlineStr">
        <is>
          <t>27704809463</t>
        </is>
      </c>
      <c r="B2359" t="inlineStr">
        <is>
          <t>隔日到貨🔥 iPhone 磁吸 Magsafe 透明手機殼 iPhone手機殼 磁吸手機殼 保護殼 蘋果 磁吸殼</t>
        </is>
      </c>
      <c r="C2359">
        <f>IMAGE("https://cf.shopee.tw/file/tw-11134207-7r98r-lxh1fdnyd3xi04_tn")</f>
        <v/>
      </c>
      <c r="D2359" t="inlineStr">
        <is>
          <t>磁吸壓克力 綠邊,14Plus/15Plus</t>
        </is>
      </c>
      <c r="E2359" t="inlineStr">
        <is>
          <t>98956789965</t>
        </is>
      </c>
      <c r="F2359">
        <f>IMAGE("https://cf.shopee.tw/file/tw-11134207-7r98s-lx3jkfsu4ld2e4_tn")</f>
        <v/>
      </c>
    </row>
    <row r="2360">
      <c r="A2360" t="inlineStr">
        <is>
          <t>27704809463</t>
        </is>
      </c>
      <c r="B2360" t="inlineStr">
        <is>
          <t>隔日到貨🔥 iPhone 磁吸 Magsafe 透明手機殼 iPhone手機殼 磁吸手機殼 保護殼 蘋果 磁吸殼</t>
        </is>
      </c>
      <c r="C2360">
        <f>IMAGE("https://cf.shopee.tw/file/tw-11134207-7r98r-lxh1fdnyd3xi04_tn")</f>
        <v/>
      </c>
      <c r="D2360" t="inlineStr">
        <is>
          <t>磁吸壓克力 綠邊,14 Pro</t>
        </is>
      </c>
      <c r="E2360" t="inlineStr">
        <is>
          <t>98956789966</t>
        </is>
      </c>
      <c r="F2360">
        <f>IMAGE("https://cf.shopee.tw/file/tw-11134207-7r98s-lx3jkfsu4ld2e4_tn")</f>
        <v/>
      </c>
    </row>
    <row r="2361">
      <c r="A2361" t="inlineStr">
        <is>
          <t>27704809463</t>
        </is>
      </c>
      <c r="B2361" t="inlineStr">
        <is>
          <t>隔日到貨🔥 iPhone 磁吸 Magsafe 透明手機殼 iPhone手機殼 磁吸手機殼 保護殼 蘋果 磁吸殼</t>
        </is>
      </c>
      <c r="C2361">
        <f>IMAGE("https://cf.shopee.tw/file/tw-11134207-7r98r-lxh1fdnyd3xi04_tn")</f>
        <v/>
      </c>
      <c r="D2361" t="inlineStr">
        <is>
          <t>磁吸壓克力 綠邊,14 Pro Max</t>
        </is>
      </c>
      <c r="E2361" t="inlineStr"/>
      <c r="F2361">
        <f>IMAGE("https://cf.shopee.tw/file/tw-11134207-7r98s-lx3jkfsu4ld2e4_tn")</f>
        <v/>
      </c>
    </row>
    <row r="2362">
      <c r="A2362" t="inlineStr">
        <is>
          <t>27704809463</t>
        </is>
      </c>
      <c r="B2362" t="inlineStr">
        <is>
          <t>隔日到貨🔥 iPhone 磁吸 Magsafe 透明手機殼 iPhone手機殼 磁吸手機殼 保護殼 蘋果 磁吸殼</t>
        </is>
      </c>
      <c r="C2362">
        <f>IMAGE("https://cf.shopee.tw/file/tw-11134207-7r98r-lxh1fdnyd3xi04_tn")</f>
        <v/>
      </c>
      <c r="D2362" t="inlineStr">
        <is>
          <t>磁吸壓克力 綠邊,15</t>
        </is>
      </c>
      <c r="E2362" t="inlineStr">
        <is>
          <t>109207384371</t>
        </is>
      </c>
      <c r="F2362">
        <f>IMAGE("https://cf.shopee.tw/file/tw-11134207-7r98s-lx3jkfsu4ld2e4_tn")</f>
        <v/>
      </c>
    </row>
    <row r="2363">
      <c r="A2363" t="inlineStr">
        <is>
          <t>27704809463</t>
        </is>
      </c>
      <c r="B2363" t="inlineStr">
        <is>
          <t>隔日到貨🔥 iPhone 磁吸 Magsafe 透明手機殼 iPhone手機殼 磁吸手機殼 保護殼 蘋果 磁吸殼</t>
        </is>
      </c>
      <c r="C2363">
        <f>IMAGE("https://cf.shopee.tw/file/tw-11134207-7r98r-lxh1fdnyd3xi04_tn")</f>
        <v/>
      </c>
      <c r="D2363" t="inlineStr">
        <is>
          <t>磁吸壓克力 綠邊,15 Pro</t>
        </is>
      </c>
      <c r="E2363" t="inlineStr"/>
      <c r="F2363">
        <f>IMAGE("https://cf.shopee.tw/file/tw-11134207-7r98s-lx3jkfsu4ld2e4_tn")</f>
        <v/>
      </c>
    </row>
    <row r="2364">
      <c r="A2364" t="inlineStr">
        <is>
          <t>27704809463</t>
        </is>
      </c>
      <c r="B2364" t="inlineStr">
        <is>
          <t>隔日到貨🔥 iPhone 磁吸 Magsafe 透明手機殼 iPhone手機殼 磁吸手機殼 保護殼 蘋果 磁吸殼</t>
        </is>
      </c>
      <c r="C2364">
        <f>IMAGE("https://cf.shopee.tw/file/tw-11134207-7r98r-lxh1fdnyd3xi04_tn")</f>
        <v/>
      </c>
      <c r="D2364" t="inlineStr">
        <is>
          <t>磁吸壓克力 綠邊,15 Pro Max</t>
        </is>
      </c>
      <c r="E2364" t="inlineStr"/>
      <c r="F2364">
        <f>IMAGE("https://cf.shopee.tw/file/tw-11134207-7r98s-lx3jkfsu4ld2e4_tn")</f>
        <v/>
      </c>
    </row>
    <row r="2365">
      <c r="A2365" t="inlineStr">
        <is>
          <t>27704809463</t>
        </is>
      </c>
      <c r="B2365" t="inlineStr">
        <is>
          <t>隔日到貨🔥 iPhone 磁吸 Magsafe 透明手機殼 iPhone手機殼 磁吸手機殼 保護殼 蘋果 磁吸殼</t>
        </is>
      </c>
      <c r="C2365">
        <f>IMAGE("https://cf.shopee.tw/file/tw-11134207-7r98r-lxh1fdnyd3xi04_tn")</f>
        <v/>
      </c>
      <c r="D2365" t="inlineStr">
        <is>
          <t>磁吸壓克力 綠邊,16</t>
        </is>
      </c>
      <c r="E2365" t="inlineStr"/>
      <c r="F2365">
        <f>IMAGE("https://cf.shopee.tw/file/tw-11134207-7r98s-lx3jkfsu4ld2e4_tn")</f>
        <v/>
      </c>
    </row>
    <row r="2366">
      <c r="A2366" t="inlineStr">
        <is>
          <t>27704809463</t>
        </is>
      </c>
      <c r="B2366" t="inlineStr">
        <is>
          <t>隔日到貨🔥 iPhone 磁吸 Magsafe 透明手機殼 iPhone手機殼 磁吸手機殼 保護殼 蘋果 磁吸殼</t>
        </is>
      </c>
      <c r="C2366">
        <f>IMAGE("https://cf.shopee.tw/file/tw-11134207-7r98r-lxh1fdnyd3xi04_tn")</f>
        <v/>
      </c>
      <c r="D2366" t="inlineStr">
        <is>
          <t>磁吸壓克力 綠邊,16 Pro</t>
        </is>
      </c>
      <c r="E2366" t="inlineStr"/>
      <c r="F2366">
        <f>IMAGE("https://cf.shopee.tw/file/tw-11134207-7r98s-lx3jkfsu4ld2e4_tn")</f>
        <v/>
      </c>
    </row>
    <row r="2367">
      <c r="A2367" t="inlineStr">
        <is>
          <t>27704809463</t>
        </is>
      </c>
      <c r="B2367" t="inlineStr">
        <is>
          <t>隔日到貨🔥 iPhone 磁吸 Magsafe 透明手機殼 iPhone手機殼 磁吸手機殼 保護殼 蘋果 磁吸殼</t>
        </is>
      </c>
      <c r="C2367">
        <f>IMAGE("https://cf.shopee.tw/file/tw-11134207-7r98r-lxh1fdnyd3xi04_tn")</f>
        <v/>
      </c>
      <c r="D2367" t="inlineStr">
        <is>
          <t>磁吸壓克力 綠邊,16 Plus</t>
        </is>
      </c>
      <c r="E2367" t="inlineStr"/>
      <c r="F2367">
        <f>IMAGE("https://cf.shopee.tw/file/tw-11134207-7r98s-lx3jkfsu4ld2e4_tn")</f>
        <v/>
      </c>
    </row>
    <row r="2368">
      <c r="A2368" t="inlineStr">
        <is>
          <t>27704809463</t>
        </is>
      </c>
      <c r="B2368" t="inlineStr">
        <is>
          <t>隔日到貨🔥 iPhone 磁吸 Magsafe 透明手機殼 iPhone手機殼 磁吸手機殼 保護殼 蘋果 磁吸殼</t>
        </is>
      </c>
      <c r="C2368">
        <f>IMAGE("https://cf.shopee.tw/file/tw-11134207-7r98r-lxh1fdnyd3xi04_tn")</f>
        <v/>
      </c>
      <c r="D2368" t="inlineStr">
        <is>
          <t>磁吸壓克力 綠邊,16 Pro Max</t>
        </is>
      </c>
      <c r="E2368" t="inlineStr"/>
      <c r="F2368">
        <f>IMAGE("https://cf.shopee.tw/file/tw-11134207-7r98s-lx3jkfsu4ld2e4_tn")</f>
        <v/>
      </c>
    </row>
    <row r="2369">
      <c r="A2369" t="inlineStr">
        <is>
          <t>27704809463</t>
        </is>
      </c>
      <c r="B2369" t="inlineStr">
        <is>
          <t>隔日到貨🔥 iPhone 磁吸 Magsafe 透明手機殼 iPhone手機殼 磁吸手機殼 保護殼 蘋果 磁吸殼</t>
        </is>
      </c>
      <c r="C2369">
        <f>IMAGE("https://cf.shopee.tw/file/tw-11134207-7r98r-lxh1fdnyd3xi04_tn")</f>
        <v/>
      </c>
      <c r="D2369" t="inlineStr">
        <is>
          <t>磁吸壓克力 紫邊,11</t>
        </is>
      </c>
      <c r="E2369" t="inlineStr">
        <is>
          <t>109207384375</t>
        </is>
      </c>
      <c r="F2369">
        <f>IMAGE("https://cf.shopee.tw/file/tw-11134207-7r990-lx3jkfwpjgh20c_tn")</f>
        <v/>
      </c>
    </row>
    <row r="2370">
      <c r="A2370" t="inlineStr">
        <is>
          <t>27704809463</t>
        </is>
      </c>
      <c r="B2370" t="inlineStr">
        <is>
          <t>隔日到貨🔥 iPhone 磁吸 Magsafe 透明手機殼 iPhone手機殼 磁吸手機殼 保護殼 蘋果 磁吸殼</t>
        </is>
      </c>
      <c r="C2370">
        <f>IMAGE("https://cf.shopee.tw/file/tw-11134207-7r98r-lxh1fdnyd3xi04_tn")</f>
        <v/>
      </c>
      <c r="D2370" t="inlineStr">
        <is>
          <t>磁吸壓克力 紫邊,12/12pro</t>
        </is>
      </c>
      <c r="E2370" t="inlineStr">
        <is>
          <t>109207384377</t>
        </is>
      </c>
      <c r="F2370">
        <f>IMAGE("https://cf.shopee.tw/file/tw-11134207-7r990-lx3jkfwpjgh20c_tn")</f>
        <v/>
      </c>
    </row>
    <row r="2371">
      <c r="A2371" t="inlineStr">
        <is>
          <t>27704809463</t>
        </is>
      </c>
      <c r="B2371" t="inlineStr">
        <is>
          <t>隔日到貨🔥 iPhone 磁吸 Magsafe 透明手機殼 iPhone手機殼 磁吸手機殼 保護殼 蘋果 磁吸殼</t>
        </is>
      </c>
      <c r="C2371">
        <f>IMAGE("https://cf.shopee.tw/file/tw-11134207-7r98r-lxh1fdnyd3xi04_tn")</f>
        <v/>
      </c>
      <c r="D2371" t="inlineStr">
        <is>
          <t>磁吸壓克力 紫邊,12 Pro Max</t>
        </is>
      </c>
      <c r="E2371" t="inlineStr">
        <is>
          <t>109207384379</t>
        </is>
      </c>
      <c r="F2371">
        <f>IMAGE("https://cf.shopee.tw/file/tw-11134207-7r990-lx3jkfwpjgh20c_tn")</f>
        <v/>
      </c>
    </row>
    <row r="2372">
      <c r="A2372" t="inlineStr">
        <is>
          <t>27704809463</t>
        </is>
      </c>
      <c r="B2372" t="inlineStr">
        <is>
          <t>隔日到貨🔥 iPhone 磁吸 Magsafe 透明手機殼 iPhone手機殼 磁吸手機殼 保護殼 蘋果 磁吸殼</t>
        </is>
      </c>
      <c r="C2372">
        <f>IMAGE("https://cf.shopee.tw/file/tw-11134207-7r98r-lxh1fdnyd3xi04_tn")</f>
        <v/>
      </c>
      <c r="D2372" t="inlineStr">
        <is>
          <t>磁吸壓克力 紫邊,13</t>
        </is>
      </c>
      <c r="E2372" t="inlineStr">
        <is>
          <t>109207384380</t>
        </is>
      </c>
      <c r="F2372">
        <f>IMAGE("https://cf.shopee.tw/file/tw-11134207-7r990-lx3jkfwpjgh20c_tn")</f>
        <v/>
      </c>
    </row>
    <row r="2373">
      <c r="A2373" t="inlineStr">
        <is>
          <t>27704809463</t>
        </is>
      </c>
      <c r="B2373" t="inlineStr">
        <is>
          <t>隔日到貨🔥 iPhone 磁吸 Magsafe 透明手機殼 iPhone手機殼 磁吸手機殼 保護殼 蘋果 磁吸殼</t>
        </is>
      </c>
      <c r="C2373">
        <f>IMAGE("https://cf.shopee.tw/file/tw-11134207-7r98r-lxh1fdnyd3xi04_tn")</f>
        <v/>
      </c>
      <c r="D2373" t="inlineStr">
        <is>
          <t>磁吸壓克力 紫邊,13 Pro</t>
        </is>
      </c>
      <c r="E2373" t="inlineStr">
        <is>
          <t>109207384381</t>
        </is>
      </c>
      <c r="F2373">
        <f>IMAGE("https://cf.shopee.tw/file/tw-11134207-7r990-lx3jkfwpjgh20c_tn")</f>
        <v/>
      </c>
    </row>
    <row r="2374">
      <c r="A2374" t="inlineStr">
        <is>
          <t>27704809463</t>
        </is>
      </c>
      <c r="B2374" t="inlineStr">
        <is>
          <t>隔日到貨🔥 iPhone 磁吸 Magsafe 透明手機殼 iPhone手機殼 磁吸手機殼 保護殼 蘋果 磁吸殼</t>
        </is>
      </c>
      <c r="C2374">
        <f>IMAGE("https://cf.shopee.tw/file/tw-11134207-7r98r-lxh1fdnyd3xi04_tn")</f>
        <v/>
      </c>
      <c r="D2374" t="inlineStr">
        <is>
          <t>磁吸壓克力 紫邊,13 Pro Max</t>
        </is>
      </c>
      <c r="E2374" t="inlineStr">
        <is>
          <t>109207384382</t>
        </is>
      </c>
      <c r="F2374">
        <f>IMAGE("https://cf.shopee.tw/file/tw-11134207-7r990-lx3jkfwpjgh20c_tn")</f>
        <v/>
      </c>
    </row>
    <row r="2375">
      <c r="A2375" t="inlineStr">
        <is>
          <t>27704809463</t>
        </is>
      </c>
      <c r="B2375" t="inlineStr">
        <is>
          <t>隔日到貨🔥 iPhone 磁吸 Magsafe 透明手機殼 iPhone手機殼 磁吸手機殼 保護殼 蘋果 磁吸殼</t>
        </is>
      </c>
      <c r="C2375">
        <f>IMAGE("https://cf.shopee.tw/file/tw-11134207-7r98r-lxh1fdnyd3xi04_tn")</f>
        <v/>
      </c>
      <c r="D2375" t="inlineStr">
        <is>
          <t>磁吸壓克力 紫邊,14</t>
        </is>
      </c>
      <c r="E2375" t="inlineStr">
        <is>
          <t>109207384383</t>
        </is>
      </c>
      <c r="F2375">
        <f>IMAGE("https://cf.shopee.tw/file/tw-11134207-7r990-lx3jkfwpjgh20c_tn")</f>
        <v/>
      </c>
    </row>
    <row r="2376">
      <c r="A2376" t="inlineStr">
        <is>
          <t>27704809463</t>
        </is>
      </c>
      <c r="B2376" t="inlineStr">
        <is>
          <t>隔日到貨🔥 iPhone 磁吸 Magsafe 透明手機殼 iPhone手機殼 磁吸手機殼 保護殼 蘋果 磁吸殼</t>
        </is>
      </c>
      <c r="C2376">
        <f>IMAGE("https://cf.shopee.tw/file/tw-11134207-7r98r-lxh1fdnyd3xi04_tn")</f>
        <v/>
      </c>
      <c r="D2376" t="inlineStr">
        <is>
          <t>磁吸壓克力 紫邊,14Plus/15Plus</t>
        </is>
      </c>
      <c r="E2376" t="inlineStr">
        <is>
          <t>109207384384</t>
        </is>
      </c>
      <c r="F2376">
        <f>IMAGE("https://cf.shopee.tw/file/tw-11134207-7r990-lx3jkfwpjgh20c_tn")</f>
        <v/>
      </c>
    </row>
    <row r="2377">
      <c r="A2377" t="inlineStr">
        <is>
          <t>27704809463</t>
        </is>
      </c>
      <c r="B2377" t="inlineStr">
        <is>
          <t>隔日到貨🔥 iPhone 磁吸 Magsafe 透明手機殼 iPhone手機殼 磁吸手機殼 保護殼 蘋果 磁吸殼</t>
        </is>
      </c>
      <c r="C2377">
        <f>IMAGE("https://cf.shopee.tw/file/tw-11134207-7r98r-lxh1fdnyd3xi04_tn")</f>
        <v/>
      </c>
      <c r="D2377" t="inlineStr">
        <is>
          <t>磁吸壓克力 紫邊,14 Pro</t>
        </is>
      </c>
      <c r="E2377" t="inlineStr">
        <is>
          <t>109207384385</t>
        </is>
      </c>
      <c r="F2377">
        <f>IMAGE("https://cf.shopee.tw/file/tw-11134207-7r990-lx3jkfwpjgh20c_tn")</f>
        <v/>
      </c>
    </row>
    <row r="2378">
      <c r="A2378" t="inlineStr">
        <is>
          <t>27704809463</t>
        </is>
      </c>
      <c r="B2378" t="inlineStr">
        <is>
          <t>隔日到貨🔥 iPhone 磁吸 Magsafe 透明手機殼 iPhone手機殼 磁吸手機殼 保護殼 蘋果 磁吸殼</t>
        </is>
      </c>
      <c r="C2378">
        <f>IMAGE("https://cf.shopee.tw/file/tw-11134207-7r98r-lxh1fdnyd3xi04_tn")</f>
        <v/>
      </c>
      <c r="D2378" t="inlineStr">
        <is>
          <t>磁吸壓克力 紫邊,14 Pro Max</t>
        </is>
      </c>
      <c r="E2378" t="inlineStr">
        <is>
          <t>109207384386</t>
        </is>
      </c>
      <c r="F2378">
        <f>IMAGE("https://cf.shopee.tw/file/tw-11134207-7r990-lx3jkfwpjgh20c_tn")</f>
        <v/>
      </c>
    </row>
    <row r="2379">
      <c r="A2379" t="inlineStr">
        <is>
          <t>27704809463</t>
        </is>
      </c>
      <c r="B2379" t="inlineStr">
        <is>
          <t>隔日到貨🔥 iPhone 磁吸 Magsafe 透明手機殼 iPhone手機殼 磁吸手機殼 保護殼 蘋果 磁吸殼</t>
        </is>
      </c>
      <c r="C2379">
        <f>IMAGE("https://cf.shopee.tw/file/tw-11134207-7r98r-lxh1fdnyd3xi04_tn")</f>
        <v/>
      </c>
      <c r="D2379" t="inlineStr">
        <is>
          <t>磁吸壓克力 紫邊,15</t>
        </is>
      </c>
      <c r="E2379" t="inlineStr"/>
      <c r="F2379">
        <f>IMAGE("https://cf.shopee.tw/file/tw-11134207-7r990-lx3jkfwpjgh20c_tn")</f>
        <v/>
      </c>
    </row>
    <row r="2380">
      <c r="A2380" t="inlineStr">
        <is>
          <t>27704809463</t>
        </is>
      </c>
      <c r="B2380" t="inlineStr">
        <is>
          <t>隔日到貨🔥 iPhone 磁吸 Magsafe 透明手機殼 iPhone手機殼 磁吸手機殼 保護殼 蘋果 磁吸殼</t>
        </is>
      </c>
      <c r="C2380">
        <f>IMAGE("https://cf.shopee.tw/file/tw-11134207-7r98r-lxh1fdnyd3xi04_tn")</f>
        <v/>
      </c>
      <c r="D2380" t="inlineStr">
        <is>
          <t>磁吸壓克力 紫邊,15 Pro</t>
        </is>
      </c>
      <c r="E2380" t="inlineStr">
        <is>
          <t>109207384389</t>
        </is>
      </c>
      <c r="F2380">
        <f>IMAGE("https://cf.shopee.tw/file/tw-11134207-7r990-lx3jkfwpjgh20c_tn")</f>
        <v/>
      </c>
    </row>
    <row r="2381">
      <c r="A2381" t="inlineStr">
        <is>
          <t>27704809463</t>
        </is>
      </c>
      <c r="B2381" t="inlineStr">
        <is>
          <t>隔日到貨🔥 iPhone 磁吸 Magsafe 透明手機殼 iPhone手機殼 磁吸手機殼 保護殼 蘋果 磁吸殼</t>
        </is>
      </c>
      <c r="C2381">
        <f>IMAGE("https://cf.shopee.tw/file/tw-11134207-7r98r-lxh1fdnyd3xi04_tn")</f>
        <v/>
      </c>
      <c r="D2381" t="inlineStr">
        <is>
          <t>磁吸壓克力 紫邊,15 Pro Max</t>
        </is>
      </c>
      <c r="E2381" t="inlineStr"/>
      <c r="F2381">
        <f>IMAGE("https://cf.shopee.tw/file/tw-11134207-7r990-lx3jkfwpjgh20c_tn")</f>
        <v/>
      </c>
    </row>
    <row r="2382">
      <c r="A2382" t="inlineStr">
        <is>
          <t>27704809463</t>
        </is>
      </c>
      <c r="B2382" t="inlineStr">
        <is>
          <t>隔日到貨🔥 iPhone 磁吸 Magsafe 透明手機殼 iPhone手機殼 磁吸手機殼 保護殼 蘋果 磁吸殼</t>
        </is>
      </c>
      <c r="C2382">
        <f>IMAGE("https://cf.shopee.tw/file/tw-11134207-7r98r-lxh1fdnyd3xi04_tn")</f>
        <v/>
      </c>
      <c r="D2382" t="inlineStr">
        <is>
          <t>磁吸壓克力 紫邊,16</t>
        </is>
      </c>
      <c r="E2382" t="inlineStr">
        <is>
          <t>223438913661</t>
        </is>
      </c>
      <c r="F2382">
        <f>IMAGE("https://cf.shopee.tw/file/tw-11134207-7r990-lx3jkfwpjgh20c_tn")</f>
        <v/>
      </c>
    </row>
    <row r="2383">
      <c r="A2383" t="inlineStr">
        <is>
          <t>27704809463</t>
        </is>
      </c>
      <c r="B2383" t="inlineStr">
        <is>
          <t>隔日到貨🔥 iPhone 磁吸 Magsafe 透明手機殼 iPhone手機殼 磁吸手機殼 保護殼 蘋果 磁吸殼</t>
        </is>
      </c>
      <c r="C2383">
        <f>IMAGE("https://cf.shopee.tw/file/tw-11134207-7r98r-lxh1fdnyd3xi04_tn")</f>
        <v/>
      </c>
      <c r="D2383" t="inlineStr">
        <is>
          <t>磁吸壓克力 紫邊,16 Pro</t>
        </is>
      </c>
      <c r="E2383" t="inlineStr">
        <is>
          <t>223438913662</t>
        </is>
      </c>
      <c r="F2383">
        <f>IMAGE("https://cf.shopee.tw/file/tw-11134207-7r990-lx3jkfwpjgh20c_tn")</f>
        <v/>
      </c>
    </row>
    <row r="2384">
      <c r="A2384" t="inlineStr">
        <is>
          <t>27704809463</t>
        </is>
      </c>
      <c r="B2384" t="inlineStr">
        <is>
          <t>隔日到貨🔥 iPhone 磁吸 Magsafe 透明手機殼 iPhone手機殼 磁吸手機殼 保護殼 蘋果 磁吸殼</t>
        </is>
      </c>
      <c r="C2384">
        <f>IMAGE("https://cf.shopee.tw/file/tw-11134207-7r98r-lxh1fdnyd3xi04_tn")</f>
        <v/>
      </c>
      <c r="D2384" t="inlineStr">
        <is>
          <t>磁吸壓克力 紫邊,16 Plus</t>
        </is>
      </c>
      <c r="E2384" t="inlineStr"/>
      <c r="F2384">
        <f>IMAGE("https://cf.shopee.tw/file/tw-11134207-7r990-lx3jkfwpjgh20c_tn")</f>
        <v/>
      </c>
    </row>
    <row r="2385">
      <c r="A2385" t="inlineStr">
        <is>
          <t>27704809463</t>
        </is>
      </c>
      <c r="B2385" t="inlineStr">
        <is>
          <t>隔日到貨🔥 iPhone 磁吸 Magsafe 透明手機殼 iPhone手機殼 磁吸手機殼 保護殼 蘋果 磁吸殼</t>
        </is>
      </c>
      <c r="C2385">
        <f>IMAGE("https://cf.shopee.tw/file/tw-11134207-7r98r-lxh1fdnyd3xi04_tn")</f>
        <v/>
      </c>
      <c r="D2385" t="inlineStr">
        <is>
          <t>磁吸壓克力 紫邊,16 Pro Max</t>
        </is>
      </c>
      <c r="E2385" t="inlineStr"/>
      <c r="F2385">
        <f>IMAGE("https://cf.shopee.tw/file/tw-11134207-7r990-lx3jkfwpjgh20c_tn")</f>
        <v/>
      </c>
    </row>
    <row r="2386">
      <c r="A2386" t="inlineStr">
        <is>
          <t>27704809463</t>
        </is>
      </c>
      <c r="B2386" t="inlineStr">
        <is>
          <t>隔日到貨🔥 iPhone 磁吸 Magsafe 透明手機殼 iPhone手機殼 磁吸手機殼 保護殼 蘋果 磁吸殼</t>
        </is>
      </c>
      <c r="C2386">
        <f>IMAGE("https://cf.shopee.tw/file/tw-11134207-7r98r-lxh1fdnyd3xi04_tn")</f>
        <v/>
      </c>
      <c r="D2386" t="inlineStr">
        <is>
          <t>磁吸壓克力 紫邊,17</t>
        </is>
      </c>
      <c r="E2386" t="inlineStr">
        <is>
          <t>345088797260</t>
        </is>
      </c>
      <c r="F2386">
        <f>IMAGE("https://cf.shopee.tw/file/tw-11134207-7r990-lx3jkfwpjgh20c_tn")</f>
        <v/>
      </c>
    </row>
    <row r="2387">
      <c r="A2387" t="inlineStr">
        <is>
          <t>27704809463</t>
        </is>
      </c>
      <c r="B2387" t="inlineStr">
        <is>
          <t>隔日到貨🔥 iPhone 磁吸 Magsafe 透明手機殼 iPhone手機殼 磁吸手機殼 保護殼 蘋果 磁吸殼</t>
        </is>
      </c>
      <c r="C2387">
        <f>IMAGE("https://cf.shopee.tw/file/tw-11134207-7r98r-lxh1fdnyd3xi04_tn")</f>
        <v/>
      </c>
      <c r="D2387" t="inlineStr">
        <is>
          <t>磁吸壓克力 紫邊,17 Pro</t>
        </is>
      </c>
      <c r="E2387" t="inlineStr"/>
      <c r="F2387">
        <f>IMAGE("https://cf.shopee.tw/file/tw-11134207-7r990-lx3jkfwpjgh20c_tn")</f>
        <v/>
      </c>
    </row>
    <row r="2388">
      <c r="A2388" t="inlineStr">
        <is>
          <t>27704809463</t>
        </is>
      </c>
      <c r="B2388" t="inlineStr">
        <is>
          <t>隔日到貨🔥 iPhone 磁吸 Magsafe 透明手機殼 iPhone手機殼 磁吸手機殼 保護殼 蘋果 磁吸殼</t>
        </is>
      </c>
      <c r="C2388">
        <f>IMAGE("https://cf.shopee.tw/file/tw-11134207-7r98r-lxh1fdnyd3xi04_tn")</f>
        <v/>
      </c>
      <c r="D2388" t="inlineStr">
        <is>
          <t>磁吸壓克力 紫邊,17 Pro Max</t>
        </is>
      </c>
      <c r="E2388" t="inlineStr"/>
      <c r="F2388">
        <f>IMAGE("https://cf.shopee.tw/file/tw-11134207-7r990-lx3jkfwpjgh20c_tn")</f>
        <v/>
      </c>
    </row>
    <row r="2389">
      <c r="A2389" t="inlineStr">
        <is>
          <t>19379969024</t>
        </is>
      </c>
      <c r="B2389" t="inlineStr">
        <is>
          <t>隔日到貨🔥 韓版純棉 素T 寬鬆百搭 圓領重磅短T 男女可穿 短袖 上衣 短T 素色 衣服 t桖 百搭 t-shirt</t>
        </is>
      </c>
      <c r="C2389">
        <f>IMAGE("https://cf.shopee.tw/file/tw-11134207-7qul8-lh1gqwvd0o4s8f_tn")</f>
        <v/>
      </c>
      <c r="D2389" t="inlineStr">
        <is>
          <t>墨綠色,L</t>
        </is>
      </c>
      <c r="E2389" t="inlineStr"/>
      <c r="F2389">
        <f>IMAGE("https://cf.shopee.tw/file/tw-11134207-7qul8-lh083pytf030da_tn")</f>
        <v/>
      </c>
    </row>
    <row r="2390">
      <c r="A2390" t="inlineStr">
        <is>
          <t>19379969024</t>
        </is>
      </c>
      <c r="B2390" t="inlineStr">
        <is>
          <t>隔日到貨🔥 韓版純棉 素T 寬鬆百搭 圓領重磅短T 男女可穿 短袖 上衣 短T 素色 衣服 t桖 百搭 t-shirt</t>
        </is>
      </c>
      <c r="C2390">
        <f>IMAGE("https://cf.shopee.tw/file/tw-11134207-7qul8-lh1gqwvd0o4s8f_tn")</f>
        <v/>
      </c>
      <c r="D2390" t="inlineStr">
        <is>
          <t>米色,XL</t>
        </is>
      </c>
      <c r="E2390" t="inlineStr">
        <is>
          <t>69318462834</t>
        </is>
      </c>
      <c r="F2390">
        <f>IMAGE("https://cf.shopee.tw/file/tw-11134207-7qul1-li1fos1xf9hqa2_tn")</f>
        <v/>
      </c>
    </row>
    <row r="2391">
      <c r="A2391" t="inlineStr">
        <is>
          <t>19379969024</t>
        </is>
      </c>
      <c r="B2391" t="inlineStr">
        <is>
          <t>隔日到貨🔥 韓版純棉 素T 寬鬆百搭 圓領重磅短T 男女可穿 短袖 上衣 短T 素色 衣服 t桖 百搭 t-shirt</t>
        </is>
      </c>
      <c r="C2391">
        <f>IMAGE("https://cf.shopee.tw/file/tw-11134207-7qul8-lh1gqwvd0o4s8f_tn")</f>
        <v/>
      </c>
      <c r="D2391" t="inlineStr">
        <is>
          <t>長春花藍,M</t>
        </is>
      </c>
      <c r="E2391" t="inlineStr"/>
      <c r="F2391">
        <f>IMAGE("https://cf.shopee.tw/file/tw-11134207-7qul5-li1foxhjflqm0a_tn")</f>
        <v/>
      </c>
    </row>
    <row r="2392">
      <c r="A2392" t="inlineStr">
        <is>
          <t>19379969024</t>
        </is>
      </c>
      <c r="B2392" t="inlineStr">
        <is>
          <t>隔日到貨🔥 韓版純棉 素T 寬鬆百搭 圓領重磅短T 男女可穿 短袖 上衣 短T 素色 衣服 t桖 百搭 t-shirt</t>
        </is>
      </c>
      <c r="C2392">
        <f>IMAGE("https://cf.shopee.tw/file/tw-11134207-7qul8-lh1gqwvd0o4s8f_tn")</f>
        <v/>
      </c>
      <c r="D2392" t="inlineStr">
        <is>
          <t>長春花藍,L</t>
        </is>
      </c>
      <c r="E2392" t="inlineStr"/>
      <c r="F2392">
        <f>IMAGE("https://cf.shopee.tw/file/tw-11134207-7qul5-li1foxhjflqm0a_tn")</f>
        <v/>
      </c>
    </row>
    <row r="2393">
      <c r="A2393" t="inlineStr">
        <is>
          <t>19379969024</t>
        </is>
      </c>
      <c r="B2393" t="inlineStr">
        <is>
          <t>隔日到貨🔥 韓版純棉 素T 寬鬆百搭 圓領重磅短T 男女可穿 短袖 上衣 短T 素色 衣服 t桖 百搭 t-shirt</t>
        </is>
      </c>
      <c r="C2393">
        <f>IMAGE("https://cf.shopee.tw/file/tw-11134207-7qul8-lh1gqwvd0o4s8f_tn")</f>
        <v/>
      </c>
      <c r="D2393" t="inlineStr">
        <is>
          <t>長春花藍,XL</t>
        </is>
      </c>
      <c r="E2393" t="inlineStr"/>
      <c r="F2393">
        <f>IMAGE("https://cf.shopee.tw/file/tw-11134207-7qul5-li1foxhjflqm0a_tn")</f>
        <v/>
      </c>
    </row>
    <row r="2394">
      <c r="A2394" t="inlineStr">
        <is>
          <t>19379969024</t>
        </is>
      </c>
      <c r="B2394" t="inlineStr">
        <is>
          <t>隔日到貨🔥 韓版純棉 素T 寬鬆百搭 圓領重磅短T 男女可穿 短袖 上衣 短T 素色 衣服 t桖 百搭 t-shirt</t>
        </is>
      </c>
      <c r="C2394">
        <f>IMAGE("https://cf.shopee.tw/file/tw-11134207-7qul8-lh1gqwvd0o4s8f_tn")</f>
        <v/>
      </c>
      <c r="D2394" t="inlineStr">
        <is>
          <t>黑色,M</t>
        </is>
      </c>
      <c r="E2394" t="inlineStr">
        <is>
          <t>158214669476</t>
        </is>
      </c>
      <c r="F2394">
        <f>IMAGE("https://cf.shopee.tw/file/tw-11134207-7qukx-lh0812esfj1ldd_tn")</f>
        <v/>
      </c>
    </row>
    <row r="2395">
      <c r="A2395" t="inlineStr">
        <is>
          <t>19379969024</t>
        </is>
      </c>
      <c r="B2395" t="inlineStr">
        <is>
          <t>隔日到貨🔥 韓版純棉 素T 寬鬆百搭 圓領重磅短T 男女可穿 短袖 上衣 短T 素色 衣服 t桖 百搭 t-shirt</t>
        </is>
      </c>
      <c r="C2395">
        <f>IMAGE("https://cf.shopee.tw/file/tw-11134207-7qul8-lh1gqwvd0o4s8f_tn")</f>
        <v/>
      </c>
      <c r="D2395" t="inlineStr">
        <is>
          <t>黑色,L</t>
        </is>
      </c>
      <c r="E2395" t="inlineStr">
        <is>
          <t>158214669466</t>
        </is>
      </c>
      <c r="F2395">
        <f>IMAGE("https://cf.shopee.tw/file/tw-11134207-7qukx-lh0812esfj1ldd_tn")</f>
        <v/>
      </c>
    </row>
    <row r="2396">
      <c r="A2396" t="inlineStr">
        <is>
          <t>19379969024</t>
        </is>
      </c>
      <c r="B2396" t="inlineStr">
        <is>
          <t>隔日到貨🔥 韓版純棉 素T 寬鬆百搭 圓領重磅短T 男女可穿 短袖 上衣 短T 素色 衣服 t桖 百搭 t-shirt</t>
        </is>
      </c>
      <c r="C2396">
        <f>IMAGE("https://cf.shopee.tw/file/tw-11134207-7qul8-lh1gqwvd0o4s8f_tn")</f>
        <v/>
      </c>
      <c r="D2396" t="inlineStr">
        <is>
          <t>黑色,XL</t>
        </is>
      </c>
      <c r="E2396" t="inlineStr">
        <is>
          <t>158214669471</t>
        </is>
      </c>
      <c r="F2396">
        <f>IMAGE("https://cf.shopee.tw/file/tw-11134207-7qukx-lh0812esfj1ldd_tn")</f>
        <v/>
      </c>
    </row>
    <row r="2397">
      <c r="A2397" t="inlineStr">
        <is>
          <t>19379969024</t>
        </is>
      </c>
      <c r="B2397" t="inlineStr">
        <is>
          <t>隔日到貨🔥 韓版純棉 素T 寬鬆百搭 圓領重磅短T 男女可穿 短袖 上衣 短T 素色 衣服 t桖 百搭 t-shirt</t>
        </is>
      </c>
      <c r="C2397">
        <f>IMAGE("https://cf.shopee.tw/file/tw-11134207-7qul8-lh1gqwvd0o4s8f_tn")</f>
        <v/>
      </c>
      <c r="D2397" t="inlineStr">
        <is>
          <t>白色,M</t>
        </is>
      </c>
      <c r="E2397" t="inlineStr">
        <is>
          <t>158214669467</t>
        </is>
      </c>
      <c r="F2397">
        <f>IMAGE("https://cf.shopee.tw/file/tw-11134207-7qul8-lh083kkueii4c1_tn")</f>
        <v/>
      </c>
    </row>
    <row r="2398">
      <c r="A2398" t="inlineStr">
        <is>
          <t>19379969024</t>
        </is>
      </c>
      <c r="B2398" t="inlineStr">
        <is>
          <t>隔日到貨🔥 韓版純棉 素T 寬鬆百搭 圓領重磅短T 男女可穿 短袖 上衣 短T 素色 衣服 t桖 百搭 t-shirt</t>
        </is>
      </c>
      <c r="C2398">
        <f>IMAGE("https://cf.shopee.tw/file/tw-11134207-7qul8-lh1gqwvd0o4s8f_tn")</f>
        <v/>
      </c>
      <c r="D2398" t="inlineStr">
        <is>
          <t>白色,L</t>
        </is>
      </c>
      <c r="E2398" t="inlineStr">
        <is>
          <t>158214669477</t>
        </is>
      </c>
      <c r="F2398">
        <f>IMAGE("https://cf.shopee.tw/file/tw-11134207-7qul8-lh083kkueii4c1_tn")</f>
        <v/>
      </c>
    </row>
    <row r="2399">
      <c r="A2399" t="inlineStr">
        <is>
          <t>19379969024</t>
        </is>
      </c>
      <c r="B2399" t="inlineStr">
        <is>
          <t>隔日到貨🔥 韓版純棉 素T 寬鬆百搭 圓領重磅短T 男女可穿 短袖 上衣 短T 素色 衣服 t桖 百搭 t-shirt</t>
        </is>
      </c>
      <c r="C2399">
        <f>IMAGE("https://cf.shopee.tw/file/tw-11134207-7qul8-lh1gqwvd0o4s8f_tn")</f>
        <v/>
      </c>
      <c r="D2399" t="inlineStr">
        <is>
          <t>白色,XL</t>
        </is>
      </c>
      <c r="E2399" t="inlineStr">
        <is>
          <t>158214669468</t>
        </is>
      </c>
      <c r="F2399">
        <f>IMAGE("https://cf.shopee.tw/file/tw-11134207-7qul8-lh083kkueii4c1_tn")</f>
        <v/>
      </c>
    </row>
    <row r="2400">
      <c r="A2400" t="inlineStr">
        <is>
          <t>19379969024</t>
        </is>
      </c>
      <c r="B2400" t="inlineStr">
        <is>
          <t>隔日到貨🔥 韓版純棉 素T 寬鬆百搭 圓領重磅短T 男女可穿 短袖 上衣 短T 素色 衣服 t桖 百搭 t-shirt</t>
        </is>
      </c>
      <c r="C2400">
        <f>IMAGE("https://cf.shopee.tw/file/tw-11134207-7qul8-lh1gqwvd0o4s8f_tn")</f>
        <v/>
      </c>
      <c r="D2400" t="inlineStr">
        <is>
          <t>淺駝,M</t>
        </is>
      </c>
      <c r="E2400" t="inlineStr">
        <is>
          <t>158214669469</t>
        </is>
      </c>
      <c r="F2400">
        <f>IMAGE("https://cf.shopee.tw/file/tw-11134207-7qukx-lh083kkufx2k74_tn")</f>
        <v/>
      </c>
    </row>
    <row r="2401">
      <c r="A2401" t="inlineStr">
        <is>
          <t>19379969024</t>
        </is>
      </c>
      <c r="B2401" t="inlineStr">
        <is>
          <t>隔日到貨🔥 韓版純棉 素T 寬鬆百搭 圓領重磅短T 男女可穿 短袖 上衣 短T 素色 衣服 t桖 百搭 t-shirt</t>
        </is>
      </c>
      <c r="C2401">
        <f>IMAGE("https://cf.shopee.tw/file/tw-11134207-7qul8-lh1gqwvd0o4s8f_tn")</f>
        <v/>
      </c>
      <c r="D2401" t="inlineStr">
        <is>
          <t>淺駝,L</t>
        </is>
      </c>
      <c r="E2401" t="inlineStr">
        <is>
          <t>158214669472</t>
        </is>
      </c>
      <c r="F2401">
        <f>IMAGE("https://cf.shopee.tw/file/tw-11134207-7qukx-lh083kkufx2k74_tn")</f>
        <v/>
      </c>
    </row>
    <row r="2402">
      <c r="A2402" t="inlineStr">
        <is>
          <t>19379969024</t>
        </is>
      </c>
      <c r="B2402" t="inlineStr">
        <is>
          <t>隔日到貨🔥 韓版純棉 素T 寬鬆百搭 圓領重磅短T 男女可穿 短袖 上衣 短T 素色 衣服 t桖 百搭 t-shirt</t>
        </is>
      </c>
      <c r="C2402">
        <f>IMAGE("https://cf.shopee.tw/file/tw-11134207-7qul8-lh1gqwvd0o4s8f_tn")</f>
        <v/>
      </c>
      <c r="D2402" t="inlineStr">
        <is>
          <t>淺駝,XL</t>
        </is>
      </c>
      <c r="E2402" t="inlineStr"/>
      <c r="F2402">
        <f>IMAGE("https://cf.shopee.tw/file/tw-11134207-7qukx-lh083kkufx2k74_tn")</f>
        <v/>
      </c>
    </row>
    <row r="2403">
      <c r="A2403" t="inlineStr">
        <is>
          <t>19379969024</t>
        </is>
      </c>
      <c r="B2403" t="inlineStr">
        <is>
          <t>隔日到貨🔥 韓版純棉 素T 寬鬆百搭 圓領重磅短T 男女可穿 短袖 上衣 短T 素色 衣服 t桖 百搭 t-shirt</t>
        </is>
      </c>
      <c r="C2403">
        <f>IMAGE("https://cf.shopee.tw/file/tw-11134207-7qul8-lh1gqwvd0o4s8f_tn")</f>
        <v/>
      </c>
      <c r="D2403" t="inlineStr">
        <is>
          <t>粉色,M</t>
        </is>
      </c>
      <c r="E2403" t="inlineStr">
        <is>
          <t>158214669473</t>
        </is>
      </c>
      <c r="F2403">
        <f>IMAGE("https://cf.shopee.tw/file/tw-11134207-7qul7-lh083pytdlik7b_tn")</f>
        <v/>
      </c>
    </row>
    <row r="2404">
      <c r="A2404" t="inlineStr">
        <is>
          <t>19379969024</t>
        </is>
      </c>
      <c r="B2404" t="inlineStr">
        <is>
          <t>隔日到貨🔥 韓版純棉 素T 寬鬆百搭 圓領重磅短T 男女可穿 短袖 上衣 短T 素色 衣服 t桖 百搭 t-shirt</t>
        </is>
      </c>
      <c r="C2404">
        <f>IMAGE("https://cf.shopee.tw/file/tw-11134207-7qul8-lh1gqwvd0o4s8f_tn")</f>
        <v/>
      </c>
      <c r="D2404" t="inlineStr">
        <is>
          <t>粉色,L</t>
        </is>
      </c>
      <c r="E2404" t="inlineStr">
        <is>
          <t>158214669482</t>
        </is>
      </c>
      <c r="F2404">
        <f>IMAGE("https://cf.shopee.tw/file/tw-11134207-7qul7-lh083pytdlik7b_tn")</f>
        <v/>
      </c>
    </row>
    <row r="2405">
      <c r="A2405" t="inlineStr">
        <is>
          <t>19379969024</t>
        </is>
      </c>
      <c r="B2405" t="inlineStr">
        <is>
          <t>隔日到貨🔥 韓版純棉 素T 寬鬆百搭 圓領重磅短T 男女可穿 短袖 上衣 短T 素色 衣服 t桖 百搭 t-shirt</t>
        </is>
      </c>
      <c r="C2405">
        <f>IMAGE("https://cf.shopee.tw/file/tw-11134207-7qul8-lh1gqwvd0o4s8f_tn")</f>
        <v/>
      </c>
      <c r="D2405" t="inlineStr">
        <is>
          <t>粉色,XL</t>
        </is>
      </c>
      <c r="E2405" t="inlineStr">
        <is>
          <t>158214669474</t>
        </is>
      </c>
      <c r="F2405">
        <f>IMAGE("https://cf.shopee.tw/file/tw-11134207-7qul7-lh083pytdlik7b_tn")</f>
        <v/>
      </c>
    </row>
    <row r="2406">
      <c r="A2406" t="inlineStr">
        <is>
          <t>19379969024</t>
        </is>
      </c>
      <c r="B2406" t="inlineStr">
        <is>
          <t>隔日到貨🔥 韓版純棉 素T 寬鬆百搭 圓領重磅短T 男女可穿 短袖 上衣 短T 素色 衣服 t桖 百搭 t-shirt</t>
        </is>
      </c>
      <c r="C2406">
        <f>IMAGE("https://cf.shopee.tw/file/tw-11134207-7qul8-lh1gqwvd0o4s8f_tn")</f>
        <v/>
      </c>
      <c r="D2406" t="inlineStr">
        <is>
          <t>墨綠色,M</t>
        </is>
      </c>
      <c r="E2406" t="inlineStr"/>
      <c r="F2406">
        <f>IMAGE("https://cf.shopee.tw/file/tw-11134207-7qul8-lh083pytf030da_tn")</f>
        <v/>
      </c>
    </row>
    <row r="2407">
      <c r="A2407" t="inlineStr">
        <is>
          <t>19379969024</t>
        </is>
      </c>
      <c r="B2407" t="inlineStr">
        <is>
          <t>隔日到貨🔥 韓版純棉 素T 寬鬆百搭 圓領重磅短T 男女可穿 短袖 上衣 短T 素色 衣服 t桖 百搭 t-shirt</t>
        </is>
      </c>
      <c r="C2407">
        <f>IMAGE("https://cf.shopee.tw/file/tw-11134207-7qul8-lh1gqwvd0o4s8f_tn")</f>
        <v/>
      </c>
      <c r="D2407" t="inlineStr">
        <is>
          <t>墨綠色,XL</t>
        </is>
      </c>
      <c r="E2407" t="inlineStr">
        <is>
          <t>158214669485</t>
        </is>
      </c>
      <c r="F2407">
        <f>IMAGE("https://cf.shopee.tw/file/tw-11134207-7qul8-lh083pytf030da_tn")</f>
        <v/>
      </c>
    </row>
    <row r="2408">
      <c r="A2408" t="inlineStr">
        <is>
          <t>19379969024</t>
        </is>
      </c>
      <c r="B2408" t="inlineStr">
        <is>
          <t>隔日到貨🔥 韓版純棉 素T 寬鬆百搭 圓領重磅短T 男女可穿 短袖 上衣 短T 素色 衣服 t桖 百搭 t-shirt</t>
        </is>
      </c>
      <c r="C2408">
        <f>IMAGE("https://cf.shopee.tw/file/tw-11134207-7qul8-lh1gqwvd0o4s8f_tn")</f>
        <v/>
      </c>
      <c r="D2408" t="inlineStr">
        <is>
          <t>深灰,M</t>
        </is>
      </c>
      <c r="E2408" t="inlineStr">
        <is>
          <t>158214669475</t>
        </is>
      </c>
      <c r="F2408">
        <f>IMAGE("https://cf.shopee.tw/file/tw-11134207-7qul1-lh083z0tcenda0_tn")</f>
        <v/>
      </c>
    </row>
    <row r="2409">
      <c r="A2409" t="inlineStr">
        <is>
          <t>19379969024</t>
        </is>
      </c>
      <c r="B2409" t="inlineStr">
        <is>
          <t>隔日到貨🔥 韓版純棉 素T 寬鬆百搭 圓領重磅短T 男女可穿 短袖 上衣 短T 素色 衣服 t桖 百搭 t-shirt</t>
        </is>
      </c>
      <c r="C2409">
        <f>IMAGE("https://cf.shopee.tw/file/tw-11134207-7qul8-lh1gqwvd0o4s8f_tn")</f>
        <v/>
      </c>
      <c r="D2409" t="inlineStr">
        <is>
          <t>深灰,L</t>
        </is>
      </c>
      <c r="E2409" t="inlineStr"/>
      <c r="F2409">
        <f>IMAGE("https://cf.shopee.tw/file/tw-11134207-7qul1-lh083z0tcenda0_tn")</f>
        <v/>
      </c>
    </row>
    <row r="2410">
      <c r="A2410" t="inlineStr">
        <is>
          <t>19379969024</t>
        </is>
      </c>
      <c r="B2410" t="inlineStr">
        <is>
          <t>隔日到貨🔥 韓版純棉 素T 寬鬆百搭 圓領重磅短T 男女可穿 短袖 上衣 短T 素色 衣服 t桖 百搭 t-shirt</t>
        </is>
      </c>
      <c r="C2410">
        <f>IMAGE("https://cf.shopee.tw/file/tw-11134207-7qul8-lh1gqwvd0o4s8f_tn")</f>
        <v/>
      </c>
      <c r="D2410" t="inlineStr">
        <is>
          <t>深灰,XL</t>
        </is>
      </c>
      <c r="E2410" t="inlineStr"/>
      <c r="F2410">
        <f>IMAGE("https://cf.shopee.tw/file/tw-11134207-7qul1-lh083z0tcenda0_tn")</f>
        <v/>
      </c>
    </row>
    <row r="2411">
      <c r="A2411" t="inlineStr">
        <is>
          <t>19379969024</t>
        </is>
      </c>
      <c r="B2411" t="inlineStr">
        <is>
          <t>隔日到貨🔥 韓版純棉 素T 寬鬆百搭 圓領重磅短T 男女可穿 短袖 上衣 短T 素色 衣服 t桖 百搭 t-shirt</t>
        </is>
      </c>
      <c r="C2411">
        <f>IMAGE("https://cf.shopee.tw/file/tw-11134207-7qul8-lh1gqwvd0o4s8f_tn")</f>
        <v/>
      </c>
      <c r="D2411" t="inlineStr">
        <is>
          <t>薰衣草紫,M</t>
        </is>
      </c>
      <c r="E2411" t="inlineStr"/>
      <c r="F2411">
        <f>IMAGE("https://cf.shopee.tw/file/tw-11134207-7qul9-lh083z0tdt7tbf_tn")</f>
        <v/>
      </c>
    </row>
    <row r="2412">
      <c r="A2412" t="inlineStr">
        <is>
          <t>19379969024</t>
        </is>
      </c>
      <c r="B2412" t="inlineStr">
        <is>
          <t>隔日到貨🔥 韓版純棉 素T 寬鬆百搭 圓領重磅短T 男女可穿 短袖 上衣 短T 素色 衣服 t桖 百搭 t-shirt</t>
        </is>
      </c>
      <c r="C2412">
        <f>IMAGE("https://cf.shopee.tw/file/tw-11134207-7qul8-lh1gqwvd0o4s8f_tn")</f>
        <v/>
      </c>
      <c r="D2412" t="inlineStr">
        <is>
          <t>薰衣草紫,L</t>
        </is>
      </c>
      <c r="E2412" t="inlineStr"/>
      <c r="F2412">
        <f>IMAGE("https://cf.shopee.tw/file/tw-11134207-7qul9-lh083z0tdt7tbf_tn")</f>
        <v/>
      </c>
    </row>
    <row r="2413">
      <c r="A2413" t="inlineStr">
        <is>
          <t>19379969024</t>
        </is>
      </c>
      <c r="B2413" t="inlineStr">
        <is>
          <t>隔日到貨🔥 韓版純棉 素T 寬鬆百搭 圓領重磅短T 男女可穿 短袖 上衣 短T 素色 衣服 t桖 百搭 t-shirt</t>
        </is>
      </c>
      <c r="C2413">
        <f>IMAGE("https://cf.shopee.tw/file/tw-11134207-7qul8-lh1gqwvd0o4s8f_tn")</f>
        <v/>
      </c>
      <c r="D2413" t="inlineStr">
        <is>
          <t>薰衣草紫,XL</t>
        </is>
      </c>
      <c r="E2413" t="inlineStr">
        <is>
          <t>158214669480</t>
        </is>
      </c>
      <c r="F2413">
        <f>IMAGE("https://cf.shopee.tw/file/tw-11134207-7qul9-lh083z0tdt7tbf_tn")</f>
        <v/>
      </c>
    </row>
    <row r="2414">
      <c r="A2414" t="inlineStr">
        <is>
          <t>19379969024</t>
        </is>
      </c>
      <c r="B2414" t="inlineStr">
        <is>
          <t>隔日到貨🔥 韓版純棉 素T 寬鬆百搭 圓領重磅短T 男女可穿 短袖 上衣 短T 素色 衣服 t桖 百搭 t-shirt</t>
        </is>
      </c>
      <c r="C2414">
        <f>IMAGE("https://cf.shopee.tw/file/tw-11134207-7qul8-lh1gqwvd0o4s8f_tn")</f>
        <v/>
      </c>
      <c r="D2414" t="inlineStr">
        <is>
          <t>藏藍,M</t>
        </is>
      </c>
      <c r="E2414" t="inlineStr"/>
      <c r="F2414">
        <f>IMAGE("https://cf.shopee.tw/file/tw-11134207-7qul9-li1fos1xduxa1b_tn")</f>
        <v/>
      </c>
    </row>
    <row r="2415">
      <c r="A2415" t="inlineStr">
        <is>
          <t>19379969024</t>
        </is>
      </c>
      <c r="B2415" t="inlineStr">
        <is>
          <t>隔日到貨🔥 韓版純棉 素T 寬鬆百搭 圓領重磅短T 男女可穿 短袖 上衣 短T 素色 衣服 t桖 百搭 t-shirt</t>
        </is>
      </c>
      <c r="C2415">
        <f>IMAGE("https://cf.shopee.tw/file/tw-11134207-7qul8-lh1gqwvd0o4s8f_tn")</f>
        <v/>
      </c>
      <c r="D2415" t="inlineStr">
        <is>
          <t>藏藍,L</t>
        </is>
      </c>
      <c r="E2415" t="inlineStr">
        <is>
          <t>69318462832</t>
        </is>
      </c>
      <c r="F2415">
        <f>IMAGE("https://cf.shopee.tw/file/tw-11134207-7qul9-li1fos1xduxa1b_tn")</f>
        <v/>
      </c>
    </row>
    <row r="2416">
      <c r="A2416" t="inlineStr">
        <is>
          <t>19379969024</t>
        </is>
      </c>
      <c r="B2416" t="inlineStr">
        <is>
          <t>隔日到貨🔥 韓版純棉 素T 寬鬆百搭 圓領重磅短T 男女可穿 短袖 上衣 短T 素色 衣服 t桖 百搭 t-shirt</t>
        </is>
      </c>
      <c r="C2416">
        <f>IMAGE("https://cf.shopee.tw/file/tw-11134207-7qul8-lh1gqwvd0o4s8f_tn")</f>
        <v/>
      </c>
      <c r="D2416" t="inlineStr">
        <is>
          <t>藏藍,XL</t>
        </is>
      </c>
      <c r="E2416" t="inlineStr">
        <is>
          <t>69318462840</t>
        </is>
      </c>
      <c r="F2416">
        <f>IMAGE("https://cf.shopee.tw/file/tw-11134207-7qul9-li1fos1xduxa1b_tn")</f>
        <v/>
      </c>
    </row>
    <row r="2417">
      <c r="A2417" t="inlineStr">
        <is>
          <t>19379969024</t>
        </is>
      </c>
      <c r="B2417" t="inlineStr">
        <is>
          <t>隔日到貨🔥 韓版純棉 素T 寬鬆百搭 圓領重磅短T 男女可穿 短袖 上衣 短T 素色 衣服 t桖 百搭 t-shirt</t>
        </is>
      </c>
      <c r="C2417">
        <f>IMAGE("https://cf.shopee.tw/file/tw-11134207-7qul8-lh1gqwvd0o4s8f_tn")</f>
        <v/>
      </c>
      <c r="D2417" t="inlineStr">
        <is>
          <t>米色,M</t>
        </is>
      </c>
      <c r="E2417" t="inlineStr"/>
      <c r="F2417">
        <f>IMAGE("https://cf.shopee.tw/file/tw-11134207-7qul1-li1fos1xf9hqa2_tn")</f>
        <v/>
      </c>
    </row>
    <row r="2418">
      <c r="A2418" t="inlineStr">
        <is>
          <t>19379969024</t>
        </is>
      </c>
      <c r="B2418" t="inlineStr">
        <is>
          <t>隔日到貨🔥 韓版純棉 素T 寬鬆百搭 圓領重磅短T 男女可穿 短袖 上衣 短T 素色 衣服 t桖 百搭 t-shirt</t>
        </is>
      </c>
      <c r="C2418">
        <f>IMAGE("https://cf.shopee.tw/file/tw-11134207-7qul8-lh1gqwvd0o4s8f_tn")</f>
        <v/>
      </c>
      <c r="D2418" t="inlineStr">
        <is>
          <t>米色,L</t>
        </is>
      </c>
      <c r="E2418" t="inlineStr">
        <is>
          <t>69318462833</t>
        </is>
      </c>
      <c r="F2418">
        <f>IMAGE("https://cf.shopee.tw/file/tw-11134207-7qul1-li1fos1xf9hqa2_tn")</f>
        <v/>
      </c>
    </row>
    <row r="2419">
      <c r="A2419" t="inlineStr">
        <is>
          <t>19379969024</t>
        </is>
      </c>
      <c r="B2419" t="inlineStr">
        <is>
          <t>隔日到貨🔥 韓版純棉 素T 寬鬆百搭 圓領重磅短T 男女可穿 短袖 上衣 短T 素色 衣服 t桖 百搭 t-shirt</t>
        </is>
      </c>
      <c r="C2419">
        <f>IMAGE("https://cf.shopee.tw/file/tw-11134207-7qul8-lh1gqwvd0o4s8f_tn")</f>
        <v/>
      </c>
      <c r="D2419" t="inlineStr">
        <is>
          <t>克萊因藍,M</t>
        </is>
      </c>
      <c r="E2419" t="inlineStr"/>
      <c r="F2419">
        <f>IMAGE("https://cf.shopee.tw/file/tw-11134207-7qul1-li1foxhje7665d_tn")</f>
        <v/>
      </c>
    </row>
    <row r="2420">
      <c r="A2420" t="inlineStr">
        <is>
          <t>19379969024</t>
        </is>
      </c>
      <c r="B2420" t="inlineStr">
        <is>
          <t>隔日到貨🔥 韓版純棉 素T 寬鬆百搭 圓領重磅短T 男女可穿 短袖 上衣 短T 素色 衣服 t桖 百搭 t-shirt</t>
        </is>
      </c>
      <c r="C2420">
        <f>IMAGE("https://cf.shopee.tw/file/tw-11134207-7qul8-lh1gqwvd0o4s8f_tn")</f>
        <v/>
      </c>
      <c r="D2420" t="inlineStr">
        <is>
          <t>克萊因藍,L</t>
        </is>
      </c>
      <c r="E2420" t="inlineStr"/>
      <c r="F2420">
        <f>IMAGE("https://cf.shopee.tw/file/tw-11134207-7qul1-li1foxhje7665d_tn")</f>
        <v/>
      </c>
    </row>
    <row r="2421">
      <c r="A2421" t="inlineStr">
        <is>
          <t>19379969024</t>
        </is>
      </c>
      <c r="B2421" t="inlineStr">
        <is>
          <t>隔日到貨🔥 韓版純棉 素T 寬鬆百搭 圓領重磅短T 男女可穿 短袖 上衣 短T 素色 衣服 t桖 百搭 t-shirt</t>
        </is>
      </c>
      <c r="C2421">
        <f>IMAGE("https://cf.shopee.tw/file/tw-11134207-7qul8-lh1gqwvd0o4s8f_tn")</f>
        <v/>
      </c>
      <c r="D2421" t="inlineStr">
        <is>
          <t>克萊因藍,XL</t>
        </is>
      </c>
      <c r="E2421" t="inlineStr">
        <is>
          <t>69318462830</t>
        </is>
      </c>
      <c r="F2421">
        <f>IMAGE("https://cf.shopee.tw/file/tw-11134207-7qul1-li1foxhje7665d_tn")</f>
        <v/>
      </c>
    </row>
    <row r="2422">
      <c r="A2422" t="inlineStr">
        <is>
          <t>8848101775</t>
        </is>
      </c>
      <c r="B2422" t="inlineStr">
        <is>
          <t>隔日到貨🔥 韓風熱銷款🏆 呆萌小兔 吊飾 鑰匙扣 鑰匙圈 汽車鑰匙 公仔 掛飾 吊墜 掛鉤 吊環 墜飾</t>
        </is>
      </c>
      <c r="C2422">
        <f>IMAGE("https://cf.shopee.tw/file/70f4c180f7fbfe03127df11b16ec50b4_tn")</f>
        <v/>
      </c>
      <c r="D2422" t="inlineStr">
        <is>
          <t>9. 貝殼款</t>
        </is>
      </c>
      <c r="E2422" t="inlineStr">
        <is>
          <t>45241807419</t>
        </is>
      </c>
      <c r="F2422">
        <f>IMAGE("https://cf.shopee.tw/file/b6892b4ebfb43146149c8a419efdd111_tn")</f>
        <v/>
      </c>
    </row>
    <row r="2423">
      <c r="A2423" t="inlineStr">
        <is>
          <t>8848101775</t>
        </is>
      </c>
      <c r="B2423" t="inlineStr">
        <is>
          <t>隔日到貨🔥 韓風熱銷款🏆 呆萌小兔 吊飾 鑰匙扣 鑰匙圈 汽車鑰匙 公仔 掛飾 吊墜 掛鉤 吊環 墜飾</t>
        </is>
      </c>
      <c r="C2423">
        <f>IMAGE("https://cf.shopee.tw/file/70f4c180f7fbfe03127df11b16ec50b4_tn")</f>
        <v/>
      </c>
      <c r="D2423" t="inlineStr">
        <is>
          <t>10. 田螺款</t>
        </is>
      </c>
      <c r="E2423" t="inlineStr">
        <is>
          <t>45241807420</t>
        </is>
      </c>
      <c r="F2423">
        <f>IMAGE("https://cf.shopee.tw/file/f9f37cb135b533a1f1b30d0649ac5dd0_tn")</f>
        <v/>
      </c>
    </row>
    <row r="2424">
      <c r="A2424" t="inlineStr">
        <is>
          <t>8848101775</t>
        </is>
      </c>
      <c r="B2424" t="inlineStr">
        <is>
          <t>隔日到貨🔥 韓風熱銷款🏆 呆萌小兔 吊飾 鑰匙扣 鑰匙圈 汽車鑰匙 公仔 掛飾 吊墜 掛鉤 吊環 墜飾</t>
        </is>
      </c>
      <c r="C2424">
        <f>IMAGE("https://cf.shopee.tw/file/70f4c180f7fbfe03127df11b16ec50b4_tn")</f>
        <v/>
      </c>
      <c r="D2424" t="inlineStr">
        <is>
          <t>11. 愛心款</t>
        </is>
      </c>
      <c r="E2424" t="inlineStr">
        <is>
          <t>45241807424</t>
        </is>
      </c>
      <c r="F2424">
        <f>IMAGE("https://cf.shopee.tw/file/83838c22da515507f0894858f5847c91_tn")</f>
        <v/>
      </c>
    </row>
    <row r="2425">
      <c r="A2425" t="inlineStr">
        <is>
          <t>8848101775</t>
        </is>
      </c>
      <c r="B2425" t="inlineStr">
        <is>
          <t>隔日到貨🔥 韓風熱銷款🏆 呆萌小兔 吊飾 鑰匙扣 鑰匙圈 汽車鑰匙 公仔 掛飾 吊墜 掛鉤 吊環 墜飾</t>
        </is>
      </c>
      <c r="C2425">
        <f>IMAGE("https://cf.shopee.tw/file/70f4c180f7fbfe03127df11b16ec50b4_tn")</f>
        <v/>
      </c>
      <c r="D2425" t="inlineStr">
        <is>
          <t>12. 珍珠款</t>
        </is>
      </c>
      <c r="E2425" t="inlineStr">
        <is>
          <t>45241807425</t>
        </is>
      </c>
      <c r="F2425">
        <f>IMAGE("https://cf.shopee.tw/file/4be717558409bd12154433dbd6a77e81_tn")</f>
        <v/>
      </c>
    </row>
    <row r="2426">
      <c r="A2426" t="inlineStr">
        <is>
          <t>18525148018</t>
        </is>
      </c>
      <c r="B2426" t="inlineStr">
        <is>
          <t>隔日到貨🔥 iPhone 手機殼 16 15 14 16e 13 12 11 XR SE X pro 保護殼 軟殼 蘋果</t>
        </is>
      </c>
      <c r="C2426">
        <f>IMAGE("https://cf.shopee.tw/file/48b1531b3d1cf89a7e565852ddeeed6a_tn")</f>
        <v/>
      </c>
      <c r="D2426" t="inlineStr">
        <is>
          <t>狗狗頭像,7Plus / 8Plus</t>
        </is>
      </c>
      <c r="E2426" t="inlineStr"/>
      <c r="F2426">
        <f>IMAGE("https://cf.shopee.tw/file/ec09037315176fe8d178ba0a750244c0_tn")</f>
        <v/>
      </c>
    </row>
    <row r="2427">
      <c r="A2427" t="inlineStr">
        <is>
          <t>18525148018</t>
        </is>
      </c>
      <c r="B2427" t="inlineStr">
        <is>
          <t>隔日到貨🔥 iPhone 手機殼 16 15 14 16e 13 12 11 XR SE X pro 保護殼 軟殼 蘋果</t>
        </is>
      </c>
      <c r="C2427">
        <f>IMAGE("https://cf.shopee.tw/file/48b1531b3d1cf89a7e565852ddeeed6a_tn")</f>
        <v/>
      </c>
      <c r="D2427" t="inlineStr">
        <is>
          <t>狗狗頭像,X / XS</t>
        </is>
      </c>
      <c r="E2427" t="inlineStr"/>
      <c r="F2427">
        <f>IMAGE("https://cf.shopee.tw/file/ec09037315176fe8d178ba0a750244c0_tn")</f>
        <v/>
      </c>
    </row>
    <row r="2428">
      <c r="A2428" t="inlineStr">
        <is>
          <t>18525148018</t>
        </is>
      </c>
      <c r="B2428" t="inlineStr">
        <is>
          <t>隔日到貨🔥 iPhone 手機殼 16 15 14 16e 13 12 11 XR SE X pro 保護殼 軟殼 蘋果</t>
        </is>
      </c>
      <c r="C2428">
        <f>IMAGE("https://cf.shopee.tw/file/48b1531b3d1cf89a7e565852ddeeed6a_tn")</f>
        <v/>
      </c>
      <c r="D2428" t="inlineStr">
        <is>
          <t>狗狗頭像,11 Pro Max</t>
        </is>
      </c>
      <c r="E2428" t="inlineStr">
        <is>
          <t>217085219130</t>
        </is>
      </c>
      <c r="F2428">
        <f>IMAGE("https://cf.shopee.tw/file/ec09037315176fe8d178ba0a750244c0_tn")</f>
        <v/>
      </c>
    </row>
    <row r="2429">
      <c r="A2429" t="inlineStr">
        <is>
          <t>18525148018</t>
        </is>
      </c>
      <c r="B2429" t="inlineStr">
        <is>
          <t>隔日到貨🔥 iPhone 手機殼 16 15 14 16e 13 12 11 XR SE X pro 保護殼 軟殼 蘋果</t>
        </is>
      </c>
      <c r="C2429">
        <f>IMAGE("https://cf.shopee.tw/file/48b1531b3d1cf89a7e565852ddeeed6a_tn")</f>
        <v/>
      </c>
      <c r="D2429" t="inlineStr">
        <is>
          <t>狗狗頭像,12 pro Max</t>
        </is>
      </c>
      <c r="E2429" t="inlineStr">
        <is>
          <t>155214245427</t>
        </is>
      </c>
      <c r="F2429">
        <f>IMAGE("https://cf.shopee.tw/file/ec09037315176fe8d178ba0a750244c0_tn")</f>
        <v/>
      </c>
    </row>
    <row r="2430">
      <c r="A2430" t="inlineStr">
        <is>
          <t>18525148018</t>
        </is>
      </c>
      <c r="B2430" t="inlineStr">
        <is>
          <t>隔日到貨🔥 iPhone 手機殼 16 15 14 16e 13 12 11 XR SE X pro 保護殼 軟殼 蘋果</t>
        </is>
      </c>
      <c r="C2430">
        <f>IMAGE("https://cf.shopee.tw/file/48b1531b3d1cf89a7e565852ddeeed6a_tn")</f>
        <v/>
      </c>
      <c r="D2430" t="inlineStr">
        <is>
          <t>狗狗頭像,16</t>
        </is>
      </c>
      <c r="E2430" t="inlineStr"/>
      <c r="F2430">
        <f>IMAGE("https://cf.shopee.tw/file/ec09037315176fe8d178ba0a750244c0_tn")</f>
        <v/>
      </c>
    </row>
    <row r="2431">
      <c r="A2431" t="inlineStr">
        <is>
          <t>18525148018</t>
        </is>
      </c>
      <c r="B2431" t="inlineStr">
        <is>
          <t>隔日到貨🔥 iPhone 手機殼 16 15 14 16e 13 12 11 XR SE X pro 保護殼 軟殼 蘋果</t>
        </is>
      </c>
      <c r="C2431">
        <f>IMAGE("https://cf.shopee.tw/file/48b1531b3d1cf89a7e565852ddeeed6a_tn")</f>
        <v/>
      </c>
      <c r="D2431" t="inlineStr">
        <is>
          <t>狗狗頭像,16e</t>
        </is>
      </c>
      <c r="E2431" t="inlineStr"/>
      <c r="F2431">
        <f>IMAGE("https://cf.shopee.tw/file/ec09037315176fe8d178ba0a750244c0_tn")</f>
        <v/>
      </c>
    </row>
    <row r="2432">
      <c r="A2432" t="inlineStr">
        <is>
          <t>18525148018</t>
        </is>
      </c>
      <c r="B2432" t="inlineStr">
        <is>
          <t>隔日到貨🔥 iPhone 手機殼 16 15 14 16e 13 12 11 XR SE X pro 保護殼 軟殼 蘋果</t>
        </is>
      </c>
      <c r="C2432">
        <f>IMAGE("https://cf.shopee.tw/file/48b1531b3d1cf89a7e565852ddeeed6a_tn")</f>
        <v/>
      </c>
      <c r="D2432" t="inlineStr">
        <is>
          <t>狗狗頭像,7 / 8 / SE2 / SE3</t>
        </is>
      </c>
      <c r="E2432" t="inlineStr"/>
      <c r="F2432">
        <f>IMAGE("https://cf.shopee.tw/file/ec09037315176fe8d178ba0a750244c0_tn")</f>
        <v/>
      </c>
    </row>
    <row r="2433">
      <c r="A2433" t="inlineStr">
        <is>
          <t>18525148018</t>
        </is>
      </c>
      <c r="B2433" t="inlineStr">
        <is>
          <t>隔日到貨🔥 iPhone 手機殼 16 15 14 16e 13 12 11 XR SE X pro 保護殼 軟殼 蘋果</t>
        </is>
      </c>
      <c r="C2433">
        <f>IMAGE("https://cf.shopee.tw/file/48b1531b3d1cf89a7e565852ddeeed6a_tn")</f>
        <v/>
      </c>
      <c r="D2433" t="inlineStr">
        <is>
          <t>狗狗頭像,XR</t>
        </is>
      </c>
      <c r="E2433" t="inlineStr"/>
      <c r="F2433">
        <f>IMAGE("https://cf.shopee.tw/file/ec09037315176fe8d178ba0a750244c0_tn")</f>
        <v/>
      </c>
    </row>
    <row r="2434">
      <c r="A2434" t="inlineStr">
        <is>
          <t>18525148018</t>
        </is>
      </c>
      <c r="B2434" t="inlineStr">
        <is>
          <t>隔日到貨🔥 iPhone 手機殼 16 15 14 16e 13 12 11 XR SE X pro 保護殼 軟殼 蘋果</t>
        </is>
      </c>
      <c r="C2434">
        <f>IMAGE("https://cf.shopee.tw/file/48b1531b3d1cf89a7e565852ddeeed6a_tn")</f>
        <v/>
      </c>
      <c r="D2434" t="inlineStr">
        <is>
          <t>狗狗頭像,XS Max</t>
        </is>
      </c>
      <c r="E2434" t="inlineStr">
        <is>
          <t>155214245433</t>
        </is>
      </c>
      <c r="F2434">
        <f>IMAGE("https://cf.shopee.tw/file/ec09037315176fe8d178ba0a750244c0_tn")</f>
        <v/>
      </c>
    </row>
    <row r="2435">
      <c r="A2435" t="inlineStr">
        <is>
          <t>18525148018</t>
        </is>
      </c>
      <c r="B2435" t="inlineStr">
        <is>
          <t>隔日到貨🔥 iPhone 手機殼 16 15 14 16e 13 12 11 XR SE X pro 保護殼 軟殼 蘋果</t>
        </is>
      </c>
      <c r="C2435">
        <f>IMAGE("https://cf.shopee.tw/file/48b1531b3d1cf89a7e565852ddeeed6a_tn")</f>
        <v/>
      </c>
      <c r="D2435" t="inlineStr">
        <is>
          <t>狗狗頭像,11</t>
        </is>
      </c>
      <c r="E2435" t="inlineStr">
        <is>
          <t>155214245434</t>
        </is>
      </c>
      <c r="F2435">
        <f>IMAGE("https://cf.shopee.tw/file/ec09037315176fe8d178ba0a750244c0_tn")</f>
        <v/>
      </c>
    </row>
    <row r="2436">
      <c r="A2436" t="inlineStr">
        <is>
          <t>18525148018</t>
        </is>
      </c>
      <c r="B2436" t="inlineStr">
        <is>
          <t>隔日到貨🔥 iPhone 手機殼 16 15 14 16e 13 12 11 XR SE X pro 保護殼 軟殼 蘋果</t>
        </is>
      </c>
      <c r="C2436">
        <f>IMAGE("https://cf.shopee.tw/file/48b1531b3d1cf89a7e565852ddeeed6a_tn")</f>
        <v/>
      </c>
      <c r="D2436" t="inlineStr">
        <is>
          <t>狗狗頭像,11 pro</t>
        </is>
      </c>
      <c r="E2436" t="inlineStr">
        <is>
          <t>155214245428</t>
        </is>
      </c>
      <c r="F2436">
        <f>IMAGE("https://cf.shopee.tw/file/ec09037315176fe8d178ba0a750244c0_tn")</f>
        <v/>
      </c>
    </row>
    <row r="2437">
      <c r="A2437" t="inlineStr">
        <is>
          <t>18525148018</t>
        </is>
      </c>
      <c r="B2437" t="inlineStr">
        <is>
          <t>隔日到貨🔥 iPhone 手機殼 16 15 14 16e 13 12 11 XR SE X pro 保護殼 軟殼 蘋果</t>
        </is>
      </c>
      <c r="C2437">
        <f>IMAGE("https://cf.shopee.tw/file/48b1531b3d1cf89a7e565852ddeeed6a_tn")</f>
        <v/>
      </c>
      <c r="D2437" t="inlineStr">
        <is>
          <t>狗狗頭像,12</t>
        </is>
      </c>
      <c r="E2437" t="inlineStr">
        <is>
          <t>155214245429</t>
        </is>
      </c>
      <c r="F2437">
        <f>IMAGE("https://cf.shopee.tw/file/ec09037315176fe8d178ba0a750244c0_tn")</f>
        <v/>
      </c>
    </row>
    <row r="2438">
      <c r="A2438" t="inlineStr">
        <is>
          <t>18525148018</t>
        </is>
      </c>
      <c r="B2438" t="inlineStr">
        <is>
          <t>隔日到貨🔥 iPhone 手機殼 16 15 14 16e 13 12 11 XR SE X pro 保護殼 軟殼 蘋果</t>
        </is>
      </c>
      <c r="C2438">
        <f>IMAGE("https://cf.shopee.tw/file/48b1531b3d1cf89a7e565852ddeeed6a_tn")</f>
        <v/>
      </c>
      <c r="D2438" t="inlineStr">
        <is>
          <t>狗狗頭像,12 pro</t>
        </is>
      </c>
      <c r="E2438" t="inlineStr">
        <is>
          <t>155214245426</t>
        </is>
      </c>
      <c r="F2438">
        <f>IMAGE("https://cf.shopee.tw/file/ec09037315176fe8d178ba0a750244c0_tn")</f>
        <v/>
      </c>
    </row>
    <row r="2439">
      <c r="A2439" t="inlineStr">
        <is>
          <t>18525148018</t>
        </is>
      </c>
      <c r="B2439" t="inlineStr">
        <is>
          <t>隔日到貨🔥 iPhone 手機殼 16 15 14 16e 13 12 11 XR SE X pro 保護殼 軟殼 蘋果</t>
        </is>
      </c>
      <c r="C2439">
        <f>IMAGE("https://cf.shopee.tw/file/48b1531b3d1cf89a7e565852ddeeed6a_tn")</f>
        <v/>
      </c>
      <c r="D2439" t="inlineStr">
        <is>
          <t>狗狗頭像,13</t>
        </is>
      </c>
      <c r="E2439" t="inlineStr">
        <is>
          <t>155214245430</t>
        </is>
      </c>
      <c r="F2439">
        <f>IMAGE("https://cf.shopee.tw/file/ec09037315176fe8d178ba0a750244c0_tn")</f>
        <v/>
      </c>
    </row>
    <row r="2440">
      <c r="A2440" t="inlineStr">
        <is>
          <t>18525148018</t>
        </is>
      </c>
      <c r="B2440" t="inlineStr">
        <is>
          <t>隔日到貨🔥 iPhone 手機殼 16 15 14 16e 13 12 11 XR SE X pro 保護殼 軟殼 蘋果</t>
        </is>
      </c>
      <c r="C2440">
        <f>IMAGE("https://cf.shopee.tw/file/48b1531b3d1cf89a7e565852ddeeed6a_tn")</f>
        <v/>
      </c>
      <c r="D2440" t="inlineStr">
        <is>
          <t>狗狗頭像,13 pro</t>
        </is>
      </c>
      <c r="E2440" t="inlineStr"/>
      <c r="F2440">
        <f>IMAGE("https://cf.shopee.tw/file/ec09037315176fe8d178ba0a750244c0_tn")</f>
        <v/>
      </c>
    </row>
    <row r="2441">
      <c r="A2441" t="inlineStr">
        <is>
          <t>18525148018</t>
        </is>
      </c>
      <c r="B2441" t="inlineStr">
        <is>
          <t>隔日到貨🔥 iPhone 手機殼 16 15 14 16e 13 12 11 XR SE X pro 保護殼 軟殼 蘋果</t>
        </is>
      </c>
      <c r="C2441">
        <f>IMAGE("https://cf.shopee.tw/file/48b1531b3d1cf89a7e565852ddeeed6a_tn")</f>
        <v/>
      </c>
      <c r="D2441" t="inlineStr">
        <is>
          <t>狗狗頭像,13 pro Max</t>
        </is>
      </c>
      <c r="E2441" t="inlineStr">
        <is>
          <t>155214245432</t>
        </is>
      </c>
      <c r="F2441">
        <f>IMAGE("https://cf.shopee.tw/file/ec09037315176fe8d178ba0a750244c0_tn")</f>
        <v/>
      </c>
    </row>
    <row r="2442">
      <c r="A2442" t="inlineStr">
        <is>
          <t>18525148018</t>
        </is>
      </c>
      <c r="B2442" t="inlineStr">
        <is>
          <t>隔日到貨🔥 iPhone 手機殼 16 15 14 16e 13 12 11 XR SE X pro 保護殼 軟殼 蘋果</t>
        </is>
      </c>
      <c r="C2442">
        <f>IMAGE("https://cf.shopee.tw/file/48b1531b3d1cf89a7e565852ddeeed6a_tn")</f>
        <v/>
      </c>
      <c r="D2442" t="inlineStr">
        <is>
          <t>狗狗頭像,14</t>
        </is>
      </c>
      <c r="E2442" t="inlineStr"/>
      <c r="F2442">
        <f>IMAGE("https://cf.shopee.tw/file/ec09037315176fe8d178ba0a750244c0_tn")</f>
        <v/>
      </c>
    </row>
    <row r="2443">
      <c r="A2443" t="inlineStr">
        <is>
          <t>18525148018</t>
        </is>
      </c>
      <c r="B2443" t="inlineStr">
        <is>
          <t>隔日到貨🔥 iPhone 手機殼 16 15 14 16e 13 12 11 XR SE X pro 保護殼 軟殼 蘋果</t>
        </is>
      </c>
      <c r="C2443">
        <f>IMAGE("https://cf.shopee.tw/file/48b1531b3d1cf89a7e565852ddeeed6a_tn")</f>
        <v/>
      </c>
      <c r="D2443" t="inlineStr">
        <is>
          <t>狗狗頭像,14 Plus</t>
        </is>
      </c>
      <c r="E2443" t="inlineStr">
        <is>
          <t>146069717933</t>
        </is>
      </c>
      <c r="F2443">
        <f>IMAGE("https://cf.shopee.tw/file/ec09037315176fe8d178ba0a750244c0_tn")</f>
        <v/>
      </c>
    </row>
    <row r="2444">
      <c r="A2444" t="inlineStr">
        <is>
          <t>18525148018</t>
        </is>
      </c>
      <c r="B2444" t="inlineStr">
        <is>
          <t>隔日到貨🔥 iPhone 手機殼 16 15 14 16e 13 12 11 XR SE X pro 保護殼 軟殼 蘋果</t>
        </is>
      </c>
      <c r="C2444">
        <f>IMAGE("https://cf.shopee.tw/file/48b1531b3d1cf89a7e565852ddeeed6a_tn")</f>
        <v/>
      </c>
      <c r="D2444" t="inlineStr">
        <is>
          <t>狗狗頭像,14 pro</t>
        </is>
      </c>
      <c r="E2444" t="inlineStr">
        <is>
          <t>146069717935</t>
        </is>
      </c>
      <c r="F2444">
        <f>IMAGE("https://cf.shopee.tw/file/ec09037315176fe8d178ba0a750244c0_tn")</f>
        <v/>
      </c>
    </row>
    <row r="2445">
      <c r="A2445" t="inlineStr">
        <is>
          <t>18525148018</t>
        </is>
      </c>
      <c r="B2445" t="inlineStr">
        <is>
          <t>隔日到貨🔥 iPhone 手機殼 16 15 14 16e 13 12 11 XR SE X pro 保護殼 軟殼 蘋果</t>
        </is>
      </c>
      <c r="C2445">
        <f>IMAGE("https://cf.shopee.tw/file/48b1531b3d1cf89a7e565852ddeeed6a_tn")</f>
        <v/>
      </c>
      <c r="D2445" t="inlineStr">
        <is>
          <t>狗狗頭像,14 proMax</t>
        </is>
      </c>
      <c r="E2445" t="inlineStr">
        <is>
          <t>146069717936</t>
        </is>
      </c>
      <c r="F2445">
        <f>IMAGE("https://cf.shopee.tw/file/ec09037315176fe8d178ba0a750244c0_tn")</f>
        <v/>
      </c>
    </row>
    <row r="2446">
      <c r="A2446" t="inlineStr">
        <is>
          <t>18525148018</t>
        </is>
      </c>
      <c r="B2446" t="inlineStr">
        <is>
          <t>隔日到貨🔥 iPhone 手機殼 16 15 14 16e 13 12 11 XR SE X pro 保護殼 軟殼 蘋果</t>
        </is>
      </c>
      <c r="C2446">
        <f>IMAGE("https://cf.shopee.tw/file/48b1531b3d1cf89a7e565852ddeeed6a_tn")</f>
        <v/>
      </c>
      <c r="D2446" t="inlineStr">
        <is>
          <t>狗狗頭像,15</t>
        </is>
      </c>
      <c r="E2446" t="inlineStr"/>
      <c r="F2446">
        <f>IMAGE("https://cf.shopee.tw/file/ec09037315176fe8d178ba0a750244c0_tn")</f>
        <v/>
      </c>
    </row>
    <row r="2447">
      <c r="A2447" t="inlineStr">
        <is>
          <t>18525148018</t>
        </is>
      </c>
      <c r="B2447" t="inlineStr">
        <is>
          <t>隔日到貨🔥 iPhone 手機殼 16 15 14 16e 13 12 11 XR SE X pro 保護殼 軟殼 蘋果</t>
        </is>
      </c>
      <c r="C2447">
        <f>IMAGE("https://cf.shopee.tw/file/48b1531b3d1cf89a7e565852ddeeed6a_tn")</f>
        <v/>
      </c>
      <c r="D2447" t="inlineStr">
        <is>
          <t>狗狗頭像,15 Plus</t>
        </is>
      </c>
      <c r="E2447" t="inlineStr">
        <is>
          <t>177883756846</t>
        </is>
      </c>
      <c r="F2447">
        <f>IMAGE("https://cf.shopee.tw/file/ec09037315176fe8d178ba0a750244c0_tn")</f>
        <v/>
      </c>
    </row>
    <row r="2448">
      <c r="A2448" t="inlineStr">
        <is>
          <t>18525148018</t>
        </is>
      </c>
      <c r="B2448" t="inlineStr">
        <is>
          <t>隔日到貨🔥 iPhone 手機殼 16 15 14 16e 13 12 11 XR SE X pro 保護殼 軟殼 蘋果</t>
        </is>
      </c>
      <c r="C2448">
        <f>IMAGE("https://cf.shopee.tw/file/48b1531b3d1cf89a7e565852ddeeed6a_tn")</f>
        <v/>
      </c>
      <c r="D2448" t="inlineStr">
        <is>
          <t>狗狗頭像,15 pro</t>
        </is>
      </c>
      <c r="E2448" t="inlineStr"/>
      <c r="F2448">
        <f>IMAGE("https://cf.shopee.tw/file/ec09037315176fe8d178ba0a750244c0_tn")</f>
        <v/>
      </c>
    </row>
    <row r="2449">
      <c r="A2449" t="inlineStr">
        <is>
          <t>18525148018</t>
        </is>
      </c>
      <c r="B2449" t="inlineStr">
        <is>
          <t>隔日到貨🔥 iPhone 手機殼 16 15 14 16e 13 12 11 XR SE X pro 保護殼 軟殼 蘋果</t>
        </is>
      </c>
      <c r="C2449">
        <f>IMAGE("https://cf.shopee.tw/file/48b1531b3d1cf89a7e565852ddeeed6a_tn")</f>
        <v/>
      </c>
      <c r="D2449" t="inlineStr">
        <is>
          <t>狗狗頭像,15 pro Max</t>
        </is>
      </c>
      <c r="E2449" t="inlineStr">
        <is>
          <t>177883756848</t>
        </is>
      </c>
      <c r="F2449">
        <f>IMAGE("https://cf.shopee.tw/file/ec09037315176fe8d178ba0a750244c0_tn")</f>
        <v/>
      </c>
    </row>
    <row r="2450">
      <c r="A2450" t="inlineStr">
        <is>
          <t>18525148018</t>
        </is>
      </c>
      <c r="B2450" t="inlineStr">
        <is>
          <t>隔日到貨🔥 iPhone 手機殼 16 15 14 16e 13 12 11 XR SE X pro 保護殼 軟殼 蘋果</t>
        </is>
      </c>
      <c r="C2450">
        <f>IMAGE("https://cf.shopee.tw/file/48b1531b3d1cf89a7e565852ddeeed6a_tn")</f>
        <v/>
      </c>
      <c r="D2450" t="inlineStr">
        <is>
          <t>狗狗頭像,16 Pro</t>
        </is>
      </c>
      <c r="E2450" t="inlineStr">
        <is>
          <t>251986679568</t>
        </is>
      </c>
      <c r="F2450">
        <f>IMAGE("https://cf.shopee.tw/file/ec09037315176fe8d178ba0a750244c0_tn")</f>
        <v/>
      </c>
    </row>
    <row r="2451">
      <c r="A2451" t="inlineStr">
        <is>
          <t>18525148018</t>
        </is>
      </c>
      <c r="B2451" t="inlineStr">
        <is>
          <t>隔日到貨🔥 iPhone 手機殼 16 15 14 16e 13 12 11 XR SE X pro 保護殼 軟殼 蘋果</t>
        </is>
      </c>
      <c r="C2451">
        <f>IMAGE("https://cf.shopee.tw/file/48b1531b3d1cf89a7e565852ddeeed6a_tn")</f>
        <v/>
      </c>
      <c r="D2451" t="inlineStr">
        <is>
          <t>狗狗頭像,16 Plus</t>
        </is>
      </c>
      <c r="E2451" t="inlineStr">
        <is>
          <t>251986679569</t>
        </is>
      </c>
      <c r="F2451">
        <f>IMAGE("https://cf.shopee.tw/file/ec09037315176fe8d178ba0a750244c0_tn")</f>
        <v/>
      </c>
    </row>
    <row r="2452">
      <c r="A2452" t="inlineStr">
        <is>
          <t>18525148018</t>
        </is>
      </c>
      <c r="B2452" t="inlineStr">
        <is>
          <t>隔日到貨🔥 iPhone 手機殼 16 15 14 16e 13 12 11 XR SE X pro 保護殼 軟殼 蘋果</t>
        </is>
      </c>
      <c r="C2452">
        <f>IMAGE("https://cf.shopee.tw/file/48b1531b3d1cf89a7e565852ddeeed6a_tn")</f>
        <v/>
      </c>
      <c r="D2452" t="inlineStr">
        <is>
          <t>狗狗頭像,16 Pro Max</t>
        </is>
      </c>
      <c r="E2452" t="inlineStr">
        <is>
          <t>251986679570</t>
        </is>
      </c>
      <c r="F2452">
        <f>IMAGE("https://cf.shopee.tw/file/ec09037315176fe8d178ba0a750244c0_tn")</f>
        <v/>
      </c>
    </row>
    <row r="2453">
      <c r="A2453" t="inlineStr">
        <is>
          <t>11807063184</t>
        </is>
      </c>
      <c r="B2453" t="inlineStr">
        <is>
          <t>隔日到貨🔥 ins風 手機氣囊 多功能指環扣 伸縮折疊 立體氣囊 手機架 適合各手機 氣囊 黏貼式 懶人氣囊</t>
        </is>
      </c>
      <c r="C2453">
        <f>IMAGE("https://cf.shopee.tw/file/e08183d1f839c9fbacbf1d734c6e131c_tn")</f>
        <v/>
      </c>
      <c r="D2453" t="inlineStr">
        <is>
          <t>K64 開運貓</t>
        </is>
      </c>
      <c r="E2453" t="inlineStr">
        <is>
          <t>26065583956</t>
        </is>
      </c>
      <c r="F2453">
        <f>IMAGE("https://cf.shopee.tw/file/22f3e5fc9d566318914a2fcab1c49411_tn")</f>
        <v/>
      </c>
    </row>
    <row r="2454">
      <c r="A2454" t="inlineStr">
        <is>
          <t>11807063184</t>
        </is>
      </c>
      <c r="B2454" t="inlineStr">
        <is>
          <t>隔日到貨🔥 ins風 手機氣囊 多功能指環扣 伸縮折疊 立體氣囊 手機架 適合各手機 氣囊 黏貼式 懶人氣囊</t>
        </is>
      </c>
      <c r="C2454">
        <f>IMAGE("https://cf.shopee.tw/file/e08183d1f839c9fbacbf1d734c6e131c_tn")</f>
        <v/>
      </c>
      <c r="D2454" t="inlineStr">
        <is>
          <t>K56 草莓愛心</t>
        </is>
      </c>
      <c r="E2454" t="inlineStr">
        <is>
          <t>26065583948</t>
        </is>
      </c>
      <c r="F2454">
        <f>IMAGE("https://cf.shopee.tw/file/21af0e6fbf6f7396fb979795272078cf_tn")</f>
        <v/>
      </c>
    </row>
    <row r="2455">
      <c r="A2455" t="inlineStr">
        <is>
          <t>11807063184</t>
        </is>
      </c>
      <c r="B2455" t="inlineStr">
        <is>
          <t>隔日到貨🔥 ins風 手機氣囊 多功能指環扣 伸縮折疊 立體氣囊 手機架 適合各手機 氣囊 黏貼式 懶人氣囊</t>
        </is>
      </c>
      <c r="C2455">
        <f>IMAGE("https://cf.shopee.tw/file/e08183d1f839c9fbacbf1d734c6e131c_tn")</f>
        <v/>
      </c>
      <c r="D2455" t="inlineStr">
        <is>
          <t>K57 白色餅乾熊</t>
        </is>
      </c>
      <c r="E2455" t="inlineStr">
        <is>
          <t>26065583942</t>
        </is>
      </c>
      <c r="F2455">
        <f>IMAGE("https://cf.shopee.tw/file/30c43e7d0f0b04295b09aac51d8de866_tn")</f>
        <v/>
      </c>
    </row>
    <row r="2456">
      <c r="A2456" t="inlineStr">
        <is>
          <t>11807063184</t>
        </is>
      </c>
      <c r="B2456" t="inlineStr">
        <is>
          <t>隔日到貨🔥 ins風 手機氣囊 多功能指環扣 伸縮折疊 立體氣囊 手機架 適合各手機 氣囊 黏貼式 懶人氣囊</t>
        </is>
      </c>
      <c r="C2456">
        <f>IMAGE("https://cf.shopee.tw/file/e08183d1f839c9fbacbf1d734c6e131c_tn")</f>
        <v/>
      </c>
      <c r="D2456" t="inlineStr">
        <is>
          <t>K58 紫色兔子</t>
        </is>
      </c>
      <c r="E2456" t="inlineStr">
        <is>
          <t>26065583949</t>
        </is>
      </c>
      <c r="F2456">
        <f>IMAGE("https://cf.shopee.tw/file/fa1af98d41f147f32cdfbec54f6d543d_tn")</f>
        <v/>
      </c>
    </row>
    <row r="2457">
      <c r="A2457" t="inlineStr">
        <is>
          <t>11807063184</t>
        </is>
      </c>
      <c r="B2457" t="inlineStr">
        <is>
          <t>隔日到貨🔥 ins風 手機氣囊 多功能指環扣 伸縮折疊 立體氣囊 手機架 適合各手機 氣囊 黏貼式 懶人氣囊</t>
        </is>
      </c>
      <c r="C2457">
        <f>IMAGE("https://cf.shopee.tw/file/e08183d1f839c9fbacbf1d734c6e131c_tn")</f>
        <v/>
      </c>
      <c r="D2457" t="inlineStr">
        <is>
          <t>K59 粉色櫻桃熊</t>
        </is>
      </c>
      <c r="E2457" t="inlineStr">
        <is>
          <t>26065583950</t>
        </is>
      </c>
      <c r="F2457">
        <f>IMAGE("https://cf.shopee.tw/file/28396f98b14b65220c63aaf78451a71b_tn")</f>
        <v/>
      </c>
    </row>
    <row r="2458">
      <c r="A2458" t="inlineStr">
        <is>
          <t>11807063184</t>
        </is>
      </c>
      <c r="B2458" t="inlineStr">
        <is>
          <t>隔日到貨🔥 ins風 手機氣囊 多功能指環扣 伸縮折疊 立體氣囊 手機架 適合各手機 氣囊 黏貼式 懶人氣囊</t>
        </is>
      </c>
      <c r="C2458">
        <f>IMAGE("https://cf.shopee.tw/file/e08183d1f839c9fbacbf1d734c6e131c_tn")</f>
        <v/>
      </c>
      <c r="D2458" t="inlineStr">
        <is>
          <t>K60 可達鴨</t>
        </is>
      </c>
      <c r="E2458" t="inlineStr"/>
      <c r="F2458">
        <f>IMAGE("https://cf.shopee.tw/file/1785b1adb31e771a101cfc3a0c8f4916_tn")</f>
        <v/>
      </c>
    </row>
    <row r="2459">
      <c r="A2459" t="inlineStr">
        <is>
          <t>11807063184</t>
        </is>
      </c>
      <c r="B2459" t="inlineStr">
        <is>
          <t>隔日到貨🔥 ins風 手機氣囊 多功能指環扣 伸縮折疊 立體氣囊 手機架 適合各手機 氣囊 黏貼式 懶人氣囊</t>
        </is>
      </c>
      <c r="C2459">
        <f>IMAGE("https://cf.shopee.tw/file/e08183d1f839c9fbacbf1d734c6e131c_tn")</f>
        <v/>
      </c>
      <c r="D2459" t="inlineStr">
        <is>
          <t>K61 粉色兔子</t>
        </is>
      </c>
      <c r="E2459" t="inlineStr">
        <is>
          <t>26065583955</t>
        </is>
      </c>
      <c r="F2459">
        <f>IMAGE("https://cf.shopee.tw/file/bd9d63a22a7991e58d9afaaab3ff9405_tn")</f>
        <v/>
      </c>
    </row>
    <row r="2460">
      <c r="A2460" t="inlineStr">
        <is>
          <t>11807063184</t>
        </is>
      </c>
      <c r="B2460" t="inlineStr">
        <is>
          <t>隔日到貨🔥 ins風 手機氣囊 多功能指環扣 伸縮折疊 立體氣囊 手機架 適合各手機 氣囊 黏貼式 懶人氣囊</t>
        </is>
      </c>
      <c r="C2460">
        <f>IMAGE("https://cf.shopee.tw/file/e08183d1f839c9fbacbf1d734c6e131c_tn")</f>
        <v/>
      </c>
      <c r="D2460" t="inlineStr">
        <is>
          <t>K62 紫色餅乾熊</t>
        </is>
      </c>
      <c r="E2460" t="inlineStr">
        <is>
          <t>26065583944</t>
        </is>
      </c>
      <c r="F2460">
        <f>IMAGE("https://cf.shopee.tw/file/22ecdfce298b08ca21c2181f5b795b24_tn")</f>
        <v/>
      </c>
    </row>
    <row r="2461">
      <c r="A2461" t="inlineStr">
        <is>
          <t>11807063184</t>
        </is>
      </c>
      <c r="B2461" t="inlineStr">
        <is>
          <t>隔日到貨🔥 ins風 手機氣囊 多功能指環扣 伸縮折疊 立體氣囊 手機架 適合各手機 氣囊 黏貼式 懶人氣囊</t>
        </is>
      </c>
      <c r="C2461">
        <f>IMAGE("https://cf.shopee.tw/file/e08183d1f839c9fbacbf1d734c6e131c_tn")</f>
        <v/>
      </c>
      <c r="D2461" t="inlineStr">
        <is>
          <t>K63 棕色櫻桃熊</t>
        </is>
      </c>
      <c r="E2461" t="inlineStr">
        <is>
          <t>26065583945</t>
        </is>
      </c>
      <c r="F2461">
        <f>IMAGE("https://cf.shopee.tw/file/05e6567fe0cb20a94c070fcc0033f61c_tn")</f>
        <v/>
      </c>
    </row>
    <row r="2462">
      <c r="A2462" t="inlineStr">
        <is>
          <t>11807063184</t>
        </is>
      </c>
      <c r="B2462" t="inlineStr">
        <is>
          <t>隔日到貨🔥 ins風 手機氣囊 多功能指環扣 伸縮折疊 立體氣囊 手機架 適合各手機 氣囊 黏貼式 懶人氣囊</t>
        </is>
      </c>
      <c r="C2462">
        <f>IMAGE("https://cf.shopee.tw/file/e08183d1f839c9fbacbf1d734c6e131c_tn")</f>
        <v/>
      </c>
      <c r="D2462" t="inlineStr">
        <is>
          <t>K65 藍帽小熊</t>
        </is>
      </c>
      <c r="E2462" t="inlineStr">
        <is>
          <t>26065583940</t>
        </is>
      </c>
      <c r="F2462">
        <f>IMAGE("https://cf.shopee.tw/file/b325355df0e8d0cda8930daaae7da857_tn")</f>
        <v/>
      </c>
    </row>
    <row r="2463">
      <c r="A2463" t="inlineStr">
        <is>
          <t>11807063184</t>
        </is>
      </c>
      <c r="B2463" t="inlineStr">
        <is>
          <t>隔日到貨🔥 ins風 手機氣囊 多功能指環扣 伸縮折疊 立體氣囊 手機架 適合各手機 氣囊 黏貼式 懶人氣囊</t>
        </is>
      </c>
      <c r="C2463">
        <f>IMAGE("https://cf.shopee.tw/file/e08183d1f839c9fbacbf1d734c6e131c_tn")</f>
        <v/>
      </c>
      <c r="D2463" t="inlineStr">
        <is>
          <t>K66 紫色櫻桃熊</t>
        </is>
      </c>
      <c r="E2463" t="inlineStr">
        <is>
          <t>26065583946</t>
        </is>
      </c>
      <c r="F2463">
        <f>IMAGE("https://cf.shopee.tw/file/2bf455072af6463dcdc5e024ee150fa5_tn")</f>
        <v/>
      </c>
    </row>
    <row r="2464">
      <c r="A2464" t="inlineStr">
        <is>
          <t>11807063184</t>
        </is>
      </c>
      <c r="B2464" t="inlineStr">
        <is>
          <t>隔日到貨🔥 ins風 手機氣囊 多功能指環扣 伸縮折疊 立體氣囊 手機架 適合各手機 氣囊 黏貼式 懶人氣囊</t>
        </is>
      </c>
      <c r="C2464">
        <f>IMAGE("https://cf.shopee.tw/file/e08183d1f839c9fbacbf1d734c6e131c_tn")</f>
        <v/>
      </c>
      <c r="D2464" t="inlineStr">
        <is>
          <t>K67 背帶小熊</t>
        </is>
      </c>
      <c r="E2464" t="inlineStr">
        <is>
          <t>26065583947</t>
        </is>
      </c>
      <c r="F2464">
        <f>IMAGE("https://cf.shopee.tw/file/8712e114a05f74b38f27e1ccd7fcf2ff_tn")</f>
        <v/>
      </c>
    </row>
    <row r="2465">
      <c r="A2465" t="inlineStr">
        <is>
          <t>11807063184</t>
        </is>
      </c>
      <c r="B2465" t="inlineStr">
        <is>
          <t>隔日到貨🔥 ins風 手機氣囊 多功能指環扣 伸縮折疊 立體氣囊 手機架 適合各手機 氣囊 黏貼式 懶人氣囊</t>
        </is>
      </c>
      <c r="C2465">
        <f>IMAGE("https://cf.shopee.tw/file/e08183d1f839c9fbacbf1d734c6e131c_tn")</f>
        <v/>
      </c>
      <c r="D2465" t="inlineStr">
        <is>
          <t>K68 綠色熊頭</t>
        </is>
      </c>
      <c r="E2465" t="inlineStr">
        <is>
          <t>26065583952</t>
        </is>
      </c>
      <c r="F2465">
        <f>IMAGE("https://cf.shopee.tw/file/62d3f220948f9657eedc49285238dbc3_tn")</f>
        <v/>
      </c>
    </row>
    <row r="2466">
      <c r="A2466" t="inlineStr">
        <is>
          <t>11807063184</t>
        </is>
      </c>
      <c r="B2466" t="inlineStr">
        <is>
          <t>隔日到貨🔥 ins風 手機氣囊 多功能指環扣 伸縮折疊 立體氣囊 手機架 適合各手機 氣囊 黏貼式 懶人氣囊</t>
        </is>
      </c>
      <c r="C2466">
        <f>IMAGE("https://cf.shopee.tw/file/e08183d1f839c9fbacbf1d734c6e131c_tn")</f>
        <v/>
      </c>
      <c r="D2466" t="inlineStr">
        <is>
          <t>K69 抱抱熊</t>
        </is>
      </c>
      <c r="E2466" t="inlineStr"/>
      <c r="F2466">
        <f>IMAGE("https://cf.shopee.tw/file/a9e77c53ceee19cd478570123f482b9e_tn")</f>
        <v/>
      </c>
    </row>
    <row r="2467">
      <c r="A2467" t="inlineStr">
        <is>
          <t>11807063184</t>
        </is>
      </c>
      <c r="B2467" t="inlineStr">
        <is>
          <t>隔日到貨🔥 ins風 手機氣囊 多功能指環扣 伸縮折疊 立體氣囊 手機架 適合各手機 氣囊 黏貼式 懶人氣囊</t>
        </is>
      </c>
      <c r="C2467">
        <f>IMAGE("https://cf.shopee.tw/file/e08183d1f839c9fbacbf1d734c6e131c_tn")</f>
        <v/>
      </c>
      <c r="D2467" t="inlineStr">
        <is>
          <t>K70 紅帽小熊</t>
        </is>
      </c>
      <c r="E2467" t="inlineStr">
        <is>
          <t>26065583953</t>
        </is>
      </c>
      <c r="F2467">
        <f>IMAGE("https://cf.shopee.tw/file/aeda085dbddfb0dedbe5ae20d145d355_tn")</f>
        <v/>
      </c>
    </row>
    <row r="2468">
      <c r="A2468" t="inlineStr">
        <is>
          <t>11807063184</t>
        </is>
      </c>
      <c r="B2468" t="inlineStr">
        <is>
          <t>隔日到貨🔥 ins風 手機氣囊 多功能指環扣 伸縮折疊 立體氣囊 手機架 適合各手機 氣囊 黏貼式 懶人氣囊</t>
        </is>
      </c>
      <c r="C2468">
        <f>IMAGE("https://cf.shopee.tw/file/e08183d1f839c9fbacbf1d734c6e131c_tn")</f>
        <v/>
      </c>
      <c r="D2468" t="inlineStr">
        <is>
          <t>K71 小白兔</t>
        </is>
      </c>
      <c r="E2468" t="inlineStr">
        <is>
          <t>26065583954</t>
        </is>
      </c>
      <c r="F2468">
        <f>IMAGE("https://cf.shopee.tw/file/b87b49e7a0f4fcbd191252cba55fb642_tn")</f>
        <v/>
      </c>
    </row>
    <row r="2469">
      <c r="A2469" t="inlineStr">
        <is>
          <t>11807063184</t>
        </is>
      </c>
      <c r="B2469" t="inlineStr">
        <is>
          <t>隔日到貨🔥 ins風 手機氣囊 多功能指環扣 伸縮折疊 立體氣囊 手機架 適合各手機 氣囊 黏貼式 懶人氣囊</t>
        </is>
      </c>
      <c r="C2469">
        <f>IMAGE("https://cf.shopee.tw/file/e08183d1f839c9fbacbf1d734c6e131c_tn")</f>
        <v/>
      </c>
      <c r="D2469" t="inlineStr">
        <is>
          <t>K72 棕色熊頭</t>
        </is>
      </c>
      <c r="E2469" t="inlineStr">
        <is>
          <t>26065583951</t>
        </is>
      </c>
      <c r="F2469">
        <f>IMAGE("https://cf.shopee.tw/file/f6d66ed65c38c4d45ba9000eb06316b7_tn")</f>
        <v/>
      </c>
    </row>
    <row r="2470">
      <c r="A2470" t="inlineStr">
        <is>
          <t>19069110256</t>
        </is>
      </c>
      <c r="B2470" t="inlineStr">
        <is>
          <t>隔日到貨🔥 ins 羊毛襪 冬襪 禦寒 長襪 素色麻花紋 堆堆襪 冬天襪子 保暖襪 中筒襪 襪子 S18 女襪</t>
        </is>
      </c>
      <c r="C2470">
        <f>IMAGE("https://cf.shopee.tw/file/sg-11134201-22120-cr52hli8n9kvf3_tn")</f>
        <v/>
      </c>
      <c r="D2470" t="inlineStr">
        <is>
          <t>淺麻灰</t>
        </is>
      </c>
      <c r="E2470" t="inlineStr"/>
      <c r="F2470">
        <f>IMAGE("https://cf.shopee.tw/file/sg-11134201-22120-a4vmjftytjlvee_tn")</f>
        <v/>
      </c>
    </row>
    <row r="2471">
      <c r="A2471" t="inlineStr">
        <is>
          <t>19069110256</t>
        </is>
      </c>
      <c r="B2471" t="inlineStr">
        <is>
          <t>隔日到貨🔥 ins 羊毛襪 冬襪 禦寒 長襪 素色麻花紋 堆堆襪 冬天襪子 保暖襪 中筒襪 襪子 S18 女襪</t>
        </is>
      </c>
      <c r="C2471">
        <f>IMAGE("https://cf.shopee.tw/file/sg-11134201-22120-cr52hli8n9kvf3_tn")</f>
        <v/>
      </c>
      <c r="D2471" t="inlineStr">
        <is>
          <t>韓國藍</t>
        </is>
      </c>
      <c r="E2471" t="inlineStr">
        <is>
          <t>127281594054</t>
        </is>
      </c>
      <c r="F2471">
        <f>IMAGE("https://cf.shopee.tw/file/sg-11134201-22120-p3s5adostjlv41_tn")</f>
        <v/>
      </c>
    </row>
    <row r="2472">
      <c r="A2472" t="inlineStr">
        <is>
          <t>19069110256</t>
        </is>
      </c>
      <c r="B2472" t="inlineStr">
        <is>
          <t>隔日到貨🔥 ins 羊毛襪 冬襪 禦寒 長襪 素色麻花紋 堆堆襪 冬天襪子 保暖襪 中筒襪 襪子 S18 女襪</t>
        </is>
      </c>
      <c r="C2472">
        <f>IMAGE("https://cf.shopee.tw/file/sg-11134201-22120-cr52hli8n9kvf3_tn")</f>
        <v/>
      </c>
      <c r="D2472" t="inlineStr">
        <is>
          <t>燕麥米色</t>
        </is>
      </c>
      <c r="E2472" t="inlineStr"/>
      <c r="F2472">
        <f>IMAGE("https://cf.shopee.tw/file/sg-11134201-22120-xoesyg6rtjlve4_tn")</f>
        <v/>
      </c>
    </row>
    <row r="2473">
      <c r="A2473" t="inlineStr">
        <is>
          <t>19069110256</t>
        </is>
      </c>
      <c r="B2473" t="inlineStr">
        <is>
          <t>隔日到貨🔥 ins 羊毛襪 冬襪 禦寒 長襪 素色麻花紋 堆堆襪 冬天襪子 保暖襪 中筒襪 襪子 S18 女襪</t>
        </is>
      </c>
      <c r="C2473">
        <f>IMAGE("https://cf.shopee.tw/file/sg-11134201-22120-cr52hli8n9kvf3_tn")</f>
        <v/>
      </c>
      <c r="D2473" t="inlineStr">
        <is>
          <t>黑色</t>
        </is>
      </c>
      <c r="E2473" t="inlineStr">
        <is>
          <t>127281594056</t>
        </is>
      </c>
      <c r="F2473">
        <f>IMAGE("https://cf.shopee.tw/file/sg-11134201-22120-ubqny6iytjlva5_tn")</f>
        <v/>
      </c>
    </row>
    <row r="2474">
      <c r="A2474" t="inlineStr">
        <is>
          <t>19069110256</t>
        </is>
      </c>
      <c r="B2474" t="inlineStr">
        <is>
          <t>隔日到貨🔥 ins 羊毛襪 冬襪 禦寒 長襪 素色麻花紋 堆堆襪 冬天襪子 保暖襪 中筒襪 襪子 S18 女襪</t>
        </is>
      </c>
      <c r="C2474">
        <f>IMAGE("https://cf.shopee.tw/file/sg-11134201-22120-cr52hli8n9kvf3_tn")</f>
        <v/>
      </c>
      <c r="D2474" t="inlineStr">
        <is>
          <t>松葉綠</t>
        </is>
      </c>
      <c r="E2474" t="inlineStr">
        <is>
          <t>127281594057</t>
        </is>
      </c>
      <c r="F2474">
        <f>IMAGE("https://cf.shopee.tw/file/sg-11134201-22120-uy02jadrtjlv29_tn")</f>
        <v/>
      </c>
    </row>
    <row r="2475">
      <c r="A2475" t="inlineStr">
        <is>
          <t>19069110256</t>
        </is>
      </c>
      <c r="B2475" t="inlineStr">
        <is>
          <t>隔日到貨🔥 ins 羊毛襪 冬襪 禦寒 長襪 素色麻花紋 堆堆襪 冬天襪子 保暖襪 中筒襪 襪子 S18 女襪</t>
        </is>
      </c>
      <c r="C2475">
        <f>IMAGE("https://cf.shopee.tw/file/sg-11134201-22120-cr52hli8n9kvf3_tn")</f>
        <v/>
      </c>
      <c r="D2475" t="inlineStr">
        <is>
          <t>焦茶</t>
        </is>
      </c>
      <c r="E2475" t="inlineStr">
        <is>
          <t>127281594058</t>
        </is>
      </c>
      <c r="F2475">
        <f>IMAGE("https://cf.shopee.tw/file/sg-11134201-22120-hx6rijurtjlv8f_tn")</f>
        <v/>
      </c>
    </row>
    <row r="2476">
      <c r="A2476" t="inlineStr">
        <is>
          <t>19069110256</t>
        </is>
      </c>
      <c r="B2476" t="inlineStr">
        <is>
          <t>隔日到貨🔥 ins 羊毛襪 冬襪 禦寒 長襪 素色麻花紋 堆堆襪 冬天襪子 保暖襪 中筒襪 襪子 S18 女襪</t>
        </is>
      </c>
      <c r="C2476">
        <f>IMAGE("https://cf.shopee.tw/file/sg-11134201-22120-cr52hli8n9kvf3_tn")</f>
        <v/>
      </c>
      <c r="D2476" t="inlineStr">
        <is>
          <t>奶油杏</t>
        </is>
      </c>
      <c r="E2476" t="inlineStr">
        <is>
          <t>127281594051</t>
        </is>
      </c>
      <c r="F2476">
        <f>IMAGE("https://cf.shopee.tw/file/sg-11134201-22120-fkcxp6zptjlve2_tn")</f>
        <v/>
      </c>
    </row>
    <row r="2477">
      <c r="A2477" t="inlineStr">
        <is>
          <t>19069110256</t>
        </is>
      </c>
      <c r="B2477" t="inlineStr">
        <is>
          <t>隔日到貨🔥 ins 羊毛襪 冬襪 禦寒 長襪 素色麻花紋 堆堆襪 冬天襪子 保暖襪 中筒襪 襪子 S18 女襪</t>
        </is>
      </c>
      <c r="C2477">
        <f>IMAGE("https://cf.shopee.tw/file/sg-11134201-22120-cr52hli8n9kvf3_tn")</f>
        <v/>
      </c>
      <c r="D2477" t="inlineStr">
        <is>
          <t>羅藍粉</t>
        </is>
      </c>
      <c r="E2477" t="inlineStr">
        <is>
          <t>127281594052</t>
        </is>
      </c>
      <c r="F2477">
        <f>IMAGE("https://cf.shopee.tw/file/sg-11134201-22120-uxdvjk6ytjlv94_tn")</f>
        <v/>
      </c>
    </row>
    <row r="2478">
      <c r="A2478" t="inlineStr">
        <is>
          <t>28452982827</t>
        </is>
      </c>
      <c r="B2478" t="inlineStr">
        <is>
          <t>隔日到貨🔥 ins風 鏡面造型氣囊支架 手機支架 手機氣囊 伸縮折疊 手機架 適合各手機 氣囊 黏貼式 懶人氣囊</t>
        </is>
      </c>
      <c r="C2478">
        <f>IMAGE("https://cf.shopee.tw/file/tw-11134207-7r98q-lwkumaf8o7xse7_tn")</f>
        <v/>
      </c>
      <c r="D2478" t="inlineStr">
        <is>
          <t>圓形 鏡子</t>
        </is>
      </c>
      <c r="E2478" t="inlineStr">
        <is>
          <t>256029521046</t>
        </is>
      </c>
      <c r="F2478">
        <f>IMAGE("https://cf.shopee.tw/file/tw-11134207-7r98p-lwkumaf6ztioea_tn")</f>
        <v/>
      </c>
    </row>
    <row r="2479">
      <c r="A2479" t="inlineStr">
        <is>
          <t>28452982827</t>
        </is>
      </c>
      <c r="B2479" t="inlineStr">
        <is>
          <t>隔日到貨🔥 ins風 鏡面造型氣囊支架 手機支架 手機氣囊 伸縮折疊 手機架 適合各手機 氣囊 黏貼式 懶人氣囊</t>
        </is>
      </c>
      <c r="C2479">
        <f>IMAGE("https://cf.shopee.tw/file/tw-11134207-7r98q-lwkumaf8o7xse7_tn")</f>
        <v/>
      </c>
      <c r="D2479" t="inlineStr">
        <is>
          <t>紅色花 鏡子</t>
        </is>
      </c>
      <c r="E2479" t="inlineStr">
        <is>
          <t>256029521047</t>
        </is>
      </c>
      <c r="F2479">
        <f>IMAGE("https://cf.shopee.tw/file/tw-11134207-7r98p-lwkumaf7f9rk50_tn")</f>
        <v/>
      </c>
    </row>
    <row r="2480">
      <c r="A2480" t="inlineStr">
        <is>
          <t>28452982827</t>
        </is>
      </c>
      <c r="B2480" t="inlineStr">
        <is>
          <t>隔日到貨🔥 ins風 鏡面造型氣囊支架 手機支架 手機氣囊 伸縮折疊 手機架 適合各手機 氣囊 黏貼式 懶人氣囊</t>
        </is>
      </c>
      <c r="C2480">
        <f>IMAGE("https://cf.shopee.tw/file/tw-11134207-7r98q-lwkumaf8o7xse7_tn")</f>
        <v/>
      </c>
      <c r="D2480" t="inlineStr">
        <is>
          <t>綠色花 鏡子</t>
        </is>
      </c>
      <c r="E2480" t="inlineStr">
        <is>
          <t>256029521048</t>
        </is>
      </c>
      <c r="F2480">
        <f>IMAGE("https://cf.shopee.tw/file/tw-11134207-7r98x-lwkumaf7uq0gc4_tn")</f>
        <v/>
      </c>
    </row>
    <row r="2481">
      <c r="A2481" t="inlineStr">
        <is>
          <t>28452982827</t>
        </is>
      </c>
      <c r="B2481" t="inlineStr">
        <is>
          <t>隔日到貨🔥 ins風 鏡面造型氣囊支架 手機支架 手機氣囊 伸縮折疊 手機架 適合各手機 氣囊 黏貼式 懶人氣囊</t>
        </is>
      </c>
      <c r="C2481">
        <f>IMAGE("https://cf.shopee.tw/file/tw-11134207-7r98q-lwkumaf8o7xse7_tn")</f>
        <v/>
      </c>
      <c r="D2481" t="inlineStr">
        <is>
          <t>粉色心 鏡子</t>
        </is>
      </c>
      <c r="E2481" t="inlineStr">
        <is>
          <t>256029521049</t>
        </is>
      </c>
      <c r="F2481">
        <f>IMAGE("https://cf.shopee.tw/file/tw-11134207-7r98u-lwkumaf8a69c40_tn")</f>
        <v/>
      </c>
    </row>
    <row r="2482">
      <c r="A2482" t="inlineStr">
        <is>
          <t>28452982827</t>
        </is>
      </c>
      <c r="B2482" t="inlineStr">
        <is>
          <t>隔日到貨🔥 ins風 鏡面造型氣囊支架 手機支架 手機氣囊 伸縮折疊 手機架 適合各手機 氣囊 黏貼式 懶人氣囊</t>
        </is>
      </c>
      <c r="C2482">
        <f>IMAGE("https://cf.shopee.tw/file/tw-11134207-7r98q-lwkumaf8o7xse7_tn")</f>
        <v/>
      </c>
      <c r="D2482" t="inlineStr">
        <is>
          <t>橢圓 鏡子</t>
        </is>
      </c>
      <c r="E2482" t="inlineStr">
        <is>
          <t>256029521050</t>
        </is>
      </c>
      <c r="F2482">
        <f>IMAGE("https://cf.shopee.tw/file/tw-11134207-7r98s-lwkumaf8pmi82d_tn")</f>
        <v/>
      </c>
    </row>
    <row r="2483">
      <c r="A2483" t="inlineStr">
        <is>
          <t>28452982827</t>
        </is>
      </c>
      <c r="B2483" t="inlineStr">
        <is>
          <t>隔日到貨🔥 ins風 鏡面造型氣囊支架 手機支架 手機氣囊 伸縮折疊 手機架 適合各手機 氣囊 黏貼式 懶人氣囊</t>
        </is>
      </c>
      <c r="C2483">
        <f>IMAGE("https://cf.shopee.tw/file/tw-11134207-7r98q-lwkumaf8o7xse7_tn")</f>
        <v/>
      </c>
      <c r="D2483" t="inlineStr">
        <is>
          <t>薰衣紫花朵 鏡子</t>
        </is>
      </c>
      <c r="E2483" t="inlineStr">
        <is>
          <t>256029521051</t>
        </is>
      </c>
      <c r="F2483">
        <f>IMAGE("https://cf.shopee.tw/file/tw-11134207-7r98q-lwkumaf789462f_tn")</f>
        <v/>
      </c>
    </row>
    <row r="2484">
      <c r="A2484" t="inlineStr">
        <is>
          <t>28452982827</t>
        </is>
      </c>
      <c r="B2484" t="inlineStr">
        <is>
          <t>隔日到貨🔥 ins風 鏡面造型氣囊支架 手機支架 手機氣囊 伸縮折疊 手機架 適合各手機 氣囊 黏貼式 懶人氣囊</t>
        </is>
      </c>
      <c r="C2484">
        <f>IMAGE("https://cf.shopee.tw/file/tw-11134207-7r98q-lwkumaf8o7xse7_tn")</f>
        <v/>
      </c>
      <c r="D2484" t="inlineStr">
        <is>
          <t>方形 鏡子</t>
        </is>
      </c>
      <c r="E2484" t="inlineStr">
        <is>
          <t>256029521052</t>
        </is>
      </c>
      <c r="F2484">
        <f>IMAGE("https://cf.shopee.tw/file/tw-11134207-7r990-lwkumaf7uq7a70_tn")</f>
        <v/>
      </c>
    </row>
    <row r="2485">
      <c r="A2485" t="inlineStr">
        <is>
          <t>28452982827</t>
        </is>
      </c>
      <c r="B2485" t="inlineStr">
        <is>
          <t>隔日到貨🔥 ins風 鏡面造型氣囊支架 手機支架 手機氣囊 伸縮折疊 手機架 適合各手機 氣囊 黏貼式 懶人氣囊</t>
        </is>
      </c>
      <c r="C2485">
        <f>IMAGE("https://cf.shopee.tw/file/tw-11134207-7r98q-lwkumaf8o7xse7_tn")</f>
        <v/>
      </c>
      <c r="D2485" t="inlineStr">
        <is>
          <t>一朵花 鏡子</t>
        </is>
      </c>
      <c r="E2485" t="inlineStr">
        <is>
          <t>256029521053</t>
        </is>
      </c>
      <c r="F2485">
        <f>IMAGE("https://cf.shopee.tw/file/tw-11134207-7r98t-lwkumaf6ztpi45_tn")</f>
        <v/>
      </c>
    </row>
    <row r="2486">
      <c r="A2486" t="inlineStr">
        <is>
          <t>28452982827</t>
        </is>
      </c>
      <c r="B2486" t="inlineStr">
        <is>
          <t>隔日到貨🔥 ins風 鏡面造型氣囊支架 手機支架 手機氣囊 伸縮折疊 手機架 適合各手機 氣囊 黏貼式 懶人氣囊</t>
        </is>
      </c>
      <c r="C2486">
        <f>IMAGE("https://cf.shopee.tw/file/tw-11134207-7r98q-lwkumaf8o7xse7_tn")</f>
        <v/>
      </c>
      <c r="D2486" t="inlineStr">
        <is>
          <t>黑色心 鏡子</t>
        </is>
      </c>
      <c r="E2486" t="inlineStr">
        <is>
          <t>256029521054</t>
        </is>
      </c>
      <c r="F2486">
        <f>IMAGE("https://cf.shopee.tw/file/tw-11134207-7r98r-lwkutzb3rl0wce_tn")</f>
        <v/>
      </c>
    </row>
    <row r="2487">
      <c r="A2487" t="inlineStr">
        <is>
          <t>28452982827</t>
        </is>
      </c>
      <c r="B2487" t="inlineStr">
        <is>
          <t>隔日到貨🔥 ins風 鏡面造型氣囊支架 手機支架 手機氣囊 伸縮折疊 手機架 適合各手機 氣囊 黏貼式 懶人氣囊</t>
        </is>
      </c>
      <c r="C2487">
        <f>IMAGE("https://cf.shopee.tw/file/tw-11134207-7r98q-lwkumaf8o7xse7_tn")</f>
        <v/>
      </c>
      <c r="D2487" t="inlineStr">
        <is>
          <t>薄荷綠心 鏡子</t>
        </is>
      </c>
      <c r="E2487" t="inlineStr">
        <is>
          <t>256029521055</t>
        </is>
      </c>
      <c r="F2487">
        <f>IMAGE("https://cf.shopee.tw/file/tw-11134207-7r98x-lwkutzb3szlc53_tn")</f>
        <v/>
      </c>
    </row>
    <row r="2488">
      <c r="A2488" t="inlineStr">
        <is>
          <t>21425145871</t>
        </is>
      </c>
      <c r="B2488" t="inlineStr">
        <is>
          <t>隔日到貨🔥 iPhone 手機殼 16 15 14 pro 13 12 11 XS XR SE X 保護殼 軟殼 蘋果</t>
        </is>
      </c>
      <c r="C2488">
        <f>IMAGE("https://cf.shopee.tw/file/5320964131b472e9ce097b50df8131a8_tn")</f>
        <v/>
      </c>
      <c r="D2488" t="inlineStr">
        <is>
          <t>扭曲格盤,17</t>
        </is>
      </c>
      <c r="E2488" t="inlineStr">
        <is>
          <t>360093182652</t>
        </is>
      </c>
      <c r="F2488">
        <f>IMAGE("https://cf.shopee.tw/file/0dc3c593dd801044bc4a3673b323d83a_tn")</f>
        <v/>
      </c>
    </row>
    <row r="2489">
      <c r="A2489" t="inlineStr">
        <is>
          <t>21425145871</t>
        </is>
      </c>
      <c r="B2489" t="inlineStr">
        <is>
          <t>隔日到貨🔥 iPhone 手機殼 16 15 14 pro 13 12 11 XS XR SE X 保護殼 軟殼 蘋果</t>
        </is>
      </c>
      <c r="C2489">
        <f>IMAGE("https://cf.shopee.tw/file/5320964131b472e9ce097b50df8131a8_tn")</f>
        <v/>
      </c>
      <c r="D2489" t="inlineStr">
        <is>
          <t>扭曲格盤,7 / 8 / SE2 / SE3</t>
        </is>
      </c>
      <c r="E2489" t="inlineStr">
        <is>
          <t>145214134555</t>
        </is>
      </c>
      <c r="F2489">
        <f>IMAGE("https://cf.shopee.tw/file/0dc3c593dd801044bc4a3673b323d83a_tn")</f>
        <v/>
      </c>
    </row>
    <row r="2490">
      <c r="A2490" t="inlineStr">
        <is>
          <t>21425145871</t>
        </is>
      </c>
      <c r="B2490" t="inlineStr">
        <is>
          <t>隔日到貨🔥 iPhone 手機殼 16 15 14 pro 13 12 11 XS XR SE X 保護殼 軟殼 蘋果</t>
        </is>
      </c>
      <c r="C2490">
        <f>IMAGE("https://cf.shopee.tw/file/5320964131b472e9ce097b50df8131a8_tn")</f>
        <v/>
      </c>
      <c r="D2490" t="inlineStr">
        <is>
          <t>扭曲格盤,7Plus / 8Plus</t>
        </is>
      </c>
      <c r="E2490" t="inlineStr">
        <is>
          <t>145214134556</t>
        </is>
      </c>
      <c r="F2490">
        <f>IMAGE("https://cf.shopee.tw/file/0dc3c593dd801044bc4a3673b323d83a_tn")</f>
        <v/>
      </c>
    </row>
    <row r="2491">
      <c r="A2491" t="inlineStr">
        <is>
          <t>21425145871</t>
        </is>
      </c>
      <c r="B2491" t="inlineStr">
        <is>
          <t>隔日到貨🔥 iPhone 手機殼 16 15 14 pro 13 12 11 XS XR SE X 保護殼 軟殼 蘋果</t>
        </is>
      </c>
      <c r="C2491">
        <f>IMAGE("https://cf.shopee.tw/file/5320964131b472e9ce097b50df8131a8_tn")</f>
        <v/>
      </c>
      <c r="D2491" t="inlineStr">
        <is>
          <t>扭曲格盤,X / XS</t>
        </is>
      </c>
      <c r="E2491" t="inlineStr">
        <is>
          <t>145214134557</t>
        </is>
      </c>
      <c r="F2491">
        <f>IMAGE("https://cf.shopee.tw/file/0dc3c593dd801044bc4a3673b323d83a_tn")</f>
        <v/>
      </c>
    </row>
    <row r="2492">
      <c r="A2492" t="inlineStr">
        <is>
          <t>21425145871</t>
        </is>
      </c>
      <c r="B2492" t="inlineStr">
        <is>
          <t>隔日到貨🔥 iPhone 手機殼 16 15 14 pro 13 12 11 XS XR SE X 保護殼 軟殼 蘋果</t>
        </is>
      </c>
      <c r="C2492">
        <f>IMAGE("https://cf.shopee.tw/file/5320964131b472e9ce097b50df8131a8_tn")</f>
        <v/>
      </c>
      <c r="D2492" t="inlineStr">
        <is>
          <t>扭曲格盤,XR</t>
        </is>
      </c>
      <c r="E2492" t="inlineStr">
        <is>
          <t>155214291197</t>
        </is>
      </c>
      <c r="F2492">
        <f>IMAGE("https://cf.shopee.tw/file/0dc3c593dd801044bc4a3673b323d83a_tn")</f>
        <v/>
      </c>
    </row>
    <row r="2493">
      <c r="A2493" t="inlineStr">
        <is>
          <t>21425145871</t>
        </is>
      </c>
      <c r="B2493" t="inlineStr">
        <is>
          <t>隔日到貨🔥 iPhone 手機殼 16 15 14 pro 13 12 11 XS XR SE X 保護殼 軟殼 蘋果</t>
        </is>
      </c>
      <c r="C2493">
        <f>IMAGE("https://cf.shopee.tw/file/5320964131b472e9ce097b50df8131a8_tn")</f>
        <v/>
      </c>
      <c r="D2493" t="inlineStr">
        <is>
          <t>扭曲格盤,XS Max</t>
        </is>
      </c>
      <c r="E2493" t="inlineStr">
        <is>
          <t>155214291198</t>
        </is>
      </c>
      <c r="F2493">
        <f>IMAGE("https://cf.shopee.tw/file/0dc3c593dd801044bc4a3673b323d83a_tn")</f>
        <v/>
      </c>
    </row>
    <row r="2494">
      <c r="A2494" t="inlineStr">
        <is>
          <t>21425145871</t>
        </is>
      </c>
      <c r="B2494" t="inlineStr">
        <is>
          <t>隔日到貨🔥 iPhone 手機殼 16 15 14 pro 13 12 11 XS XR SE X 保護殼 軟殼 蘋果</t>
        </is>
      </c>
      <c r="C2494">
        <f>IMAGE("https://cf.shopee.tw/file/5320964131b472e9ce097b50df8131a8_tn")</f>
        <v/>
      </c>
      <c r="D2494" t="inlineStr">
        <is>
          <t>扭曲格盤,11</t>
        </is>
      </c>
      <c r="E2494" t="inlineStr">
        <is>
          <t>155214291202</t>
        </is>
      </c>
      <c r="F2494">
        <f>IMAGE("https://cf.shopee.tw/file/0dc3c593dd801044bc4a3673b323d83a_tn")</f>
        <v/>
      </c>
    </row>
    <row r="2495">
      <c r="A2495" t="inlineStr">
        <is>
          <t>21425145871</t>
        </is>
      </c>
      <c r="B2495" t="inlineStr">
        <is>
          <t>隔日到貨🔥 iPhone 手機殼 16 15 14 pro 13 12 11 XS XR SE X 保護殼 軟殼 蘋果</t>
        </is>
      </c>
      <c r="C2495">
        <f>IMAGE("https://cf.shopee.tw/file/5320964131b472e9ce097b50df8131a8_tn")</f>
        <v/>
      </c>
      <c r="D2495" t="inlineStr">
        <is>
          <t>扭曲格盤,11 pro</t>
        </is>
      </c>
      <c r="E2495" t="inlineStr">
        <is>
          <t>155214291203</t>
        </is>
      </c>
      <c r="F2495">
        <f>IMAGE("https://cf.shopee.tw/file/0dc3c593dd801044bc4a3673b323d83a_tn")</f>
        <v/>
      </c>
    </row>
    <row r="2496">
      <c r="A2496" t="inlineStr">
        <is>
          <t>21425145871</t>
        </is>
      </c>
      <c r="B2496" t="inlineStr">
        <is>
          <t>隔日到貨🔥 iPhone 手機殼 16 15 14 pro 13 12 11 XS XR SE X 保護殼 軟殼 蘋果</t>
        </is>
      </c>
      <c r="C2496">
        <f>IMAGE("https://cf.shopee.tw/file/5320964131b472e9ce097b50df8131a8_tn")</f>
        <v/>
      </c>
      <c r="D2496" t="inlineStr">
        <is>
          <t>扭曲格盤,11 Pro Max</t>
        </is>
      </c>
      <c r="E2496" t="inlineStr">
        <is>
          <t>250282997124</t>
        </is>
      </c>
      <c r="F2496">
        <f>IMAGE("https://cf.shopee.tw/file/0dc3c593dd801044bc4a3673b323d83a_tn")</f>
        <v/>
      </c>
    </row>
    <row r="2497">
      <c r="A2497" t="inlineStr">
        <is>
          <t>21425145871</t>
        </is>
      </c>
      <c r="B2497" t="inlineStr">
        <is>
          <t>隔日到貨🔥 iPhone 手機殼 16 15 14 pro 13 12 11 XS XR SE X 保護殼 軟殼 蘋果</t>
        </is>
      </c>
      <c r="C2497">
        <f>IMAGE("https://cf.shopee.tw/file/5320964131b472e9ce097b50df8131a8_tn")</f>
        <v/>
      </c>
      <c r="D2497" t="inlineStr">
        <is>
          <t>扭曲格盤,12/12 pro</t>
        </is>
      </c>
      <c r="E2497" t="inlineStr">
        <is>
          <t>155214291199</t>
        </is>
      </c>
      <c r="F2497">
        <f>IMAGE("https://cf.shopee.tw/file/0dc3c593dd801044bc4a3673b323d83a_tn")</f>
        <v/>
      </c>
    </row>
    <row r="2498">
      <c r="A2498" t="inlineStr">
        <is>
          <t>21425145871</t>
        </is>
      </c>
      <c r="B2498" t="inlineStr">
        <is>
          <t>隔日到貨🔥 iPhone 手機殼 16 15 14 pro 13 12 11 XS XR SE X 保護殼 軟殼 蘋果</t>
        </is>
      </c>
      <c r="C2498">
        <f>IMAGE("https://cf.shopee.tw/file/5320964131b472e9ce097b50df8131a8_tn")</f>
        <v/>
      </c>
      <c r="D2498" t="inlineStr">
        <is>
          <t>扭曲格盤,12 pro Max</t>
        </is>
      </c>
      <c r="E2498" t="inlineStr">
        <is>
          <t>155214291204</t>
        </is>
      </c>
      <c r="F2498">
        <f>IMAGE("https://cf.shopee.tw/file/0dc3c593dd801044bc4a3673b323d83a_tn")</f>
        <v/>
      </c>
    </row>
    <row r="2499">
      <c r="A2499" t="inlineStr">
        <is>
          <t>21425145871</t>
        </is>
      </c>
      <c r="B2499" t="inlineStr">
        <is>
          <t>隔日到貨🔥 iPhone 手機殼 16 15 14 pro 13 12 11 XS XR SE X 保護殼 軟殼 蘋果</t>
        </is>
      </c>
      <c r="C2499">
        <f>IMAGE("https://cf.shopee.tw/file/5320964131b472e9ce097b50df8131a8_tn")</f>
        <v/>
      </c>
      <c r="D2499" t="inlineStr">
        <is>
          <t>扭曲格盤,13</t>
        </is>
      </c>
      <c r="E2499" t="inlineStr">
        <is>
          <t>155214291200</t>
        </is>
      </c>
      <c r="F2499">
        <f>IMAGE("https://cf.shopee.tw/file/0dc3c593dd801044bc4a3673b323d83a_tn")</f>
        <v/>
      </c>
    </row>
    <row r="2500">
      <c r="A2500" t="inlineStr">
        <is>
          <t>21425145871</t>
        </is>
      </c>
      <c r="B2500" t="inlineStr">
        <is>
          <t>隔日到貨🔥 iPhone 手機殼 16 15 14 pro 13 12 11 XS XR SE X 保護殼 軟殼 蘋果</t>
        </is>
      </c>
      <c r="C2500">
        <f>IMAGE("https://cf.shopee.tw/file/5320964131b472e9ce097b50df8131a8_tn")</f>
        <v/>
      </c>
      <c r="D2500" t="inlineStr">
        <is>
          <t>扭曲格盤,13 pro</t>
        </is>
      </c>
      <c r="E2500" t="inlineStr">
        <is>
          <t>155214291201</t>
        </is>
      </c>
      <c r="F2500">
        <f>IMAGE("https://cf.shopee.tw/file/0dc3c593dd801044bc4a3673b323d83a_tn")</f>
        <v/>
      </c>
    </row>
    <row r="2501">
      <c r="A2501" t="inlineStr">
        <is>
          <t>21425145871</t>
        </is>
      </c>
      <c r="B2501" t="inlineStr">
        <is>
          <t>隔日到貨🔥 iPhone 手機殼 16 15 14 pro 13 12 11 XS XR SE X 保護殼 軟殼 蘋果</t>
        </is>
      </c>
      <c r="C2501">
        <f>IMAGE("https://cf.shopee.tw/file/5320964131b472e9ce097b50df8131a8_tn")</f>
        <v/>
      </c>
      <c r="D2501" t="inlineStr">
        <is>
          <t>扭曲格盤,13 pro Max</t>
        </is>
      </c>
      <c r="E2501" t="inlineStr"/>
      <c r="F2501">
        <f>IMAGE("https://cf.shopee.tw/file/0dc3c593dd801044bc4a3673b323d83a_tn")</f>
        <v/>
      </c>
    </row>
    <row r="2502">
      <c r="A2502" t="inlineStr">
        <is>
          <t>21425145871</t>
        </is>
      </c>
      <c r="B2502" t="inlineStr">
        <is>
          <t>隔日到貨🔥 iPhone 手機殼 16 15 14 pro 13 12 11 XS XR SE X 保護殼 軟殼 蘋果</t>
        </is>
      </c>
      <c r="C2502">
        <f>IMAGE("https://cf.shopee.tw/file/5320964131b472e9ce097b50df8131a8_tn")</f>
        <v/>
      </c>
      <c r="D2502" t="inlineStr">
        <is>
          <t>扭曲格盤,13 mini</t>
        </is>
      </c>
      <c r="E2502" t="inlineStr">
        <is>
          <t>29375415504</t>
        </is>
      </c>
      <c r="F2502">
        <f>IMAGE("https://cf.shopee.tw/file/0dc3c593dd801044bc4a3673b323d83a_tn")</f>
        <v/>
      </c>
    </row>
    <row r="2503">
      <c r="A2503" t="inlineStr">
        <is>
          <t>21425145871</t>
        </is>
      </c>
      <c r="B2503" t="inlineStr">
        <is>
          <t>隔日到貨🔥 iPhone 手機殼 16 15 14 pro 13 12 11 XS XR SE X 保護殼 軟殼 蘋果</t>
        </is>
      </c>
      <c r="C2503">
        <f>IMAGE("https://cf.shopee.tw/file/5320964131b472e9ce097b50df8131a8_tn")</f>
        <v/>
      </c>
      <c r="D2503" t="inlineStr">
        <is>
          <t>扭曲格盤,14</t>
        </is>
      </c>
      <c r="E2503" t="inlineStr">
        <is>
          <t>155797731422</t>
        </is>
      </c>
      <c r="F2503">
        <f>IMAGE("https://cf.shopee.tw/file/0dc3c593dd801044bc4a3673b323d83a_tn")</f>
        <v/>
      </c>
    </row>
    <row r="2504">
      <c r="A2504" t="inlineStr">
        <is>
          <t>21425145871</t>
        </is>
      </c>
      <c r="B2504" t="inlineStr">
        <is>
          <t>隔日到貨🔥 iPhone 手機殼 16 15 14 pro 13 12 11 XS XR SE X 保護殼 軟殼 蘋果</t>
        </is>
      </c>
      <c r="C2504">
        <f>IMAGE("https://cf.shopee.tw/file/5320964131b472e9ce097b50df8131a8_tn")</f>
        <v/>
      </c>
      <c r="D2504" t="inlineStr">
        <is>
          <t>扭曲格盤,14 pro</t>
        </is>
      </c>
      <c r="E2504" t="inlineStr">
        <is>
          <t>155797731425</t>
        </is>
      </c>
      <c r="F2504">
        <f>IMAGE("https://cf.shopee.tw/file/0dc3c593dd801044bc4a3673b323d83a_tn")</f>
        <v/>
      </c>
    </row>
    <row r="2505">
      <c r="A2505" t="inlineStr">
        <is>
          <t>21425145871</t>
        </is>
      </c>
      <c r="B2505" t="inlineStr">
        <is>
          <t>隔日到貨🔥 iPhone 手機殼 16 15 14 pro 13 12 11 XS XR SE X 保護殼 軟殼 蘋果</t>
        </is>
      </c>
      <c r="C2505">
        <f>IMAGE("https://cf.shopee.tw/file/5320964131b472e9ce097b50df8131a8_tn")</f>
        <v/>
      </c>
      <c r="D2505" t="inlineStr">
        <is>
          <t>扭曲格盤,14 pro Max</t>
        </is>
      </c>
      <c r="E2505" t="inlineStr">
        <is>
          <t>155797731424</t>
        </is>
      </c>
      <c r="F2505">
        <f>IMAGE("https://cf.shopee.tw/file/0dc3c593dd801044bc4a3673b323d83a_tn")</f>
        <v/>
      </c>
    </row>
    <row r="2506">
      <c r="A2506" t="inlineStr">
        <is>
          <t>21425145871</t>
        </is>
      </c>
      <c r="B2506" t="inlineStr">
        <is>
          <t>隔日到貨🔥 iPhone 手機殼 16 15 14 pro 13 12 11 XS XR SE X 保護殼 軟殼 蘋果</t>
        </is>
      </c>
      <c r="C2506">
        <f>IMAGE("https://cf.shopee.tw/file/5320964131b472e9ce097b50df8131a8_tn")</f>
        <v/>
      </c>
      <c r="D2506" t="inlineStr">
        <is>
          <t>扭曲格盤,14 Plus</t>
        </is>
      </c>
      <c r="E2506" t="inlineStr">
        <is>
          <t>155797731423</t>
        </is>
      </c>
      <c r="F2506">
        <f>IMAGE("https://cf.shopee.tw/file/0dc3c593dd801044bc4a3673b323d83a_tn")</f>
        <v/>
      </c>
    </row>
    <row r="2507">
      <c r="A2507" t="inlineStr">
        <is>
          <t>21425145871</t>
        </is>
      </c>
      <c r="B2507" t="inlineStr">
        <is>
          <t>隔日到貨🔥 iPhone 手機殼 16 15 14 pro 13 12 11 XS XR SE X 保護殼 軟殼 蘋果</t>
        </is>
      </c>
      <c r="C2507">
        <f>IMAGE("https://cf.shopee.tw/file/5320964131b472e9ce097b50df8131a8_tn")</f>
        <v/>
      </c>
      <c r="D2507" t="inlineStr">
        <is>
          <t>扭曲格盤,15</t>
        </is>
      </c>
      <c r="E2507" t="inlineStr">
        <is>
          <t>204585490795</t>
        </is>
      </c>
      <c r="F2507">
        <f>IMAGE("https://cf.shopee.tw/file/0dc3c593dd801044bc4a3673b323d83a_tn")</f>
        <v/>
      </c>
    </row>
    <row r="2508">
      <c r="A2508" t="inlineStr">
        <is>
          <t>21425145871</t>
        </is>
      </c>
      <c r="B2508" t="inlineStr">
        <is>
          <t>隔日到貨🔥 iPhone 手機殼 16 15 14 pro 13 12 11 XS XR SE X 保護殼 軟殼 蘋果</t>
        </is>
      </c>
      <c r="C2508">
        <f>IMAGE("https://cf.shopee.tw/file/5320964131b472e9ce097b50df8131a8_tn")</f>
        <v/>
      </c>
      <c r="D2508" t="inlineStr">
        <is>
          <t>扭曲格盤,15 pro</t>
        </is>
      </c>
      <c r="E2508" t="inlineStr">
        <is>
          <t>204585490796</t>
        </is>
      </c>
      <c r="F2508">
        <f>IMAGE("https://cf.shopee.tw/file/0dc3c593dd801044bc4a3673b323d83a_tn")</f>
        <v/>
      </c>
    </row>
    <row r="2509">
      <c r="A2509" t="inlineStr">
        <is>
          <t>21425145871</t>
        </is>
      </c>
      <c r="B2509" t="inlineStr">
        <is>
          <t>隔日到貨🔥 iPhone 手機殼 16 15 14 pro 13 12 11 XS XR SE X 保護殼 軟殼 蘋果</t>
        </is>
      </c>
      <c r="C2509">
        <f>IMAGE("https://cf.shopee.tw/file/5320964131b472e9ce097b50df8131a8_tn")</f>
        <v/>
      </c>
      <c r="D2509" t="inlineStr">
        <is>
          <t>扭曲格盤,15 pro Max</t>
        </is>
      </c>
      <c r="E2509" t="inlineStr">
        <is>
          <t>204585490797</t>
        </is>
      </c>
      <c r="F2509">
        <f>IMAGE("https://cf.shopee.tw/file/0dc3c593dd801044bc4a3673b323d83a_tn")</f>
        <v/>
      </c>
    </row>
    <row r="2510">
      <c r="A2510" t="inlineStr">
        <is>
          <t>21425145871</t>
        </is>
      </c>
      <c r="B2510" t="inlineStr">
        <is>
          <t>隔日到貨🔥 iPhone 手機殼 16 15 14 pro 13 12 11 XS XR SE X 保護殼 軟殼 蘋果</t>
        </is>
      </c>
      <c r="C2510">
        <f>IMAGE("https://cf.shopee.tw/file/5320964131b472e9ce097b50df8131a8_tn")</f>
        <v/>
      </c>
      <c r="D2510" t="inlineStr">
        <is>
          <t>扭曲格盤,15 Plus</t>
        </is>
      </c>
      <c r="E2510" t="inlineStr"/>
      <c r="F2510">
        <f>IMAGE("https://cf.shopee.tw/file/0dc3c593dd801044bc4a3673b323d83a_tn")</f>
        <v/>
      </c>
    </row>
    <row r="2511">
      <c r="A2511" t="inlineStr">
        <is>
          <t>21425145871</t>
        </is>
      </c>
      <c r="B2511" t="inlineStr">
        <is>
          <t>隔日到貨🔥 iPhone 手機殼 16 15 14 pro 13 12 11 XS XR SE X 保護殼 軟殼 蘋果</t>
        </is>
      </c>
      <c r="C2511">
        <f>IMAGE("https://cf.shopee.tw/file/5320964131b472e9ce097b50df8131a8_tn")</f>
        <v/>
      </c>
      <c r="D2511" t="inlineStr">
        <is>
          <t>扭曲格盤,16</t>
        </is>
      </c>
      <c r="E2511" t="inlineStr"/>
      <c r="F2511">
        <f>IMAGE("https://cf.shopee.tw/file/0dc3c593dd801044bc4a3673b323d83a_tn")</f>
        <v/>
      </c>
    </row>
    <row r="2512">
      <c r="A2512" t="inlineStr">
        <is>
          <t>21425145871</t>
        </is>
      </c>
      <c r="B2512" t="inlineStr">
        <is>
          <t>隔日到貨🔥 iPhone 手機殼 16 15 14 pro 13 12 11 XS XR SE X 保護殼 軟殼 蘋果</t>
        </is>
      </c>
      <c r="C2512">
        <f>IMAGE("https://cf.shopee.tw/file/5320964131b472e9ce097b50df8131a8_tn")</f>
        <v/>
      </c>
      <c r="D2512" t="inlineStr">
        <is>
          <t>扭曲格盤,16 pro</t>
        </is>
      </c>
      <c r="E2512" t="inlineStr">
        <is>
          <t>176688220730</t>
        </is>
      </c>
      <c r="F2512">
        <f>IMAGE("https://cf.shopee.tw/file/0dc3c593dd801044bc4a3673b323d83a_tn")</f>
        <v/>
      </c>
    </row>
    <row r="2513">
      <c r="A2513" t="inlineStr">
        <is>
          <t>21425145871</t>
        </is>
      </c>
      <c r="B2513" t="inlineStr">
        <is>
          <t>隔日到貨🔥 iPhone 手機殼 16 15 14 pro 13 12 11 XS XR SE X 保護殼 軟殼 蘋果</t>
        </is>
      </c>
      <c r="C2513">
        <f>IMAGE("https://cf.shopee.tw/file/5320964131b472e9ce097b50df8131a8_tn")</f>
        <v/>
      </c>
      <c r="D2513" t="inlineStr">
        <is>
          <t>扭曲格盤,16 pro Max</t>
        </is>
      </c>
      <c r="E2513" t="inlineStr"/>
      <c r="F2513">
        <f>IMAGE("https://cf.shopee.tw/file/0dc3c593dd801044bc4a3673b323d83a_tn")</f>
        <v/>
      </c>
    </row>
    <row r="2514">
      <c r="A2514" t="inlineStr">
        <is>
          <t>21425145871</t>
        </is>
      </c>
      <c r="B2514" t="inlineStr">
        <is>
          <t>隔日到貨🔥 iPhone 手機殼 16 15 14 pro 13 12 11 XS XR SE X 保護殼 軟殼 蘋果</t>
        </is>
      </c>
      <c r="C2514">
        <f>IMAGE("https://cf.shopee.tw/file/5320964131b472e9ce097b50df8131a8_tn")</f>
        <v/>
      </c>
      <c r="D2514" t="inlineStr">
        <is>
          <t>扭曲格盤,16 Plus</t>
        </is>
      </c>
      <c r="E2514" t="inlineStr">
        <is>
          <t>176688220732</t>
        </is>
      </c>
      <c r="F2514">
        <f>IMAGE("https://cf.shopee.tw/file/0dc3c593dd801044bc4a3673b323d83a_tn")</f>
        <v/>
      </c>
    </row>
    <row r="2515">
      <c r="A2515" t="inlineStr">
        <is>
          <t>21425145871</t>
        </is>
      </c>
      <c r="B2515" t="inlineStr">
        <is>
          <t>隔日到貨🔥 iPhone 手機殼 16 15 14 pro 13 12 11 XS XR SE X 保護殼 軟殼 蘋果</t>
        </is>
      </c>
      <c r="C2515">
        <f>IMAGE("https://cf.shopee.tw/file/5320964131b472e9ce097b50df8131a8_tn")</f>
        <v/>
      </c>
      <c r="D2515" t="inlineStr">
        <is>
          <t>扭曲格盤,17pro</t>
        </is>
      </c>
      <c r="E2515" t="inlineStr">
        <is>
          <t>360093182653</t>
        </is>
      </c>
      <c r="F2515">
        <f>IMAGE("https://cf.shopee.tw/file/0dc3c593dd801044bc4a3673b323d83a_tn")</f>
        <v/>
      </c>
    </row>
    <row r="2516">
      <c r="A2516" t="inlineStr">
        <is>
          <t>21425145871</t>
        </is>
      </c>
      <c r="B2516" t="inlineStr">
        <is>
          <t>隔日到貨🔥 iPhone 手機殼 16 15 14 pro 13 12 11 XS XR SE X 保護殼 軟殼 蘋果</t>
        </is>
      </c>
      <c r="C2516">
        <f>IMAGE("https://cf.shopee.tw/file/5320964131b472e9ce097b50df8131a8_tn")</f>
        <v/>
      </c>
      <c r="D2516" t="inlineStr">
        <is>
          <t>扭曲格盤,17 pro Max</t>
        </is>
      </c>
      <c r="E2516" t="inlineStr">
        <is>
          <t>360093182654</t>
        </is>
      </c>
      <c r="F2516">
        <f>IMAGE("https://cf.shopee.tw/file/0dc3c593dd801044bc4a3673b323d83a_tn")</f>
        <v/>
      </c>
    </row>
    <row r="2517">
      <c r="A2517" t="inlineStr">
        <is>
          <t>21425145871</t>
        </is>
      </c>
      <c r="B2517" t="inlineStr">
        <is>
          <t>隔日到貨🔥 iPhone 手機殼 16 15 14 pro 13 12 11 XS XR SE X 保護殼 軟殼 蘋果</t>
        </is>
      </c>
      <c r="C2517">
        <f>IMAGE("https://cf.shopee.tw/file/5320964131b472e9ce097b50df8131a8_tn")</f>
        <v/>
      </c>
      <c r="D2517" t="inlineStr">
        <is>
          <t>扭曲格盤,17 Air</t>
        </is>
      </c>
      <c r="E2517" t="inlineStr"/>
      <c r="F2517">
        <f>IMAGE("https://cf.shopee.tw/file/0dc3c593dd801044bc4a3673b323d83a_tn")</f>
        <v/>
      </c>
    </row>
    <row r="2518">
      <c r="A2518" t="inlineStr">
        <is>
          <t>23969242249</t>
        </is>
      </c>
      <c r="B2518" t="inlineStr">
        <is>
          <t>隔日到貨🔥 iPhone 手機殼 17 16 15 14 pro 13 12 11 XS XR SE 保護殼 軟殼 蘋果</t>
        </is>
      </c>
      <c r="C2518">
        <f>IMAGE("https://cf.shopee.tw/file/tw-11134207-7qul2-lha3bllqigixd9_tn")</f>
        <v/>
      </c>
      <c r="D2518" t="inlineStr">
        <is>
          <t>畫家奶茶熊,13 mini</t>
        </is>
      </c>
      <c r="E2518" t="inlineStr"/>
      <c r="F2518">
        <f>IMAGE("https://cf.shopee.tw/file/tw-11134207-7qukz-lha3bllq786k37_tn")</f>
        <v/>
      </c>
    </row>
    <row r="2519">
      <c r="A2519" t="inlineStr">
        <is>
          <t>23969242249</t>
        </is>
      </c>
      <c r="B2519" t="inlineStr">
        <is>
          <t>隔日到貨🔥 iPhone 手機殼 17 16 15 14 pro 13 12 11 XS XR SE 保護殼 軟殼 蘋果</t>
        </is>
      </c>
      <c r="C2519">
        <f>IMAGE("https://cf.shopee.tw/file/tw-11134207-7qul2-lha3bllqigixd9_tn")</f>
        <v/>
      </c>
      <c r="D2519" t="inlineStr">
        <is>
          <t>畫家奶茶熊,7 / 8 / SE2 / SE3</t>
        </is>
      </c>
      <c r="E2519" t="inlineStr">
        <is>
          <t>177676470521</t>
        </is>
      </c>
      <c r="F2519">
        <f>IMAGE("https://cf.shopee.tw/file/tw-11134207-7qukz-lha3bllq786k37_tn")</f>
        <v/>
      </c>
    </row>
    <row r="2520">
      <c r="A2520" t="inlineStr">
        <is>
          <t>23969242249</t>
        </is>
      </c>
      <c r="B2520" t="inlineStr">
        <is>
          <t>隔日到貨🔥 iPhone 手機殼 17 16 15 14 pro 13 12 11 XS XR SE 保護殼 軟殼 蘋果</t>
        </is>
      </c>
      <c r="C2520">
        <f>IMAGE("https://cf.shopee.tw/file/tw-11134207-7qul2-lha3bllqigixd9_tn")</f>
        <v/>
      </c>
      <c r="D2520" t="inlineStr">
        <is>
          <t>畫家奶茶熊,7Plus / 8Plus</t>
        </is>
      </c>
      <c r="E2520" t="inlineStr">
        <is>
          <t>216774630902</t>
        </is>
      </c>
      <c r="F2520">
        <f>IMAGE("https://cf.shopee.tw/file/tw-11134207-7qukz-lha3bllq786k37_tn")</f>
        <v/>
      </c>
    </row>
    <row r="2521">
      <c r="A2521" t="inlineStr">
        <is>
          <t>23969242249</t>
        </is>
      </c>
      <c r="B2521" t="inlineStr">
        <is>
          <t>隔日到貨🔥 iPhone 手機殼 17 16 15 14 pro 13 12 11 XS XR SE 保護殼 軟殼 蘋果</t>
        </is>
      </c>
      <c r="C2521">
        <f>IMAGE("https://cf.shopee.tw/file/tw-11134207-7qul2-lha3bllqigixd9_tn")</f>
        <v/>
      </c>
      <c r="D2521" t="inlineStr">
        <is>
          <t>畫家奶茶熊,X / XS</t>
        </is>
      </c>
      <c r="E2521" t="inlineStr">
        <is>
          <t>216774630914</t>
        </is>
      </c>
      <c r="F2521">
        <f>IMAGE("https://cf.shopee.tw/file/tw-11134207-7qukz-lha3bllq786k37_tn")</f>
        <v/>
      </c>
    </row>
    <row r="2522">
      <c r="A2522" t="inlineStr">
        <is>
          <t>23969242249</t>
        </is>
      </c>
      <c r="B2522" t="inlineStr">
        <is>
          <t>隔日到貨🔥 iPhone 手機殼 17 16 15 14 pro 13 12 11 XS XR SE 保護殼 軟殼 蘋果</t>
        </is>
      </c>
      <c r="C2522">
        <f>IMAGE("https://cf.shopee.tw/file/tw-11134207-7qul2-lha3bllqigixd9_tn")</f>
        <v/>
      </c>
      <c r="D2522" t="inlineStr">
        <is>
          <t>畫家奶茶熊,XR</t>
        </is>
      </c>
      <c r="E2522" t="inlineStr">
        <is>
          <t>216774630903</t>
        </is>
      </c>
      <c r="F2522">
        <f>IMAGE("https://cf.shopee.tw/file/tw-11134207-7qukz-lha3bllq786k37_tn")</f>
        <v/>
      </c>
    </row>
    <row r="2523">
      <c r="A2523" t="inlineStr">
        <is>
          <t>23969242249</t>
        </is>
      </c>
      <c r="B2523" t="inlineStr">
        <is>
          <t>隔日到貨🔥 iPhone 手機殼 17 16 15 14 pro 13 12 11 XS XR SE 保護殼 軟殼 蘋果</t>
        </is>
      </c>
      <c r="C2523">
        <f>IMAGE("https://cf.shopee.tw/file/tw-11134207-7qul2-lha3bllqigixd9_tn")</f>
        <v/>
      </c>
      <c r="D2523" t="inlineStr">
        <is>
          <t>畫家奶茶熊,XS Max</t>
        </is>
      </c>
      <c r="E2523" t="inlineStr"/>
      <c r="F2523">
        <f>IMAGE("https://cf.shopee.tw/file/tw-11134207-7qukz-lha3bllq786k37_tn")</f>
        <v/>
      </c>
    </row>
    <row r="2524">
      <c r="A2524" t="inlineStr">
        <is>
          <t>23969242249</t>
        </is>
      </c>
      <c r="B2524" t="inlineStr">
        <is>
          <t>隔日到貨🔥 iPhone 手機殼 17 16 15 14 pro 13 12 11 XS XR SE 保護殼 軟殼 蘋果</t>
        </is>
      </c>
      <c r="C2524">
        <f>IMAGE("https://cf.shopee.tw/file/tw-11134207-7qul2-lha3bllqigixd9_tn")</f>
        <v/>
      </c>
      <c r="D2524" t="inlineStr">
        <is>
          <t>畫家奶茶熊,11</t>
        </is>
      </c>
      <c r="E2524" t="inlineStr">
        <is>
          <t>216774630910</t>
        </is>
      </c>
      <c r="F2524">
        <f>IMAGE("https://cf.shopee.tw/file/tw-11134207-7qukz-lha3bllq786k37_tn")</f>
        <v/>
      </c>
    </row>
    <row r="2525">
      <c r="A2525" t="inlineStr">
        <is>
          <t>23969242249</t>
        </is>
      </c>
      <c r="B2525" t="inlineStr">
        <is>
          <t>隔日到貨🔥 iPhone 手機殼 17 16 15 14 pro 13 12 11 XS XR SE 保護殼 軟殼 蘋果</t>
        </is>
      </c>
      <c r="C2525">
        <f>IMAGE("https://cf.shopee.tw/file/tw-11134207-7qul2-lha3bllqigixd9_tn")</f>
        <v/>
      </c>
      <c r="D2525" t="inlineStr">
        <is>
          <t>畫家奶茶熊,11 pro</t>
        </is>
      </c>
      <c r="E2525" t="inlineStr"/>
      <c r="F2525">
        <f>IMAGE("https://cf.shopee.tw/file/tw-11134207-7qukz-lha3bllq786k37_tn")</f>
        <v/>
      </c>
    </row>
    <row r="2526">
      <c r="A2526" t="inlineStr">
        <is>
          <t>23969242249</t>
        </is>
      </c>
      <c r="B2526" t="inlineStr">
        <is>
          <t>隔日到貨🔥 iPhone 手機殼 17 16 15 14 pro 13 12 11 XS XR SE 保護殼 軟殼 蘋果</t>
        </is>
      </c>
      <c r="C2526">
        <f>IMAGE("https://cf.shopee.tw/file/tw-11134207-7qul2-lha3bllqigixd9_tn")</f>
        <v/>
      </c>
      <c r="D2526" t="inlineStr">
        <is>
          <t>畫家奶茶熊,11 pro max</t>
        </is>
      </c>
      <c r="E2526" t="inlineStr">
        <is>
          <t>216774630912</t>
        </is>
      </c>
      <c r="F2526">
        <f>IMAGE("https://cf.shopee.tw/file/tw-11134207-7qukz-lha3bllq786k37_tn")</f>
        <v/>
      </c>
    </row>
    <row r="2527">
      <c r="A2527" t="inlineStr">
        <is>
          <t>23969242249</t>
        </is>
      </c>
      <c r="B2527" t="inlineStr">
        <is>
          <t>隔日到貨🔥 iPhone 手機殼 17 16 15 14 pro 13 12 11 XS XR SE 保護殼 軟殼 蘋果</t>
        </is>
      </c>
      <c r="C2527">
        <f>IMAGE("https://cf.shopee.tw/file/tw-11134207-7qul2-lha3bllqigixd9_tn")</f>
        <v/>
      </c>
      <c r="D2527" t="inlineStr">
        <is>
          <t>畫家奶茶熊,12 /12 pro</t>
        </is>
      </c>
      <c r="E2527" t="inlineStr"/>
      <c r="F2527">
        <f>IMAGE("https://cf.shopee.tw/file/tw-11134207-7qukz-lha3bllq786k37_tn")</f>
        <v/>
      </c>
    </row>
    <row r="2528">
      <c r="A2528" t="inlineStr">
        <is>
          <t>23969242249</t>
        </is>
      </c>
      <c r="B2528" t="inlineStr">
        <is>
          <t>隔日到貨🔥 iPhone 手機殼 17 16 15 14 pro 13 12 11 XS XR SE 保護殼 軟殼 蘋果</t>
        </is>
      </c>
      <c r="C2528">
        <f>IMAGE("https://cf.shopee.tw/file/tw-11134207-7qul2-lha3bllqigixd9_tn")</f>
        <v/>
      </c>
      <c r="D2528" t="inlineStr">
        <is>
          <t>畫家奶茶熊,12 pro Max</t>
        </is>
      </c>
      <c r="E2528" t="inlineStr">
        <is>
          <t>216774630915</t>
        </is>
      </c>
      <c r="F2528">
        <f>IMAGE("https://cf.shopee.tw/file/tw-11134207-7qukz-lha3bllq786k37_tn")</f>
        <v/>
      </c>
    </row>
    <row r="2529">
      <c r="A2529" t="inlineStr">
        <is>
          <t>23969242249</t>
        </is>
      </c>
      <c r="B2529" t="inlineStr">
        <is>
          <t>隔日到貨🔥 iPhone 手機殼 17 16 15 14 pro 13 12 11 XS XR SE 保護殼 軟殼 蘋果</t>
        </is>
      </c>
      <c r="C2529">
        <f>IMAGE("https://cf.shopee.tw/file/tw-11134207-7qul2-lha3bllqigixd9_tn")</f>
        <v/>
      </c>
      <c r="D2529" t="inlineStr">
        <is>
          <t>畫家奶茶熊,13</t>
        </is>
      </c>
      <c r="E2529" t="inlineStr">
        <is>
          <t>216774630913</t>
        </is>
      </c>
      <c r="F2529">
        <f>IMAGE("https://cf.shopee.tw/file/tw-11134207-7qukz-lha3bllq786k37_tn")</f>
        <v/>
      </c>
    </row>
    <row r="2530">
      <c r="A2530" t="inlineStr">
        <is>
          <t>23969242249</t>
        </is>
      </c>
      <c r="B2530" t="inlineStr">
        <is>
          <t>隔日到貨🔥 iPhone 手機殼 17 16 15 14 pro 13 12 11 XS XR SE 保護殼 軟殼 蘋果</t>
        </is>
      </c>
      <c r="C2530">
        <f>IMAGE("https://cf.shopee.tw/file/tw-11134207-7qul2-lha3bllqigixd9_tn")</f>
        <v/>
      </c>
      <c r="D2530" t="inlineStr">
        <is>
          <t>畫家奶茶熊,13 pro</t>
        </is>
      </c>
      <c r="E2530" t="inlineStr">
        <is>
          <t>216774630905</t>
        </is>
      </c>
      <c r="F2530">
        <f>IMAGE("https://cf.shopee.tw/file/tw-11134207-7qukz-lha3bllq786k37_tn")</f>
        <v/>
      </c>
    </row>
    <row r="2531">
      <c r="A2531" t="inlineStr">
        <is>
          <t>23969242249</t>
        </is>
      </c>
      <c r="B2531" t="inlineStr">
        <is>
          <t>隔日到貨🔥 iPhone 手機殼 17 16 15 14 pro 13 12 11 XS XR SE 保護殼 軟殼 蘋果</t>
        </is>
      </c>
      <c r="C2531">
        <f>IMAGE("https://cf.shopee.tw/file/tw-11134207-7qul2-lha3bllqigixd9_tn")</f>
        <v/>
      </c>
      <c r="D2531" t="inlineStr">
        <is>
          <t>畫家奶茶熊,13 pro Max</t>
        </is>
      </c>
      <c r="E2531" t="inlineStr">
        <is>
          <t>216774630908</t>
        </is>
      </c>
      <c r="F2531">
        <f>IMAGE("https://cf.shopee.tw/file/tw-11134207-7qukz-lha3bllq786k37_tn")</f>
        <v/>
      </c>
    </row>
    <row r="2532">
      <c r="A2532" t="inlineStr">
        <is>
          <t>23969242249</t>
        </is>
      </c>
      <c r="B2532" t="inlineStr">
        <is>
          <t>隔日到貨🔥 iPhone 手機殼 17 16 15 14 pro 13 12 11 XS XR SE 保護殼 軟殼 蘋果</t>
        </is>
      </c>
      <c r="C2532">
        <f>IMAGE("https://cf.shopee.tw/file/tw-11134207-7qul2-lha3bllqigixd9_tn")</f>
        <v/>
      </c>
      <c r="D2532" t="inlineStr">
        <is>
          <t>畫家奶茶熊,14</t>
        </is>
      </c>
      <c r="E2532" t="inlineStr">
        <is>
          <t>216774630906</t>
        </is>
      </c>
      <c r="F2532">
        <f>IMAGE("https://cf.shopee.tw/file/tw-11134207-7qukz-lha3bllq786k37_tn")</f>
        <v/>
      </c>
    </row>
    <row r="2533">
      <c r="A2533" t="inlineStr">
        <is>
          <t>23969242249</t>
        </is>
      </c>
      <c r="B2533" t="inlineStr">
        <is>
          <t>隔日到貨🔥 iPhone 手機殼 17 16 15 14 pro 13 12 11 XS XR SE 保護殼 軟殼 蘋果</t>
        </is>
      </c>
      <c r="C2533">
        <f>IMAGE("https://cf.shopee.tw/file/tw-11134207-7qul2-lha3bllqigixd9_tn")</f>
        <v/>
      </c>
      <c r="D2533" t="inlineStr">
        <is>
          <t>畫家奶茶熊,14 pro</t>
        </is>
      </c>
      <c r="E2533" t="inlineStr">
        <is>
          <t>216774630917</t>
        </is>
      </c>
      <c r="F2533">
        <f>IMAGE("https://cf.shopee.tw/file/tw-11134207-7qukz-lha3bllq786k37_tn")</f>
        <v/>
      </c>
    </row>
    <row r="2534">
      <c r="A2534" t="inlineStr">
        <is>
          <t>23969242249</t>
        </is>
      </c>
      <c r="B2534" t="inlineStr">
        <is>
          <t>隔日到貨🔥 iPhone 手機殼 17 16 15 14 pro 13 12 11 XS XR SE 保護殼 軟殼 蘋果</t>
        </is>
      </c>
      <c r="C2534">
        <f>IMAGE("https://cf.shopee.tw/file/tw-11134207-7qul2-lha3bllqigixd9_tn")</f>
        <v/>
      </c>
      <c r="D2534" t="inlineStr">
        <is>
          <t>畫家奶茶熊,14 Plus</t>
        </is>
      </c>
      <c r="E2534" t="inlineStr"/>
      <c r="F2534">
        <f>IMAGE("https://cf.shopee.tw/file/tw-11134207-7qukz-lha3bllq786k37_tn")</f>
        <v/>
      </c>
    </row>
    <row r="2535">
      <c r="A2535" t="inlineStr">
        <is>
          <t>23969242249</t>
        </is>
      </c>
      <c r="B2535" t="inlineStr">
        <is>
          <t>隔日到貨🔥 iPhone 手機殼 17 16 15 14 pro 13 12 11 XS XR SE 保護殼 軟殼 蘋果</t>
        </is>
      </c>
      <c r="C2535">
        <f>IMAGE("https://cf.shopee.tw/file/tw-11134207-7qul2-lha3bllqigixd9_tn")</f>
        <v/>
      </c>
      <c r="D2535" t="inlineStr">
        <is>
          <t>畫家奶茶熊,14 pro max</t>
        </is>
      </c>
      <c r="E2535" t="inlineStr">
        <is>
          <t>216774630909</t>
        </is>
      </c>
      <c r="F2535">
        <f>IMAGE("https://cf.shopee.tw/file/tw-11134207-7qukz-lha3bllq786k37_tn")</f>
        <v/>
      </c>
    </row>
    <row r="2536">
      <c r="A2536" t="inlineStr">
        <is>
          <t>23969242249</t>
        </is>
      </c>
      <c r="B2536" t="inlineStr">
        <is>
          <t>隔日到貨🔥 iPhone 手機殼 17 16 15 14 pro 13 12 11 XS XR SE 保護殼 軟殼 蘋果</t>
        </is>
      </c>
      <c r="C2536">
        <f>IMAGE("https://cf.shopee.tw/file/tw-11134207-7qul2-lha3bllqigixd9_tn")</f>
        <v/>
      </c>
      <c r="D2536" t="inlineStr">
        <is>
          <t>畫家奶茶熊,15</t>
        </is>
      </c>
      <c r="E2536" t="inlineStr">
        <is>
          <t>119015116410</t>
        </is>
      </c>
      <c r="F2536">
        <f>IMAGE("https://cf.shopee.tw/file/tw-11134207-7qukz-lha3bllq786k37_tn")</f>
        <v/>
      </c>
    </row>
    <row r="2537">
      <c r="A2537" t="inlineStr">
        <is>
          <t>23969242249</t>
        </is>
      </c>
      <c r="B2537" t="inlineStr">
        <is>
          <t>隔日到貨🔥 iPhone 手機殼 17 16 15 14 pro 13 12 11 XS XR SE 保護殼 軟殼 蘋果</t>
        </is>
      </c>
      <c r="C2537">
        <f>IMAGE("https://cf.shopee.tw/file/tw-11134207-7qul2-lha3bllqigixd9_tn")</f>
        <v/>
      </c>
      <c r="D2537" t="inlineStr">
        <is>
          <t>畫家奶茶熊,15 pro</t>
        </is>
      </c>
      <c r="E2537" t="inlineStr">
        <is>
          <t>119015116408</t>
        </is>
      </c>
      <c r="F2537">
        <f>IMAGE("https://cf.shopee.tw/file/tw-11134207-7qukz-lha3bllq786k37_tn")</f>
        <v/>
      </c>
    </row>
    <row r="2538">
      <c r="A2538" t="inlineStr">
        <is>
          <t>23969242249</t>
        </is>
      </c>
      <c r="B2538" t="inlineStr">
        <is>
          <t>隔日到貨🔥 iPhone 手機殼 17 16 15 14 pro 13 12 11 XS XR SE 保護殼 軟殼 蘋果</t>
        </is>
      </c>
      <c r="C2538">
        <f>IMAGE("https://cf.shopee.tw/file/tw-11134207-7qul2-lha3bllqigixd9_tn")</f>
        <v/>
      </c>
      <c r="D2538" t="inlineStr">
        <is>
          <t>畫家奶茶熊,15 Plus</t>
        </is>
      </c>
      <c r="E2538" t="inlineStr">
        <is>
          <t>119015116409</t>
        </is>
      </c>
      <c r="F2538">
        <f>IMAGE("https://cf.shopee.tw/file/tw-11134207-7qukz-lha3bllq786k37_tn")</f>
        <v/>
      </c>
    </row>
    <row r="2539">
      <c r="A2539" t="inlineStr">
        <is>
          <t>23969242249</t>
        </is>
      </c>
      <c r="B2539" t="inlineStr">
        <is>
          <t>隔日到貨🔥 iPhone 手機殼 17 16 15 14 pro 13 12 11 XS XR SE 保護殼 軟殼 蘋果</t>
        </is>
      </c>
      <c r="C2539">
        <f>IMAGE("https://cf.shopee.tw/file/tw-11134207-7qul2-lha3bllqigixd9_tn")</f>
        <v/>
      </c>
      <c r="D2539" t="inlineStr">
        <is>
          <t>畫家奶茶熊,15 pro Max</t>
        </is>
      </c>
      <c r="E2539" t="inlineStr">
        <is>
          <t>119015116411</t>
        </is>
      </c>
      <c r="F2539">
        <f>IMAGE("https://cf.shopee.tw/file/tw-11134207-7qukz-lha3bllq786k37_tn")</f>
        <v/>
      </c>
    </row>
    <row r="2540">
      <c r="A2540" t="inlineStr">
        <is>
          <t>23969242249</t>
        </is>
      </c>
      <c r="B2540" t="inlineStr">
        <is>
          <t>隔日到貨🔥 iPhone 手機殼 17 16 15 14 pro 13 12 11 XS XR SE 保護殼 軟殼 蘋果</t>
        </is>
      </c>
      <c r="C2540">
        <f>IMAGE("https://cf.shopee.tw/file/tw-11134207-7qul2-lha3bllqigixd9_tn")</f>
        <v/>
      </c>
      <c r="D2540" t="inlineStr">
        <is>
          <t>畫家奶茶熊,16</t>
        </is>
      </c>
      <c r="E2540" t="inlineStr"/>
      <c r="F2540">
        <f>IMAGE("https://cf.shopee.tw/file/tw-11134207-7qukz-lha3bllq786k37_tn")</f>
        <v/>
      </c>
    </row>
    <row r="2541">
      <c r="A2541" t="inlineStr">
        <is>
          <t>23969242249</t>
        </is>
      </c>
      <c r="B2541" t="inlineStr">
        <is>
          <t>隔日到貨🔥 iPhone 手機殼 17 16 15 14 pro 13 12 11 XS XR SE 保護殼 軟殼 蘋果</t>
        </is>
      </c>
      <c r="C2541">
        <f>IMAGE("https://cf.shopee.tw/file/tw-11134207-7qul2-lha3bllqigixd9_tn")</f>
        <v/>
      </c>
      <c r="D2541" t="inlineStr">
        <is>
          <t>畫家奶茶熊,16 pro</t>
        </is>
      </c>
      <c r="E2541" t="inlineStr">
        <is>
          <t>207959571636</t>
        </is>
      </c>
      <c r="F2541">
        <f>IMAGE("https://cf.shopee.tw/file/tw-11134207-7qukz-lha3bllq786k37_tn")</f>
        <v/>
      </c>
    </row>
    <row r="2542">
      <c r="A2542" t="inlineStr">
        <is>
          <t>23969242249</t>
        </is>
      </c>
      <c r="B2542" t="inlineStr">
        <is>
          <t>隔日到貨🔥 iPhone 手機殼 17 16 15 14 pro 13 12 11 XS XR SE 保護殼 軟殼 蘋果</t>
        </is>
      </c>
      <c r="C2542">
        <f>IMAGE("https://cf.shopee.tw/file/tw-11134207-7qul2-lha3bllqigixd9_tn")</f>
        <v/>
      </c>
      <c r="D2542" t="inlineStr">
        <is>
          <t>畫家奶茶熊,16 plus</t>
        </is>
      </c>
      <c r="E2542" t="inlineStr"/>
      <c r="F2542">
        <f>IMAGE("https://cf.shopee.tw/file/tw-11134207-7qukz-lha3bllq786k37_tn")</f>
        <v/>
      </c>
    </row>
    <row r="2543">
      <c r="A2543" t="inlineStr">
        <is>
          <t>23969242249</t>
        </is>
      </c>
      <c r="B2543" t="inlineStr">
        <is>
          <t>隔日到貨🔥 iPhone 手機殼 17 16 15 14 pro 13 12 11 XS XR SE 保護殼 軟殼 蘋果</t>
        </is>
      </c>
      <c r="C2543">
        <f>IMAGE("https://cf.shopee.tw/file/tw-11134207-7qul2-lha3bllqigixd9_tn")</f>
        <v/>
      </c>
      <c r="D2543" t="inlineStr">
        <is>
          <t>畫家奶茶熊,16 pro max</t>
        </is>
      </c>
      <c r="E2543" t="inlineStr">
        <is>
          <t>207959571638</t>
        </is>
      </c>
      <c r="F2543">
        <f>IMAGE("https://cf.shopee.tw/file/tw-11134207-7qukz-lha3bllq786k37_tn")</f>
        <v/>
      </c>
    </row>
    <row r="2544">
      <c r="A2544" t="inlineStr">
        <is>
          <t>23969242249</t>
        </is>
      </c>
      <c r="B2544" t="inlineStr">
        <is>
          <t>隔日到貨🔥 iPhone 手機殼 17 16 15 14 pro 13 12 11 XS XR SE 保護殼 軟殼 蘋果</t>
        </is>
      </c>
      <c r="C2544">
        <f>IMAGE("https://cf.shopee.tw/file/tw-11134207-7qul2-lha3bllqigixd9_tn")</f>
        <v/>
      </c>
      <c r="D2544" t="inlineStr">
        <is>
          <t>畫家奶茶熊,17</t>
        </is>
      </c>
      <c r="E2544" t="inlineStr">
        <is>
          <t>297136542301</t>
        </is>
      </c>
      <c r="F2544">
        <f>IMAGE("https://cf.shopee.tw/file/tw-11134207-7qukz-lha3bllq786k37_tn")</f>
        <v/>
      </c>
    </row>
    <row r="2545">
      <c r="A2545" t="inlineStr">
        <is>
          <t>23969242249</t>
        </is>
      </c>
      <c r="B2545" t="inlineStr">
        <is>
          <t>隔日到貨🔥 iPhone 手機殼 17 16 15 14 pro 13 12 11 XS XR SE 保護殼 軟殼 蘋果</t>
        </is>
      </c>
      <c r="C2545">
        <f>IMAGE("https://cf.shopee.tw/file/tw-11134207-7qul2-lha3bllqigixd9_tn")</f>
        <v/>
      </c>
      <c r="D2545" t="inlineStr">
        <is>
          <t>畫家奶茶熊,17 pro</t>
        </is>
      </c>
      <c r="E2545" t="inlineStr">
        <is>
          <t>297136542302</t>
        </is>
      </c>
      <c r="F2545">
        <f>IMAGE("https://cf.shopee.tw/file/tw-11134207-7qukz-lha3bllq786k37_tn")</f>
        <v/>
      </c>
    </row>
    <row r="2546">
      <c r="A2546" t="inlineStr">
        <is>
          <t>23969242249</t>
        </is>
      </c>
      <c r="B2546" t="inlineStr">
        <is>
          <t>隔日到貨🔥 iPhone 手機殼 17 16 15 14 pro 13 12 11 XS XR SE 保護殼 軟殼 蘋果</t>
        </is>
      </c>
      <c r="C2546">
        <f>IMAGE("https://cf.shopee.tw/file/tw-11134207-7qul2-lha3bllqigixd9_tn")</f>
        <v/>
      </c>
      <c r="D2546" t="inlineStr">
        <is>
          <t>畫家奶茶熊,17 pro Max</t>
        </is>
      </c>
      <c r="E2546" t="inlineStr">
        <is>
          <t>297136542303</t>
        </is>
      </c>
      <c r="F2546">
        <f>IMAGE("https://cf.shopee.tw/file/tw-11134207-7qukz-lha3bllq786k37_tn")</f>
        <v/>
      </c>
    </row>
    <row r="2547">
      <c r="A2547" t="inlineStr">
        <is>
          <t>23969242249</t>
        </is>
      </c>
      <c r="B2547" t="inlineStr">
        <is>
          <t>隔日到貨🔥 iPhone 手機殼 17 16 15 14 pro 13 12 11 XS XR SE 保護殼 軟殼 蘋果</t>
        </is>
      </c>
      <c r="C2547">
        <f>IMAGE("https://cf.shopee.tw/file/tw-11134207-7qul2-lha3bllqigixd9_tn")</f>
        <v/>
      </c>
      <c r="D2547" t="inlineStr">
        <is>
          <t>畫家奶茶熊,17 Air</t>
        </is>
      </c>
      <c r="E2547" t="inlineStr"/>
      <c r="F2547">
        <f>IMAGE("https://cf.shopee.tw/file/tw-11134207-7qukz-lha3bllq786k37_tn")</f>
        <v/>
      </c>
    </row>
    <row r="2548">
      <c r="A2548" t="inlineStr">
        <is>
          <t>24359237215</t>
        </is>
      </c>
      <c r="B2548" t="inlineStr">
        <is>
          <t>隔日到貨🔥 iPhone 手機殼 17 16 15 14 pro 13 12 11 XS XR SE 保護殼 軟殼 蘋果</t>
        </is>
      </c>
      <c r="C2548">
        <f>IMAGE("https://cf.shopee.tw/file/tw-11134207-7r98s-lqnla45t5cygc0_tn")</f>
        <v/>
      </c>
      <c r="D2548" t="inlineStr">
        <is>
          <t>米白禮帽小狗,7/8/SE2/SE3</t>
        </is>
      </c>
      <c r="E2548" t="inlineStr">
        <is>
          <t>232464365923</t>
        </is>
      </c>
      <c r="F2548">
        <f>IMAGE("https://cf.shopee.tw/file/tw-11134207-7r98y-lqnlkeahib4o4f_tn")</f>
        <v/>
      </c>
    </row>
    <row r="2549">
      <c r="A2549" t="inlineStr">
        <is>
          <t>24359237215</t>
        </is>
      </c>
      <c r="B2549" t="inlineStr">
        <is>
          <t>隔日到貨🔥 iPhone 手機殼 17 16 15 14 pro 13 12 11 XS XR SE 保護殼 軟殼 蘋果</t>
        </is>
      </c>
      <c r="C2549">
        <f>IMAGE("https://cf.shopee.tw/file/tw-11134207-7r98s-lqnla45t5cygc0_tn")</f>
        <v/>
      </c>
      <c r="D2549" t="inlineStr">
        <is>
          <t>米白禮帽小狗,7Plus/8Plus</t>
        </is>
      </c>
      <c r="E2549" t="inlineStr">
        <is>
          <t>232464365924</t>
        </is>
      </c>
      <c r="F2549">
        <f>IMAGE("https://cf.shopee.tw/file/tw-11134207-7r98y-lqnlkeahib4o4f_tn")</f>
        <v/>
      </c>
    </row>
    <row r="2550">
      <c r="A2550" t="inlineStr">
        <is>
          <t>24359237215</t>
        </is>
      </c>
      <c r="B2550" t="inlineStr">
        <is>
          <t>隔日到貨🔥 iPhone 手機殼 17 16 15 14 pro 13 12 11 XS XR SE 保護殼 軟殼 蘋果</t>
        </is>
      </c>
      <c r="C2550">
        <f>IMAGE("https://cf.shopee.tw/file/tw-11134207-7r98s-lqnla45t5cygc0_tn")</f>
        <v/>
      </c>
      <c r="D2550" t="inlineStr">
        <is>
          <t>米白禮帽小狗,X/XS</t>
        </is>
      </c>
      <c r="E2550" t="inlineStr">
        <is>
          <t>232464365925</t>
        </is>
      </c>
      <c r="F2550">
        <f>IMAGE("https://cf.shopee.tw/file/tw-11134207-7r98y-lqnlkeahib4o4f_tn")</f>
        <v/>
      </c>
    </row>
    <row r="2551">
      <c r="A2551" t="inlineStr">
        <is>
          <t>24359237215</t>
        </is>
      </c>
      <c r="B2551" t="inlineStr">
        <is>
          <t>隔日到貨🔥 iPhone 手機殼 17 16 15 14 pro 13 12 11 XS XR SE 保護殼 軟殼 蘋果</t>
        </is>
      </c>
      <c r="C2551">
        <f>IMAGE("https://cf.shopee.tw/file/tw-11134207-7r98s-lqnla45t5cygc0_tn")</f>
        <v/>
      </c>
      <c r="D2551" t="inlineStr">
        <is>
          <t>米白禮帽小狗,XR</t>
        </is>
      </c>
      <c r="E2551" t="inlineStr">
        <is>
          <t>232464365926</t>
        </is>
      </c>
      <c r="F2551">
        <f>IMAGE("https://cf.shopee.tw/file/tw-11134207-7r98y-lqnlkeahib4o4f_tn")</f>
        <v/>
      </c>
    </row>
    <row r="2552">
      <c r="A2552" t="inlineStr">
        <is>
          <t>24359237215</t>
        </is>
      </c>
      <c r="B2552" t="inlineStr">
        <is>
          <t>隔日到貨🔥 iPhone 手機殼 17 16 15 14 pro 13 12 11 XS XR SE 保護殼 軟殼 蘋果</t>
        </is>
      </c>
      <c r="C2552">
        <f>IMAGE("https://cf.shopee.tw/file/tw-11134207-7r98s-lqnla45t5cygc0_tn")</f>
        <v/>
      </c>
      <c r="D2552" t="inlineStr">
        <is>
          <t>米白禮帽小狗,XS Max</t>
        </is>
      </c>
      <c r="E2552" t="inlineStr">
        <is>
          <t>232464365927</t>
        </is>
      </c>
      <c r="F2552">
        <f>IMAGE("https://cf.shopee.tw/file/tw-11134207-7r98y-lqnlkeahib4o4f_tn")</f>
        <v/>
      </c>
    </row>
    <row r="2553">
      <c r="A2553" t="inlineStr">
        <is>
          <t>24359237215</t>
        </is>
      </c>
      <c r="B2553" t="inlineStr">
        <is>
          <t>隔日到貨🔥 iPhone 手機殼 17 16 15 14 pro 13 12 11 XS XR SE 保護殼 軟殼 蘋果</t>
        </is>
      </c>
      <c r="C2553">
        <f>IMAGE("https://cf.shopee.tw/file/tw-11134207-7r98s-lqnla45t5cygc0_tn")</f>
        <v/>
      </c>
      <c r="D2553" t="inlineStr">
        <is>
          <t>米白禮帽小狗,11</t>
        </is>
      </c>
      <c r="E2553" t="inlineStr">
        <is>
          <t>232464365928</t>
        </is>
      </c>
      <c r="F2553">
        <f>IMAGE("https://cf.shopee.tw/file/tw-11134207-7r98y-lqnlkeahib4o4f_tn")</f>
        <v/>
      </c>
    </row>
    <row r="2554">
      <c r="A2554" t="inlineStr">
        <is>
          <t>24359237215</t>
        </is>
      </c>
      <c r="B2554" t="inlineStr">
        <is>
          <t>隔日到貨🔥 iPhone 手機殼 17 16 15 14 pro 13 12 11 XS XR SE 保護殼 軟殼 蘋果</t>
        </is>
      </c>
      <c r="C2554">
        <f>IMAGE("https://cf.shopee.tw/file/tw-11134207-7r98s-lqnla45t5cygc0_tn")</f>
        <v/>
      </c>
      <c r="D2554" t="inlineStr">
        <is>
          <t>米白禮帽小狗,11 pro</t>
        </is>
      </c>
      <c r="E2554" t="inlineStr">
        <is>
          <t>232464365929</t>
        </is>
      </c>
      <c r="F2554">
        <f>IMAGE("https://cf.shopee.tw/file/tw-11134207-7r98y-lqnlkeahib4o4f_tn")</f>
        <v/>
      </c>
    </row>
    <row r="2555">
      <c r="A2555" t="inlineStr">
        <is>
          <t>24359237215</t>
        </is>
      </c>
      <c r="B2555" t="inlineStr">
        <is>
          <t>隔日到貨🔥 iPhone 手機殼 17 16 15 14 pro 13 12 11 XS XR SE 保護殼 軟殼 蘋果</t>
        </is>
      </c>
      <c r="C2555">
        <f>IMAGE("https://cf.shopee.tw/file/tw-11134207-7r98s-lqnla45t5cygc0_tn")</f>
        <v/>
      </c>
      <c r="D2555" t="inlineStr">
        <is>
          <t>米白禮帽小狗,11 pro Max</t>
        </is>
      </c>
      <c r="E2555" t="inlineStr">
        <is>
          <t>232464365930</t>
        </is>
      </c>
      <c r="F2555">
        <f>IMAGE("https://cf.shopee.tw/file/tw-11134207-7r98y-lqnlkeahib4o4f_tn")</f>
        <v/>
      </c>
    </row>
    <row r="2556">
      <c r="A2556" t="inlineStr">
        <is>
          <t>24359237215</t>
        </is>
      </c>
      <c r="B2556" t="inlineStr">
        <is>
          <t>隔日到貨🔥 iPhone 手機殼 17 16 15 14 pro 13 12 11 XS XR SE 保護殼 軟殼 蘋果</t>
        </is>
      </c>
      <c r="C2556">
        <f>IMAGE("https://cf.shopee.tw/file/tw-11134207-7r98s-lqnla45t5cygc0_tn")</f>
        <v/>
      </c>
      <c r="D2556" t="inlineStr">
        <is>
          <t>米白禮帽小狗,12/12pro</t>
        </is>
      </c>
      <c r="E2556" t="inlineStr">
        <is>
          <t>232464365931</t>
        </is>
      </c>
      <c r="F2556">
        <f>IMAGE("https://cf.shopee.tw/file/tw-11134207-7r98y-lqnlkeahib4o4f_tn")</f>
        <v/>
      </c>
    </row>
    <row r="2557">
      <c r="A2557" t="inlineStr">
        <is>
          <t>24359237215</t>
        </is>
      </c>
      <c r="B2557" t="inlineStr">
        <is>
          <t>隔日到貨🔥 iPhone 手機殼 17 16 15 14 pro 13 12 11 XS XR SE 保護殼 軟殼 蘋果</t>
        </is>
      </c>
      <c r="C2557">
        <f>IMAGE("https://cf.shopee.tw/file/tw-11134207-7r98s-lqnla45t5cygc0_tn")</f>
        <v/>
      </c>
      <c r="D2557" t="inlineStr">
        <is>
          <t>米白禮帽小狗,12 pro Max</t>
        </is>
      </c>
      <c r="E2557" t="inlineStr">
        <is>
          <t>232464365932</t>
        </is>
      </c>
      <c r="F2557">
        <f>IMAGE("https://cf.shopee.tw/file/tw-11134207-7r98y-lqnlkeahib4o4f_tn")</f>
        <v/>
      </c>
    </row>
    <row r="2558">
      <c r="A2558" t="inlineStr">
        <is>
          <t>24359237215</t>
        </is>
      </c>
      <c r="B2558" t="inlineStr">
        <is>
          <t>隔日到貨🔥 iPhone 手機殼 17 16 15 14 pro 13 12 11 XS XR SE 保護殼 軟殼 蘋果</t>
        </is>
      </c>
      <c r="C2558">
        <f>IMAGE("https://cf.shopee.tw/file/tw-11134207-7r98s-lqnla45t5cygc0_tn")</f>
        <v/>
      </c>
      <c r="D2558" t="inlineStr">
        <is>
          <t>米白禮帽小狗,12 mini</t>
        </is>
      </c>
      <c r="E2558" t="inlineStr">
        <is>
          <t>232464365933</t>
        </is>
      </c>
      <c r="F2558">
        <f>IMAGE("https://cf.shopee.tw/file/tw-11134207-7r98y-lqnlkeahib4o4f_tn")</f>
        <v/>
      </c>
    </row>
    <row r="2559">
      <c r="A2559" t="inlineStr">
        <is>
          <t>24359237215</t>
        </is>
      </c>
      <c r="B2559" t="inlineStr">
        <is>
          <t>隔日到貨🔥 iPhone 手機殼 17 16 15 14 pro 13 12 11 XS XR SE 保護殼 軟殼 蘋果</t>
        </is>
      </c>
      <c r="C2559">
        <f>IMAGE("https://cf.shopee.tw/file/tw-11134207-7r98s-lqnla45t5cygc0_tn")</f>
        <v/>
      </c>
      <c r="D2559" t="inlineStr">
        <is>
          <t>米白禮帽小狗,13 / 14</t>
        </is>
      </c>
      <c r="E2559" t="inlineStr">
        <is>
          <t>232464365934</t>
        </is>
      </c>
      <c r="F2559">
        <f>IMAGE("https://cf.shopee.tw/file/tw-11134207-7r98y-lqnlkeahib4o4f_tn")</f>
        <v/>
      </c>
    </row>
    <row r="2560">
      <c r="A2560" t="inlineStr">
        <is>
          <t>24359237215</t>
        </is>
      </c>
      <c r="B2560" t="inlineStr">
        <is>
          <t>隔日到貨🔥 iPhone 手機殼 17 16 15 14 pro 13 12 11 XS XR SE 保護殼 軟殼 蘋果</t>
        </is>
      </c>
      <c r="C2560">
        <f>IMAGE("https://cf.shopee.tw/file/tw-11134207-7r98s-lqnla45t5cygc0_tn")</f>
        <v/>
      </c>
      <c r="D2560" t="inlineStr">
        <is>
          <t>米白禮帽小狗,13 pro</t>
        </is>
      </c>
      <c r="E2560" t="inlineStr"/>
      <c r="F2560">
        <f>IMAGE("https://cf.shopee.tw/file/tw-11134207-7r98y-lqnlkeahib4o4f_tn")</f>
        <v/>
      </c>
    </row>
    <row r="2561">
      <c r="A2561" t="inlineStr">
        <is>
          <t>24359237215</t>
        </is>
      </c>
      <c r="B2561" t="inlineStr">
        <is>
          <t>隔日到貨🔥 iPhone 手機殼 17 16 15 14 pro 13 12 11 XS XR SE 保護殼 軟殼 蘋果</t>
        </is>
      </c>
      <c r="C2561">
        <f>IMAGE("https://cf.shopee.tw/file/tw-11134207-7r98s-lqnla45t5cygc0_tn")</f>
        <v/>
      </c>
      <c r="D2561" t="inlineStr">
        <is>
          <t>米白禮帽小狗,13 pro Max</t>
        </is>
      </c>
      <c r="E2561" t="inlineStr">
        <is>
          <t>232464365936</t>
        </is>
      </c>
      <c r="F2561">
        <f>IMAGE("https://cf.shopee.tw/file/tw-11134207-7r98y-lqnlkeahib4o4f_tn")</f>
        <v/>
      </c>
    </row>
    <row r="2562">
      <c r="A2562" t="inlineStr">
        <is>
          <t>24359237215</t>
        </is>
      </c>
      <c r="B2562" t="inlineStr">
        <is>
          <t>隔日到貨🔥 iPhone 手機殼 17 16 15 14 pro 13 12 11 XS XR SE 保護殼 軟殼 蘋果</t>
        </is>
      </c>
      <c r="C2562">
        <f>IMAGE("https://cf.shopee.tw/file/tw-11134207-7r98s-lqnla45t5cygc0_tn")</f>
        <v/>
      </c>
      <c r="D2562" t="inlineStr">
        <is>
          <t>米白禮帽小狗,13 mini</t>
        </is>
      </c>
      <c r="E2562" t="inlineStr"/>
      <c r="F2562">
        <f>IMAGE("https://cf.shopee.tw/file/tw-11134207-7r98y-lqnlkeahib4o4f_tn")</f>
        <v/>
      </c>
    </row>
    <row r="2563">
      <c r="A2563" t="inlineStr">
        <is>
          <t>24359237215</t>
        </is>
      </c>
      <c r="B2563" t="inlineStr">
        <is>
          <t>隔日到貨🔥 iPhone 手機殼 17 16 15 14 pro 13 12 11 XS XR SE 保護殼 軟殼 蘋果</t>
        </is>
      </c>
      <c r="C2563">
        <f>IMAGE("https://cf.shopee.tw/file/tw-11134207-7r98s-lqnla45t5cygc0_tn")</f>
        <v/>
      </c>
      <c r="D2563" t="inlineStr">
        <is>
          <t>米白禮帽小狗,14 pro</t>
        </is>
      </c>
      <c r="E2563" t="inlineStr">
        <is>
          <t>232464365939</t>
        </is>
      </c>
      <c r="F2563">
        <f>IMAGE("https://cf.shopee.tw/file/tw-11134207-7r98y-lqnlkeahib4o4f_tn")</f>
        <v/>
      </c>
    </row>
    <row r="2564">
      <c r="A2564" t="inlineStr">
        <is>
          <t>24359237215</t>
        </is>
      </c>
      <c r="B2564" t="inlineStr">
        <is>
          <t>隔日到貨🔥 iPhone 手機殼 17 16 15 14 pro 13 12 11 XS XR SE 保護殼 軟殼 蘋果</t>
        </is>
      </c>
      <c r="C2564">
        <f>IMAGE("https://cf.shopee.tw/file/tw-11134207-7r98s-lqnla45t5cygc0_tn")</f>
        <v/>
      </c>
      <c r="D2564" t="inlineStr">
        <is>
          <t>米白禮帽小狗,14 pro Max</t>
        </is>
      </c>
      <c r="E2564" t="inlineStr"/>
      <c r="F2564">
        <f>IMAGE("https://cf.shopee.tw/file/tw-11134207-7r98y-lqnlkeahib4o4f_tn")</f>
        <v/>
      </c>
    </row>
    <row r="2565">
      <c r="A2565" t="inlineStr">
        <is>
          <t>24359237215</t>
        </is>
      </c>
      <c r="B2565" t="inlineStr">
        <is>
          <t>隔日到貨🔥 iPhone 手機殼 17 16 15 14 pro 13 12 11 XS XR SE 保護殼 軟殼 蘋果</t>
        </is>
      </c>
      <c r="C2565">
        <f>IMAGE("https://cf.shopee.tw/file/tw-11134207-7r98s-lqnla45t5cygc0_tn")</f>
        <v/>
      </c>
      <c r="D2565" t="inlineStr">
        <is>
          <t>米白禮帽小狗,14 Plus</t>
        </is>
      </c>
      <c r="E2565" t="inlineStr"/>
      <c r="F2565">
        <f>IMAGE("https://cf.shopee.tw/file/tw-11134207-7r98y-lqnlkeahib4o4f_tn")</f>
        <v/>
      </c>
    </row>
    <row r="2566">
      <c r="A2566" t="inlineStr">
        <is>
          <t>24359237215</t>
        </is>
      </c>
      <c r="B2566" t="inlineStr">
        <is>
          <t>隔日到貨🔥 iPhone 手機殼 17 16 15 14 pro 13 12 11 XS XR SE 保護殼 軟殼 蘋果</t>
        </is>
      </c>
      <c r="C2566">
        <f>IMAGE("https://cf.shopee.tw/file/tw-11134207-7r98s-lqnla45t5cygc0_tn")</f>
        <v/>
      </c>
      <c r="D2566" t="inlineStr">
        <is>
          <t>米白禮帽小狗,15</t>
        </is>
      </c>
      <c r="E2566" t="inlineStr">
        <is>
          <t>232464365942</t>
        </is>
      </c>
      <c r="F2566">
        <f>IMAGE("https://cf.shopee.tw/file/tw-11134207-7r98y-lqnlkeahib4o4f_tn")</f>
        <v/>
      </c>
    </row>
    <row r="2567">
      <c r="A2567" t="inlineStr">
        <is>
          <t>24359237215</t>
        </is>
      </c>
      <c r="B2567" t="inlineStr">
        <is>
          <t>隔日到貨🔥 iPhone 手機殼 17 16 15 14 pro 13 12 11 XS XR SE 保護殼 軟殼 蘋果</t>
        </is>
      </c>
      <c r="C2567">
        <f>IMAGE("https://cf.shopee.tw/file/tw-11134207-7r98s-lqnla45t5cygc0_tn")</f>
        <v/>
      </c>
      <c r="D2567" t="inlineStr">
        <is>
          <t>米白禮帽小狗,15 pro</t>
        </is>
      </c>
      <c r="E2567" t="inlineStr">
        <is>
          <t>232464365943</t>
        </is>
      </c>
      <c r="F2567">
        <f>IMAGE("https://cf.shopee.tw/file/tw-11134207-7r98y-lqnlkeahib4o4f_tn")</f>
        <v/>
      </c>
    </row>
    <row r="2568">
      <c r="A2568" t="inlineStr">
        <is>
          <t>24359237215</t>
        </is>
      </c>
      <c r="B2568" t="inlineStr">
        <is>
          <t>隔日到貨🔥 iPhone 手機殼 17 16 15 14 pro 13 12 11 XS XR SE 保護殼 軟殼 蘋果</t>
        </is>
      </c>
      <c r="C2568">
        <f>IMAGE("https://cf.shopee.tw/file/tw-11134207-7r98s-lqnla45t5cygc0_tn")</f>
        <v/>
      </c>
      <c r="D2568" t="inlineStr">
        <is>
          <t>米白禮帽小狗,15 pro Max</t>
        </is>
      </c>
      <c r="E2568" t="inlineStr">
        <is>
          <t>232464365944</t>
        </is>
      </c>
      <c r="F2568">
        <f>IMAGE("https://cf.shopee.tw/file/tw-11134207-7r98y-lqnlkeahib4o4f_tn")</f>
        <v/>
      </c>
    </row>
    <row r="2569">
      <c r="A2569" t="inlineStr">
        <is>
          <t>24359237215</t>
        </is>
      </c>
      <c r="B2569" t="inlineStr">
        <is>
          <t>隔日到貨🔥 iPhone 手機殼 17 16 15 14 pro 13 12 11 XS XR SE 保護殼 軟殼 蘋果</t>
        </is>
      </c>
      <c r="C2569">
        <f>IMAGE("https://cf.shopee.tw/file/tw-11134207-7r98s-lqnla45t5cygc0_tn")</f>
        <v/>
      </c>
      <c r="D2569" t="inlineStr">
        <is>
          <t>米白禮帽小狗,15 Plus</t>
        </is>
      </c>
      <c r="E2569" t="inlineStr">
        <is>
          <t>232464365945</t>
        </is>
      </c>
      <c r="F2569">
        <f>IMAGE("https://cf.shopee.tw/file/tw-11134207-7r98y-lqnlkeahib4o4f_tn")</f>
        <v/>
      </c>
    </row>
    <row r="2570">
      <c r="A2570" t="inlineStr">
        <is>
          <t>24359237215</t>
        </is>
      </c>
      <c r="B2570" t="inlineStr">
        <is>
          <t>隔日到貨🔥 iPhone 手機殼 17 16 15 14 pro 13 12 11 XS XR SE 保護殼 軟殼 蘋果</t>
        </is>
      </c>
      <c r="C2570">
        <f>IMAGE("https://cf.shopee.tw/file/tw-11134207-7r98s-lqnla45t5cygc0_tn")</f>
        <v/>
      </c>
      <c r="D2570" t="inlineStr">
        <is>
          <t>米白禮帽小狗,16</t>
        </is>
      </c>
      <c r="E2570" t="inlineStr"/>
      <c r="F2570">
        <f>IMAGE("https://cf.shopee.tw/file/tw-11134207-7r98y-lqnlkeahib4o4f_tn")</f>
        <v/>
      </c>
    </row>
    <row r="2571">
      <c r="A2571" t="inlineStr">
        <is>
          <t>24359237215</t>
        </is>
      </c>
      <c r="B2571" t="inlineStr">
        <is>
          <t>隔日到貨🔥 iPhone 手機殼 17 16 15 14 pro 13 12 11 XS XR SE 保護殼 軟殼 蘋果</t>
        </is>
      </c>
      <c r="C2571">
        <f>IMAGE("https://cf.shopee.tw/file/tw-11134207-7r98s-lqnla45t5cygc0_tn")</f>
        <v/>
      </c>
      <c r="D2571" t="inlineStr">
        <is>
          <t>米白禮帽小狗,16 pro</t>
        </is>
      </c>
      <c r="E2571" t="inlineStr">
        <is>
          <t>236997895934</t>
        </is>
      </c>
      <c r="F2571">
        <f>IMAGE("https://cf.shopee.tw/file/tw-11134207-7r98y-lqnlkeahib4o4f_tn")</f>
        <v/>
      </c>
    </row>
    <row r="2572">
      <c r="A2572" t="inlineStr">
        <is>
          <t>24359237215</t>
        </is>
      </c>
      <c r="B2572" t="inlineStr">
        <is>
          <t>隔日到貨🔥 iPhone 手機殼 17 16 15 14 pro 13 12 11 XS XR SE 保護殼 軟殼 蘋果</t>
        </is>
      </c>
      <c r="C2572">
        <f>IMAGE("https://cf.shopee.tw/file/tw-11134207-7r98s-lqnla45t5cygc0_tn")</f>
        <v/>
      </c>
      <c r="D2572" t="inlineStr">
        <is>
          <t>米白禮帽小狗,16 plus</t>
        </is>
      </c>
      <c r="E2572" t="inlineStr"/>
      <c r="F2572">
        <f>IMAGE("https://cf.shopee.tw/file/tw-11134207-7r98y-lqnlkeahib4o4f_tn")</f>
        <v/>
      </c>
    </row>
    <row r="2573">
      <c r="A2573" t="inlineStr">
        <is>
          <t>24359237215</t>
        </is>
      </c>
      <c r="B2573" t="inlineStr">
        <is>
          <t>隔日到貨🔥 iPhone 手機殼 17 16 15 14 pro 13 12 11 XS XR SE 保護殼 軟殼 蘋果</t>
        </is>
      </c>
      <c r="C2573">
        <f>IMAGE("https://cf.shopee.tw/file/tw-11134207-7r98s-lqnla45t5cygc0_tn")</f>
        <v/>
      </c>
      <c r="D2573" t="inlineStr">
        <is>
          <t>米白禮帽小狗,16 pro max</t>
        </is>
      </c>
      <c r="E2573" t="inlineStr"/>
      <c r="F2573">
        <f>IMAGE("https://cf.shopee.tw/file/tw-11134207-7r98y-lqnlkeahib4o4f_tn")</f>
        <v/>
      </c>
    </row>
    <row r="2574">
      <c r="A2574" t="inlineStr">
        <is>
          <t>24359237215</t>
        </is>
      </c>
      <c r="B2574" t="inlineStr">
        <is>
          <t>隔日到貨🔥 iPhone 手機殼 17 16 15 14 pro 13 12 11 XS XR SE 保護殼 軟殼 蘋果</t>
        </is>
      </c>
      <c r="C2574">
        <f>IMAGE("https://cf.shopee.tw/file/tw-11134207-7r98s-lqnla45t5cygc0_tn")</f>
        <v/>
      </c>
      <c r="D2574" t="inlineStr">
        <is>
          <t>米白禮帽小狗,17</t>
        </is>
      </c>
      <c r="E2574" t="inlineStr">
        <is>
          <t>380089239049</t>
        </is>
      </c>
      <c r="F2574">
        <f>IMAGE("https://cf.shopee.tw/file/tw-11134207-7r98y-lqnlkeahib4o4f_tn")</f>
        <v/>
      </c>
    </row>
    <row r="2575">
      <c r="A2575" t="inlineStr">
        <is>
          <t>24359237215</t>
        </is>
      </c>
      <c r="B2575" t="inlineStr">
        <is>
          <t>隔日到貨🔥 iPhone 手機殼 17 16 15 14 pro 13 12 11 XS XR SE 保護殼 軟殼 蘋果</t>
        </is>
      </c>
      <c r="C2575">
        <f>IMAGE("https://cf.shopee.tw/file/tw-11134207-7r98s-lqnla45t5cygc0_tn")</f>
        <v/>
      </c>
      <c r="D2575" t="inlineStr">
        <is>
          <t>米白禮帽小狗,17 pro</t>
        </is>
      </c>
      <c r="E2575" t="inlineStr">
        <is>
          <t>380089239050</t>
        </is>
      </c>
      <c r="F2575">
        <f>IMAGE("https://cf.shopee.tw/file/tw-11134207-7r98y-lqnlkeahib4o4f_tn")</f>
        <v/>
      </c>
    </row>
    <row r="2576">
      <c r="A2576" t="inlineStr">
        <is>
          <t>24359237215</t>
        </is>
      </c>
      <c r="B2576" t="inlineStr">
        <is>
          <t>隔日到貨🔥 iPhone 手機殼 17 16 15 14 pro 13 12 11 XS XR SE 保護殼 軟殼 蘋果</t>
        </is>
      </c>
      <c r="C2576">
        <f>IMAGE("https://cf.shopee.tw/file/tw-11134207-7r98s-lqnla45t5cygc0_tn")</f>
        <v/>
      </c>
      <c r="D2576" t="inlineStr">
        <is>
          <t>米白禮帽小狗,17 pro Max</t>
        </is>
      </c>
      <c r="E2576" t="inlineStr">
        <is>
          <t>380089239051</t>
        </is>
      </c>
      <c r="F2576">
        <f>IMAGE("https://cf.shopee.tw/file/tw-11134207-7r98y-lqnlkeahib4o4f_tn")</f>
        <v/>
      </c>
    </row>
    <row r="2577">
      <c r="A2577" t="inlineStr">
        <is>
          <t>24359237215</t>
        </is>
      </c>
      <c r="B2577" t="inlineStr">
        <is>
          <t>隔日到貨🔥 iPhone 手機殼 17 16 15 14 pro 13 12 11 XS XR SE 保護殼 軟殼 蘋果</t>
        </is>
      </c>
      <c r="C2577">
        <f>IMAGE("https://cf.shopee.tw/file/tw-11134207-7r98s-lqnla45t5cygc0_tn")</f>
        <v/>
      </c>
      <c r="D2577" t="inlineStr">
        <is>
          <t>米白禮帽小狗,17 Air</t>
        </is>
      </c>
      <c r="E2577" t="inlineStr"/>
      <c r="F2577">
        <f>IMAGE("https://cf.shopee.tw/file/tw-11134207-7r98y-lqnlkeahib4o4f_tn")</f>
        <v/>
      </c>
    </row>
    <row r="2578">
      <c r="A2578" t="inlineStr">
        <is>
          <t>24359237215</t>
        </is>
      </c>
      <c r="B2578" t="inlineStr">
        <is>
          <t>隔日到貨🔥 iPhone 手機殼 17 16 15 14 pro 13 12 11 XS XR SE 保護殼 軟殼 蘋果</t>
        </is>
      </c>
      <c r="C2578">
        <f>IMAGE("https://cf.shopee.tw/file/tw-11134207-7r98s-lqnla45t5cygc0_tn")</f>
        <v/>
      </c>
      <c r="D2578" t="inlineStr">
        <is>
          <t>黃色禮帽小狗,7/8/SE2/SE3</t>
        </is>
      </c>
      <c r="E2578" t="inlineStr">
        <is>
          <t>232464365946</t>
        </is>
      </c>
      <c r="F2578">
        <f>IMAGE("https://cf.shopee.tw/file/tw-11134207-7r98q-lqnlkeah2uvs4a_tn")</f>
        <v/>
      </c>
    </row>
    <row r="2579">
      <c r="A2579" t="inlineStr">
        <is>
          <t>24359237215</t>
        </is>
      </c>
      <c r="B2579" t="inlineStr">
        <is>
          <t>隔日到貨🔥 iPhone 手機殼 17 16 15 14 pro 13 12 11 XS XR SE 保護殼 軟殼 蘋果</t>
        </is>
      </c>
      <c r="C2579">
        <f>IMAGE("https://cf.shopee.tw/file/tw-11134207-7r98s-lqnla45t5cygc0_tn")</f>
        <v/>
      </c>
      <c r="D2579" t="inlineStr">
        <is>
          <t>黃色禮帽小狗,7Plus/8Plus</t>
        </is>
      </c>
      <c r="E2579" t="inlineStr">
        <is>
          <t>232464365947</t>
        </is>
      </c>
      <c r="F2579">
        <f>IMAGE("https://cf.shopee.tw/file/tw-11134207-7r98q-lqnlkeah2uvs4a_tn")</f>
        <v/>
      </c>
    </row>
    <row r="2580">
      <c r="A2580" t="inlineStr">
        <is>
          <t>24359237215</t>
        </is>
      </c>
      <c r="B2580" t="inlineStr">
        <is>
          <t>隔日到貨🔥 iPhone 手機殼 17 16 15 14 pro 13 12 11 XS XR SE 保護殼 軟殼 蘋果</t>
        </is>
      </c>
      <c r="C2580">
        <f>IMAGE("https://cf.shopee.tw/file/tw-11134207-7r98s-lqnla45t5cygc0_tn")</f>
        <v/>
      </c>
      <c r="D2580" t="inlineStr">
        <is>
          <t>黃色禮帽小狗,X/XS</t>
        </is>
      </c>
      <c r="E2580" t="inlineStr"/>
      <c r="F2580">
        <f>IMAGE("https://cf.shopee.tw/file/tw-11134207-7r98q-lqnlkeah2uvs4a_tn")</f>
        <v/>
      </c>
    </row>
    <row r="2581">
      <c r="A2581" t="inlineStr">
        <is>
          <t>24359237215</t>
        </is>
      </c>
      <c r="B2581" t="inlineStr">
        <is>
          <t>隔日到貨🔥 iPhone 手機殼 17 16 15 14 pro 13 12 11 XS XR SE 保護殼 軟殼 蘋果</t>
        </is>
      </c>
      <c r="C2581">
        <f>IMAGE("https://cf.shopee.tw/file/tw-11134207-7r98s-lqnla45t5cygc0_tn")</f>
        <v/>
      </c>
      <c r="D2581" t="inlineStr">
        <is>
          <t>黃色禮帽小狗,XR</t>
        </is>
      </c>
      <c r="E2581" t="inlineStr"/>
      <c r="F2581">
        <f>IMAGE("https://cf.shopee.tw/file/tw-11134207-7r98q-lqnlkeah2uvs4a_tn")</f>
        <v/>
      </c>
    </row>
    <row r="2582">
      <c r="A2582" t="inlineStr">
        <is>
          <t>24359237215</t>
        </is>
      </c>
      <c r="B2582" t="inlineStr">
        <is>
          <t>隔日到貨🔥 iPhone 手機殼 17 16 15 14 pro 13 12 11 XS XR SE 保護殼 軟殼 蘋果</t>
        </is>
      </c>
      <c r="C2582">
        <f>IMAGE("https://cf.shopee.tw/file/tw-11134207-7r98s-lqnla45t5cygc0_tn")</f>
        <v/>
      </c>
      <c r="D2582" t="inlineStr">
        <is>
          <t>黃色禮帽小狗,XS Max</t>
        </is>
      </c>
      <c r="E2582" t="inlineStr"/>
      <c r="F2582">
        <f>IMAGE("https://cf.shopee.tw/file/tw-11134207-7r98q-lqnlkeah2uvs4a_tn")</f>
        <v/>
      </c>
    </row>
    <row r="2583">
      <c r="A2583" t="inlineStr">
        <is>
          <t>24359237215</t>
        </is>
      </c>
      <c r="B2583" t="inlineStr">
        <is>
          <t>隔日到貨🔥 iPhone 手機殼 17 16 15 14 pro 13 12 11 XS XR SE 保護殼 軟殼 蘋果</t>
        </is>
      </c>
      <c r="C2583">
        <f>IMAGE("https://cf.shopee.tw/file/tw-11134207-7r98s-lqnla45t5cygc0_tn")</f>
        <v/>
      </c>
      <c r="D2583" t="inlineStr">
        <is>
          <t>黃色禮帽小狗,11</t>
        </is>
      </c>
      <c r="E2583" t="inlineStr">
        <is>
          <t>232464365951</t>
        </is>
      </c>
      <c r="F2583">
        <f>IMAGE("https://cf.shopee.tw/file/tw-11134207-7r98q-lqnlkeah2uvs4a_tn")</f>
        <v/>
      </c>
    </row>
    <row r="2584">
      <c r="A2584" t="inlineStr">
        <is>
          <t>24359237215</t>
        </is>
      </c>
      <c r="B2584" t="inlineStr">
        <is>
          <t>隔日到貨🔥 iPhone 手機殼 17 16 15 14 pro 13 12 11 XS XR SE 保護殼 軟殼 蘋果</t>
        </is>
      </c>
      <c r="C2584">
        <f>IMAGE("https://cf.shopee.tw/file/tw-11134207-7r98s-lqnla45t5cygc0_tn")</f>
        <v/>
      </c>
      <c r="D2584" t="inlineStr">
        <is>
          <t>黃色禮帽小狗,11 pro</t>
        </is>
      </c>
      <c r="E2584" t="inlineStr">
        <is>
          <t>232464365952</t>
        </is>
      </c>
      <c r="F2584">
        <f>IMAGE("https://cf.shopee.tw/file/tw-11134207-7r98q-lqnlkeah2uvs4a_tn")</f>
        <v/>
      </c>
    </row>
    <row r="2585">
      <c r="A2585" t="inlineStr">
        <is>
          <t>24359237215</t>
        </is>
      </c>
      <c r="B2585" t="inlineStr">
        <is>
          <t>隔日到貨🔥 iPhone 手機殼 17 16 15 14 pro 13 12 11 XS XR SE 保護殼 軟殼 蘋果</t>
        </is>
      </c>
      <c r="C2585">
        <f>IMAGE("https://cf.shopee.tw/file/tw-11134207-7r98s-lqnla45t5cygc0_tn")</f>
        <v/>
      </c>
      <c r="D2585" t="inlineStr">
        <is>
          <t>黃色禮帽小狗,11 pro Max</t>
        </is>
      </c>
      <c r="E2585" t="inlineStr"/>
      <c r="F2585">
        <f>IMAGE("https://cf.shopee.tw/file/tw-11134207-7r98q-lqnlkeah2uvs4a_tn")</f>
        <v/>
      </c>
    </row>
    <row r="2586">
      <c r="A2586" t="inlineStr">
        <is>
          <t>24359237215</t>
        </is>
      </c>
      <c r="B2586" t="inlineStr">
        <is>
          <t>隔日到貨🔥 iPhone 手機殼 17 16 15 14 pro 13 12 11 XS XR SE 保護殼 軟殼 蘋果</t>
        </is>
      </c>
      <c r="C2586">
        <f>IMAGE("https://cf.shopee.tw/file/tw-11134207-7r98s-lqnla45t5cygc0_tn")</f>
        <v/>
      </c>
      <c r="D2586" t="inlineStr">
        <is>
          <t>黃色禮帽小狗,12/12pro</t>
        </is>
      </c>
      <c r="E2586" t="inlineStr"/>
      <c r="F2586">
        <f>IMAGE("https://cf.shopee.tw/file/tw-11134207-7r98q-lqnlkeah2uvs4a_tn")</f>
        <v/>
      </c>
    </row>
    <row r="2587">
      <c r="A2587" t="inlineStr">
        <is>
          <t>24359237215</t>
        </is>
      </c>
      <c r="B2587" t="inlineStr">
        <is>
          <t>隔日到貨🔥 iPhone 手機殼 17 16 15 14 pro 13 12 11 XS XR SE 保護殼 軟殼 蘋果</t>
        </is>
      </c>
      <c r="C2587">
        <f>IMAGE("https://cf.shopee.tw/file/tw-11134207-7r98s-lqnla45t5cygc0_tn")</f>
        <v/>
      </c>
      <c r="D2587" t="inlineStr">
        <is>
          <t>黃色禮帽小狗,12 pro Max</t>
        </is>
      </c>
      <c r="E2587" t="inlineStr"/>
      <c r="F2587">
        <f>IMAGE("https://cf.shopee.tw/file/tw-11134207-7r98q-lqnlkeah2uvs4a_tn")</f>
        <v/>
      </c>
    </row>
    <row r="2588">
      <c r="A2588" t="inlineStr">
        <is>
          <t>24359237215</t>
        </is>
      </c>
      <c r="B2588" t="inlineStr">
        <is>
          <t>隔日到貨🔥 iPhone 手機殼 17 16 15 14 pro 13 12 11 XS XR SE 保護殼 軟殼 蘋果</t>
        </is>
      </c>
      <c r="C2588">
        <f>IMAGE("https://cf.shopee.tw/file/tw-11134207-7r98s-lqnla45t5cygc0_tn")</f>
        <v/>
      </c>
      <c r="D2588" t="inlineStr">
        <is>
          <t>黃色禮帽小狗,12 mini</t>
        </is>
      </c>
      <c r="E2588" t="inlineStr"/>
      <c r="F2588">
        <f>IMAGE("https://cf.shopee.tw/file/tw-11134207-7r98q-lqnlkeah2uvs4a_tn")</f>
        <v/>
      </c>
    </row>
    <row r="2589">
      <c r="A2589" t="inlineStr">
        <is>
          <t>24359237215</t>
        </is>
      </c>
      <c r="B2589" t="inlineStr">
        <is>
          <t>隔日到貨🔥 iPhone 手機殼 17 16 15 14 pro 13 12 11 XS XR SE 保護殼 軟殼 蘋果</t>
        </is>
      </c>
      <c r="C2589">
        <f>IMAGE("https://cf.shopee.tw/file/tw-11134207-7r98s-lqnla45t5cygc0_tn")</f>
        <v/>
      </c>
      <c r="D2589" t="inlineStr">
        <is>
          <t>黃色禮帽小狗,13 / 14</t>
        </is>
      </c>
      <c r="E2589" t="inlineStr">
        <is>
          <t>232464365957</t>
        </is>
      </c>
      <c r="F2589">
        <f>IMAGE("https://cf.shopee.tw/file/tw-11134207-7r98q-lqnlkeah2uvs4a_tn")</f>
        <v/>
      </c>
    </row>
    <row r="2590">
      <c r="A2590" t="inlineStr">
        <is>
          <t>24359237215</t>
        </is>
      </c>
      <c r="B2590" t="inlineStr">
        <is>
          <t>隔日到貨🔥 iPhone 手機殼 17 16 15 14 pro 13 12 11 XS XR SE 保護殼 軟殼 蘋果</t>
        </is>
      </c>
      <c r="C2590">
        <f>IMAGE("https://cf.shopee.tw/file/tw-11134207-7r98s-lqnla45t5cygc0_tn")</f>
        <v/>
      </c>
      <c r="D2590" t="inlineStr">
        <is>
          <t>黃色禮帽小狗,13 pro</t>
        </is>
      </c>
      <c r="E2590" t="inlineStr"/>
      <c r="F2590">
        <f>IMAGE("https://cf.shopee.tw/file/tw-11134207-7r98q-lqnlkeah2uvs4a_tn")</f>
        <v/>
      </c>
    </row>
    <row r="2591">
      <c r="A2591" t="inlineStr">
        <is>
          <t>24359237215</t>
        </is>
      </c>
      <c r="B2591" t="inlineStr">
        <is>
          <t>隔日到貨🔥 iPhone 手機殼 17 16 15 14 pro 13 12 11 XS XR SE 保護殼 軟殼 蘋果</t>
        </is>
      </c>
      <c r="C2591">
        <f>IMAGE("https://cf.shopee.tw/file/tw-11134207-7r98s-lqnla45t5cygc0_tn")</f>
        <v/>
      </c>
      <c r="D2591" t="inlineStr">
        <is>
          <t>黃色禮帽小狗,13 pro Max</t>
        </is>
      </c>
      <c r="E2591" t="inlineStr"/>
      <c r="F2591">
        <f>IMAGE("https://cf.shopee.tw/file/tw-11134207-7r98q-lqnlkeah2uvs4a_tn")</f>
        <v/>
      </c>
    </row>
    <row r="2592">
      <c r="A2592" t="inlineStr">
        <is>
          <t>24359237215</t>
        </is>
      </c>
      <c r="B2592" t="inlineStr">
        <is>
          <t>隔日到貨🔥 iPhone 手機殼 17 16 15 14 pro 13 12 11 XS XR SE 保護殼 軟殼 蘋果</t>
        </is>
      </c>
      <c r="C2592">
        <f>IMAGE("https://cf.shopee.tw/file/tw-11134207-7r98s-lqnla45t5cygc0_tn")</f>
        <v/>
      </c>
      <c r="D2592" t="inlineStr">
        <is>
          <t>黃色禮帽小狗,13 mini</t>
        </is>
      </c>
      <c r="E2592" t="inlineStr"/>
      <c r="F2592">
        <f>IMAGE("https://cf.shopee.tw/file/tw-11134207-7r98q-lqnlkeah2uvs4a_tn")</f>
        <v/>
      </c>
    </row>
    <row r="2593">
      <c r="A2593" t="inlineStr">
        <is>
          <t>24359237215</t>
        </is>
      </c>
      <c r="B2593" t="inlineStr">
        <is>
          <t>隔日到貨🔥 iPhone 手機殼 17 16 15 14 pro 13 12 11 XS XR SE 保護殼 軟殼 蘋果</t>
        </is>
      </c>
      <c r="C2593">
        <f>IMAGE("https://cf.shopee.tw/file/tw-11134207-7r98s-lqnla45t5cygc0_tn")</f>
        <v/>
      </c>
      <c r="D2593" t="inlineStr">
        <is>
          <t>黃色禮帽小狗,14 pro</t>
        </is>
      </c>
      <c r="E2593" t="inlineStr">
        <is>
          <t>232464365962</t>
        </is>
      </c>
      <c r="F2593">
        <f>IMAGE("https://cf.shopee.tw/file/tw-11134207-7r98q-lqnlkeah2uvs4a_tn")</f>
        <v/>
      </c>
    </row>
    <row r="2594">
      <c r="A2594" t="inlineStr">
        <is>
          <t>24359237215</t>
        </is>
      </c>
      <c r="B2594" t="inlineStr">
        <is>
          <t>隔日到貨🔥 iPhone 手機殼 17 16 15 14 pro 13 12 11 XS XR SE 保護殼 軟殼 蘋果</t>
        </is>
      </c>
      <c r="C2594">
        <f>IMAGE("https://cf.shopee.tw/file/tw-11134207-7r98s-lqnla45t5cygc0_tn")</f>
        <v/>
      </c>
      <c r="D2594" t="inlineStr">
        <is>
          <t>黃色禮帽小狗,14 pro Max</t>
        </is>
      </c>
      <c r="E2594" t="inlineStr"/>
      <c r="F2594">
        <f>IMAGE("https://cf.shopee.tw/file/tw-11134207-7r98q-lqnlkeah2uvs4a_tn")</f>
        <v/>
      </c>
    </row>
    <row r="2595">
      <c r="A2595" t="inlineStr">
        <is>
          <t>24359237215</t>
        </is>
      </c>
      <c r="B2595" t="inlineStr">
        <is>
          <t>隔日到貨🔥 iPhone 手機殼 17 16 15 14 pro 13 12 11 XS XR SE 保護殼 軟殼 蘋果</t>
        </is>
      </c>
      <c r="C2595">
        <f>IMAGE("https://cf.shopee.tw/file/tw-11134207-7r98s-lqnla45t5cygc0_tn")</f>
        <v/>
      </c>
      <c r="D2595" t="inlineStr">
        <is>
          <t>黃色禮帽小狗,14 Plus</t>
        </is>
      </c>
      <c r="E2595" t="inlineStr">
        <is>
          <t>232464365964</t>
        </is>
      </c>
      <c r="F2595">
        <f>IMAGE("https://cf.shopee.tw/file/tw-11134207-7r98q-lqnlkeah2uvs4a_tn")</f>
        <v/>
      </c>
    </row>
    <row r="2596">
      <c r="A2596" t="inlineStr">
        <is>
          <t>24359237215</t>
        </is>
      </c>
      <c r="B2596" t="inlineStr">
        <is>
          <t>隔日到貨🔥 iPhone 手機殼 17 16 15 14 pro 13 12 11 XS XR SE 保護殼 軟殼 蘋果</t>
        </is>
      </c>
      <c r="C2596">
        <f>IMAGE("https://cf.shopee.tw/file/tw-11134207-7r98s-lqnla45t5cygc0_tn")</f>
        <v/>
      </c>
      <c r="D2596" t="inlineStr">
        <is>
          <t>黃色禮帽小狗,15</t>
        </is>
      </c>
      <c r="E2596" t="inlineStr">
        <is>
          <t>232464365965</t>
        </is>
      </c>
      <c r="F2596">
        <f>IMAGE("https://cf.shopee.tw/file/tw-11134207-7r98q-lqnlkeah2uvs4a_tn")</f>
        <v/>
      </c>
    </row>
    <row r="2597">
      <c r="A2597" t="inlineStr">
        <is>
          <t>24359237215</t>
        </is>
      </c>
      <c r="B2597" t="inlineStr">
        <is>
          <t>隔日到貨🔥 iPhone 手機殼 17 16 15 14 pro 13 12 11 XS XR SE 保護殼 軟殼 蘋果</t>
        </is>
      </c>
      <c r="C2597">
        <f>IMAGE("https://cf.shopee.tw/file/tw-11134207-7r98s-lqnla45t5cygc0_tn")</f>
        <v/>
      </c>
      <c r="D2597" t="inlineStr">
        <is>
          <t>黃色禮帽小狗,15 pro</t>
        </is>
      </c>
      <c r="E2597" t="inlineStr">
        <is>
          <t>232464365966</t>
        </is>
      </c>
      <c r="F2597">
        <f>IMAGE("https://cf.shopee.tw/file/tw-11134207-7r98q-lqnlkeah2uvs4a_tn")</f>
        <v/>
      </c>
    </row>
    <row r="2598">
      <c r="A2598" t="inlineStr">
        <is>
          <t>24359237215</t>
        </is>
      </c>
      <c r="B2598" t="inlineStr">
        <is>
          <t>隔日到貨🔥 iPhone 手機殼 17 16 15 14 pro 13 12 11 XS XR SE 保護殼 軟殼 蘋果</t>
        </is>
      </c>
      <c r="C2598">
        <f>IMAGE("https://cf.shopee.tw/file/tw-11134207-7r98s-lqnla45t5cygc0_tn")</f>
        <v/>
      </c>
      <c r="D2598" t="inlineStr">
        <is>
          <t>黃色禮帽小狗,15 pro Max</t>
        </is>
      </c>
      <c r="E2598" t="inlineStr">
        <is>
          <t>245238215235</t>
        </is>
      </c>
      <c r="F2598">
        <f>IMAGE("https://cf.shopee.tw/file/tw-11134207-7r98q-lqnlkeah2uvs4a_tn")</f>
        <v/>
      </c>
    </row>
    <row r="2599">
      <c r="A2599" t="inlineStr">
        <is>
          <t>24359237215</t>
        </is>
      </c>
      <c r="B2599" t="inlineStr">
        <is>
          <t>隔日到貨🔥 iPhone 手機殼 17 16 15 14 pro 13 12 11 XS XR SE 保護殼 軟殼 蘋果</t>
        </is>
      </c>
      <c r="C2599">
        <f>IMAGE("https://cf.shopee.tw/file/tw-11134207-7r98s-lqnla45t5cygc0_tn")</f>
        <v/>
      </c>
      <c r="D2599" t="inlineStr">
        <is>
          <t>黃色禮帽小狗,15 Plus</t>
        </is>
      </c>
      <c r="E2599" t="inlineStr">
        <is>
          <t>245238215236</t>
        </is>
      </c>
      <c r="F2599">
        <f>IMAGE("https://cf.shopee.tw/file/tw-11134207-7r98q-lqnlkeah2uvs4a_tn")</f>
        <v/>
      </c>
    </row>
    <row r="2600">
      <c r="A2600" t="inlineStr">
        <is>
          <t>24359237215</t>
        </is>
      </c>
      <c r="B2600" t="inlineStr">
        <is>
          <t>隔日到貨🔥 iPhone 手機殼 17 16 15 14 pro 13 12 11 XS XR SE 保護殼 軟殼 蘋果</t>
        </is>
      </c>
      <c r="C2600">
        <f>IMAGE("https://cf.shopee.tw/file/tw-11134207-7r98s-lqnla45t5cygc0_tn")</f>
        <v/>
      </c>
      <c r="D2600" t="inlineStr">
        <is>
          <t>黃色禮帽小狗,16</t>
        </is>
      </c>
      <c r="E2600" t="inlineStr">
        <is>
          <t>236997895937</t>
        </is>
      </c>
      <c r="F2600">
        <f>IMAGE("https://cf.shopee.tw/file/tw-11134207-7r98q-lqnlkeah2uvs4a_tn")</f>
        <v/>
      </c>
    </row>
    <row r="2601">
      <c r="A2601" t="inlineStr">
        <is>
          <t>24359237215</t>
        </is>
      </c>
      <c r="B2601" t="inlineStr">
        <is>
          <t>隔日到貨🔥 iPhone 手機殼 17 16 15 14 pro 13 12 11 XS XR SE 保護殼 軟殼 蘋果</t>
        </is>
      </c>
      <c r="C2601">
        <f>IMAGE("https://cf.shopee.tw/file/tw-11134207-7r98s-lqnla45t5cygc0_tn")</f>
        <v/>
      </c>
      <c r="D2601" t="inlineStr">
        <is>
          <t>黃色禮帽小狗,16 pro</t>
        </is>
      </c>
      <c r="E2601" t="inlineStr">
        <is>
          <t>236997895938</t>
        </is>
      </c>
      <c r="F2601">
        <f>IMAGE("https://cf.shopee.tw/file/tw-11134207-7r98q-lqnlkeah2uvs4a_tn")</f>
        <v/>
      </c>
    </row>
    <row r="2602">
      <c r="A2602" t="inlineStr">
        <is>
          <t>24359237215</t>
        </is>
      </c>
      <c r="B2602" t="inlineStr">
        <is>
          <t>隔日到貨🔥 iPhone 手機殼 17 16 15 14 pro 13 12 11 XS XR SE 保護殼 軟殼 蘋果</t>
        </is>
      </c>
      <c r="C2602">
        <f>IMAGE("https://cf.shopee.tw/file/tw-11134207-7r98s-lqnla45t5cygc0_tn")</f>
        <v/>
      </c>
      <c r="D2602" t="inlineStr">
        <is>
          <t>黃色禮帽小狗,16 plus</t>
        </is>
      </c>
      <c r="E2602" t="inlineStr"/>
      <c r="F2602">
        <f>IMAGE("https://cf.shopee.tw/file/tw-11134207-7r98q-lqnlkeah2uvs4a_tn")</f>
        <v/>
      </c>
    </row>
    <row r="2603">
      <c r="A2603" t="inlineStr">
        <is>
          <t>24359237215</t>
        </is>
      </c>
      <c r="B2603" t="inlineStr">
        <is>
          <t>隔日到貨🔥 iPhone 手機殼 17 16 15 14 pro 13 12 11 XS XR SE 保護殼 軟殼 蘋果</t>
        </is>
      </c>
      <c r="C2603">
        <f>IMAGE("https://cf.shopee.tw/file/tw-11134207-7r98s-lqnla45t5cygc0_tn")</f>
        <v/>
      </c>
      <c r="D2603" t="inlineStr">
        <is>
          <t>黃色禮帽小狗,16 pro max</t>
        </is>
      </c>
      <c r="E2603" t="inlineStr"/>
      <c r="F2603">
        <f>IMAGE("https://cf.shopee.tw/file/tw-11134207-7r98q-lqnlkeah2uvs4a_tn")</f>
        <v/>
      </c>
    </row>
    <row r="2604">
      <c r="A2604" t="inlineStr">
        <is>
          <t>24359237215</t>
        </is>
      </c>
      <c r="B2604" t="inlineStr">
        <is>
          <t>隔日到貨🔥 iPhone 手機殼 17 16 15 14 pro 13 12 11 XS XR SE 保護殼 軟殼 蘋果</t>
        </is>
      </c>
      <c r="C2604">
        <f>IMAGE("https://cf.shopee.tw/file/tw-11134207-7r98s-lqnla45t5cygc0_tn")</f>
        <v/>
      </c>
      <c r="D2604" t="inlineStr">
        <is>
          <t>黃色禮帽小狗,17</t>
        </is>
      </c>
      <c r="E2604" t="inlineStr">
        <is>
          <t>380089239053</t>
        </is>
      </c>
      <c r="F2604">
        <f>IMAGE("https://cf.shopee.tw/file/tw-11134207-7r98q-lqnlkeah2uvs4a_tn")</f>
        <v/>
      </c>
    </row>
    <row r="2605">
      <c r="A2605" t="inlineStr">
        <is>
          <t>24359237215</t>
        </is>
      </c>
      <c r="B2605" t="inlineStr">
        <is>
          <t>隔日到貨🔥 iPhone 手機殼 17 16 15 14 pro 13 12 11 XS XR SE 保護殼 軟殼 蘋果</t>
        </is>
      </c>
      <c r="C2605">
        <f>IMAGE("https://cf.shopee.tw/file/tw-11134207-7r98s-lqnla45t5cygc0_tn")</f>
        <v/>
      </c>
      <c r="D2605" t="inlineStr">
        <is>
          <t>黃色禮帽小狗,17 pro</t>
        </is>
      </c>
      <c r="E2605" t="inlineStr">
        <is>
          <t>380089239054</t>
        </is>
      </c>
      <c r="F2605">
        <f>IMAGE("https://cf.shopee.tw/file/tw-11134207-7r98q-lqnlkeah2uvs4a_tn")</f>
        <v/>
      </c>
    </row>
    <row r="2606">
      <c r="A2606" t="inlineStr">
        <is>
          <t>24359237215</t>
        </is>
      </c>
      <c r="B2606" t="inlineStr">
        <is>
          <t>隔日到貨🔥 iPhone 手機殼 17 16 15 14 pro 13 12 11 XS XR SE 保護殼 軟殼 蘋果</t>
        </is>
      </c>
      <c r="C2606">
        <f>IMAGE("https://cf.shopee.tw/file/tw-11134207-7r98s-lqnla45t5cygc0_tn")</f>
        <v/>
      </c>
      <c r="D2606" t="inlineStr">
        <is>
          <t>黃色禮帽小狗,17 pro Max</t>
        </is>
      </c>
      <c r="E2606" t="inlineStr">
        <is>
          <t>380089239055</t>
        </is>
      </c>
      <c r="F2606">
        <f>IMAGE("https://cf.shopee.tw/file/tw-11134207-7r98q-lqnlkeah2uvs4a_tn")</f>
        <v/>
      </c>
    </row>
    <row r="2607">
      <c r="A2607" t="inlineStr">
        <is>
          <t>24359237215</t>
        </is>
      </c>
      <c r="B2607" t="inlineStr">
        <is>
          <t>隔日到貨🔥 iPhone 手機殼 17 16 15 14 pro 13 12 11 XS XR SE 保護殼 軟殼 蘋果</t>
        </is>
      </c>
      <c r="C2607">
        <f>IMAGE("https://cf.shopee.tw/file/tw-11134207-7r98s-lqnla45t5cygc0_tn")</f>
        <v/>
      </c>
      <c r="D2607" t="inlineStr">
        <is>
          <t>黃色禮帽小狗,17 Air</t>
        </is>
      </c>
      <c r="E2607" t="inlineStr"/>
      <c r="F2607">
        <f>IMAGE("https://cf.shopee.tw/file/tw-11134207-7r98q-lqnlkeah2uvs4a_tn")</f>
        <v/>
      </c>
    </row>
    <row r="2608">
      <c r="A2608" t="inlineStr">
        <is>
          <t>26902988030</t>
        </is>
      </c>
      <c r="B2608" t="inlineStr">
        <is>
          <t>隔日到貨🔥 韓國 ins風 毛絨卡套 證件夾 證件套 識別證 證件 掛繩 卡片夾 名牌夾 名牌套 卡套 悠遊卡卡</t>
        </is>
      </c>
      <c r="C2608">
        <f>IMAGE("https://cf.shopee.tw/file/tw-11134207-7r991-lwkv84qyaucwbd_tn")</f>
        <v/>
      </c>
      <c r="D2608" t="inlineStr">
        <is>
          <t>開心兔</t>
        </is>
      </c>
      <c r="E2608" t="inlineStr">
        <is>
          <t>168260538655</t>
        </is>
      </c>
      <c r="F2608">
        <f>IMAGE("https://cf.shopee.tw/file/tw-11134207-7r990-lwkwdh940kz4ed_tn")</f>
        <v/>
      </c>
    </row>
    <row r="2609">
      <c r="A2609" t="inlineStr">
        <is>
          <t>26902988030</t>
        </is>
      </c>
      <c r="B2609" t="inlineStr">
        <is>
          <t>隔日到貨🔥 韓國 ins風 毛絨卡套 證件夾 證件套 識別證 證件 掛繩 卡片夾 名牌夾 名牌套 卡套 悠遊卡卡</t>
        </is>
      </c>
      <c r="C2609">
        <f>IMAGE("https://cf.shopee.tw/file/tw-11134207-7r991-lwkv84qyaucwbd_tn")</f>
        <v/>
      </c>
      <c r="D2609" t="inlineStr">
        <is>
          <t>泰迪熊</t>
        </is>
      </c>
      <c r="E2609" t="inlineStr"/>
      <c r="F2609">
        <f>IMAGE("https://cf.shopee.tw/file/tw-11134207-7r98z-lwkwdmwrtd0w86_tn")</f>
        <v/>
      </c>
    </row>
    <row r="2610">
      <c r="A2610" t="inlineStr">
        <is>
          <t>26902988030</t>
        </is>
      </c>
      <c r="B2610" t="inlineStr">
        <is>
          <t>隔日到貨🔥 韓國 ins風 毛絨卡套 證件夾 證件套 識別證 證件 掛繩 卡片夾 名牌夾 名牌套 卡套 悠遊卡卡</t>
        </is>
      </c>
      <c r="C2610">
        <f>IMAGE("https://cf.shopee.tw/file/tw-11134207-7r991-lwkv84qyaucwbd_tn")</f>
        <v/>
      </c>
      <c r="D2610" t="inlineStr">
        <is>
          <t>黑色眼睛</t>
        </is>
      </c>
      <c r="E2610" t="inlineStr">
        <is>
          <t>168260538653</t>
        </is>
      </c>
      <c r="F2610">
        <f>IMAGE("https://cf.shopee.tw/file/tw-11134207-7r98u-lwkw9py81y5i78_tn")</f>
        <v/>
      </c>
    </row>
    <row r="2611">
      <c r="A2611" t="inlineStr">
        <is>
          <t>26902988030</t>
        </is>
      </c>
      <c r="B2611" t="inlineStr">
        <is>
          <t>隔日到貨🔥 韓國 ins風 毛絨卡套 證件夾 證件套 識別證 證件 掛繩 卡片夾 名牌夾 名牌套 卡套 悠遊卡卡</t>
        </is>
      </c>
      <c r="C2611">
        <f>IMAGE("https://cf.shopee.tw/file/tw-11134207-7r991-lwkv84qyaucwbd_tn")</f>
        <v/>
      </c>
      <c r="D2611" t="inlineStr">
        <is>
          <t>粉色笑臉</t>
        </is>
      </c>
      <c r="E2611" t="inlineStr">
        <is>
          <t>168260538654</t>
        </is>
      </c>
      <c r="F2611">
        <f>IMAGE("https://cf.shopee.tw/file/tw-11134207-7r98y-lwkw9py81xyo12_tn")</f>
        <v/>
      </c>
    </row>
    <row r="2612">
      <c r="A2612" t="inlineStr">
        <is>
          <t>26902988030</t>
        </is>
      </c>
      <c r="B2612" t="inlineStr">
        <is>
          <t>隔日到貨🔥 韓國 ins風 毛絨卡套 證件夾 證件套 識別證 證件 掛繩 卡片夾 名牌夾 名牌套 卡套 悠遊卡卡</t>
        </is>
      </c>
      <c r="C2612">
        <f>IMAGE("https://cf.shopee.tw/file/tw-11134207-7r991-lwkv84qyaucwbd_tn")</f>
        <v/>
      </c>
      <c r="D2612" t="inlineStr">
        <is>
          <t>黃色布丁</t>
        </is>
      </c>
      <c r="E2612" t="inlineStr">
        <is>
          <t>168260538656</t>
        </is>
      </c>
      <c r="F2612">
        <f>IMAGE("https://cf.shopee.tw/file/tw-11134207-7r991-lwkwdh941zjk96_tn")</f>
        <v/>
      </c>
    </row>
    <row r="2613">
      <c r="A2613" t="inlineStr">
        <is>
          <t>20358451020</t>
        </is>
      </c>
      <c r="B2613" t="inlineStr">
        <is>
          <t>隔日到貨🔥 iPhone 手機殼 16 15 14 pro 13 12 11 XS XR SE X 保護殼 軟殼 蘋果</t>
        </is>
      </c>
      <c r="C2613">
        <f>IMAGE("https://cf.shopee.tw/file/sg-11134201-22100-0aknontbj8iv2b_tn")</f>
        <v/>
      </c>
      <c r="D2613" t="inlineStr">
        <is>
          <t>貝殼紋 透白,13 mini</t>
        </is>
      </c>
      <c r="E2613" t="inlineStr"/>
      <c r="F2613">
        <f>IMAGE("https://cf.shopee.tw/file/sg-11134201-22100-9a5ya51cj8iv09_tn")</f>
        <v/>
      </c>
    </row>
    <row r="2614">
      <c r="A2614" t="inlineStr">
        <is>
          <t>20358451020</t>
        </is>
      </c>
      <c r="B2614" t="inlineStr">
        <is>
          <t>隔日到貨🔥 iPhone 手機殼 16 15 14 pro 13 12 11 XS XR SE X 保護殼 軟殼 蘋果</t>
        </is>
      </c>
      <c r="C2614">
        <f>IMAGE("https://cf.shopee.tw/file/sg-11134201-22100-0aknontbj8iv2b_tn")</f>
        <v/>
      </c>
      <c r="D2614" t="inlineStr">
        <is>
          <t>貝殼紋 透白,7/8/SE2/SE3</t>
        </is>
      </c>
      <c r="E2614" t="inlineStr">
        <is>
          <t>127022960570</t>
        </is>
      </c>
      <c r="F2614">
        <f>IMAGE("https://cf.shopee.tw/file/sg-11134201-22100-9a5ya51cj8iv09_tn")</f>
        <v/>
      </c>
    </row>
    <row r="2615">
      <c r="A2615" t="inlineStr">
        <is>
          <t>20358451020</t>
        </is>
      </c>
      <c r="B2615" t="inlineStr">
        <is>
          <t>隔日到貨🔥 iPhone 手機殼 16 15 14 pro 13 12 11 XS XR SE X 保護殼 軟殼 蘋果</t>
        </is>
      </c>
      <c r="C2615">
        <f>IMAGE("https://cf.shopee.tw/file/sg-11134201-22100-0aknontbj8iv2b_tn")</f>
        <v/>
      </c>
      <c r="D2615" t="inlineStr">
        <is>
          <t>貝殼紋 透白,7Plus/8plus</t>
        </is>
      </c>
      <c r="E2615" t="inlineStr"/>
      <c r="F2615">
        <f>IMAGE("https://cf.shopee.tw/file/sg-11134201-22100-9a5ya51cj8iv09_tn")</f>
        <v/>
      </c>
    </row>
    <row r="2616">
      <c r="A2616" t="inlineStr">
        <is>
          <t>20358451020</t>
        </is>
      </c>
      <c r="B2616" t="inlineStr">
        <is>
          <t>隔日到貨🔥 iPhone 手機殼 16 15 14 pro 13 12 11 XS XR SE X 保護殼 軟殼 蘋果</t>
        </is>
      </c>
      <c r="C2616">
        <f>IMAGE("https://cf.shopee.tw/file/sg-11134201-22100-0aknontbj8iv2b_tn")</f>
        <v/>
      </c>
      <c r="D2616" t="inlineStr">
        <is>
          <t>貝殼紋 透白,X/XS</t>
        </is>
      </c>
      <c r="E2616" t="inlineStr">
        <is>
          <t>182972264842</t>
        </is>
      </c>
      <c r="F2616">
        <f>IMAGE("https://cf.shopee.tw/file/sg-11134201-22100-9a5ya51cj8iv09_tn")</f>
        <v/>
      </c>
    </row>
    <row r="2617">
      <c r="A2617" t="inlineStr">
        <is>
          <t>20358451020</t>
        </is>
      </c>
      <c r="B2617" t="inlineStr">
        <is>
          <t>隔日到貨🔥 iPhone 手機殼 16 15 14 pro 13 12 11 XS XR SE X 保護殼 軟殼 蘋果</t>
        </is>
      </c>
      <c r="C2617">
        <f>IMAGE("https://cf.shopee.tw/file/sg-11134201-22100-0aknontbj8iv2b_tn")</f>
        <v/>
      </c>
      <c r="D2617" t="inlineStr">
        <is>
          <t>貝殼紋 透白,XR</t>
        </is>
      </c>
      <c r="E2617" t="inlineStr">
        <is>
          <t>182972264855</t>
        </is>
      </c>
      <c r="F2617">
        <f>IMAGE("https://cf.shopee.tw/file/sg-11134201-22100-9a5ya51cj8iv09_tn")</f>
        <v/>
      </c>
    </row>
    <row r="2618">
      <c r="A2618" t="inlineStr">
        <is>
          <t>20358451020</t>
        </is>
      </c>
      <c r="B2618" t="inlineStr">
        <is>
          <t>隔日到貨🔥 iPhone 手機殼 16 15 14 pro 13 12 11 XS XR SE X 保護殼 軟殼 蘋果</t>
        </is>
      </c>
      <c r="C2618">
        <f>IMAGE("https://cf.shopee.tw/file/sg-11134201-22100-0aknontbj8iv2b_tn")</f>
        <v/>
      </c>
      <c r="D2618" t="inlineStr">
        <is>
          <t>貝殼紋 透白,11</t>
        </is>
      </c>
      <c r="E2618" t="inlineStr">
        <is>
          <t>182972264843</t>
        </is>
      </c>
      <c r="F2618">
        <f>IMAGE("https://cf.shopee.tw/file/sg-11134201-22100-9a5ya51cj8iv09_tn")</f>
        <v/>
      </c>
    </row>
    <row r="2619">
      <c r="A2619" t="inlineStr">
        <is>
          <t>20358451020</t>
        </is>
      </c>
      <c r="B2619" t="inlineStr">
        <is>
          <t>隔日到貨🔥 iPhone 手機殼 16 15 14 pro 13 12 11 XS XR SE X 保護殼 軟殼 蘋果</t>
        </is>
      </c>
      <c r="C2619">
        <f>IMAGE("https://cf.shopee.tw/file/sg-11134201-22100-0aknontbj8iv2b_tn")</f>
        <v/>
      </c>
      <c r="D2619" t="inlineStr">
        <is>
          <t>貝殼紋 透白,11 Pro</t>
        </is>
      </c>
      <c r="E2619" t="inlineStr">
        <is>
          <t>182972264850</t>
        </is>
      </c>
      <c r="F2619">
        <f>IMAGE("https://cf.shopee.tw/file/sg-11134201-22100-9a5ya51cj8iv09_tn")</f>
        <v/>
      </c>
    </row>
    <row r="2620">
      <c r="A2620" t="inlineStr">
        <is>
          <t>20358451020</t>
        </is>
      </c>
      <c r="B2620" t="inlineStr">
        <is>
          <t>隔日到貨🔥 iPhone 手機殼 16 15 14 pro 13 12 11 XS XR SE X 保護殼 軟殼 蘋果</t>
        </is>
      </c>
      <c r="C2620">
        <f>IMAGE("https://cf.shopee.tw/file/sg-11134201-22100-0aknontbj8iv2b_tn")</f>
        <v/>
      </c>
      <c r="D2620" t="inlineStr">
        <is>
          <t>貝殼紋 透白,12</t>
        </is>
      </c>
      <c r="E2620" t="inlineStr">
        <is>
          <t>182972264844</t>
        </is>
      </c>
      <c r="F2620">
        <f>IMAGE("https://cf.shopee.tw/file/sg-11134201-22100-9a5ya51cj8iv09_tn")</f>
        <v/>
      </c>
    </row>
    <row r="2621">
      <c r="A2621" t="inlineStr">
        <is>
          <t>20358451020</t>
        </is>
      </c>
      <c r="B2621" t="inlineStr">
        <is>
          <t>隔日到貨🔥 iPhone 手機殼 16 15 14 pro 13 12 11 XS XR SE X 保護殼 軟殼 蘋果</t>
        </is>
      </c>
      <c r="C2621">
        <f>IMAGE("https://cf.shopee.tw/file/sg-11134201-22100-0aknontbj8iv2b_tn")</f>
        <v/>
      </c>
      <c r="D2621" t="inlineStr">
        <is>
          <t>貝殼紋 透白,12 Pro</t>
        </is>
      </c>
      <c r="E2621" t="inlineStr">
        <is>
          <t>182972264829</t>
        </is>
      </c>
      <c r="F2621">
        <f>IMAGE("https://cf.shopee.tw/file/sg-11134201-22100-9a5ya51cj8iv09_tn")</f>
        <v/>
      </c>
    </row>
    <row r="2622">
      <c r="A2622" t="inlineStr">
        <is>
          <t>20358451020</t>
        </is>
      </c>
      <c r="B2622" t="inlineStr">
        <is>
          <t>隔日到貨🔥 iPhone 手機殼 16 15 14 pro 13 12 11 XS XR SE X 保護殼 軟殼 蘋果</t>
        </is>
      </c>
      <c r="C2622">
        <f>IMAGE("https://cf.shopee.tw/file/sg-11134201-22100-0aknontbj8iv2b_tn")</f>
        <v/>
      </c>
      <c r="D2622" t="inlineStr">
        <is>
          <t>貝殼紋 透白,12 Pro Max</t>
        </is>
      </c>
      <c r="E2622" t="inlineStr">
        <is>
          <t>182972264833</t>
        </is>
      </c>
      <c r="F2622">
        <f>IMAGE("https://cf.shopee.tw/file/sg-11134201-22100-9a5ya51cj8iv09_tn")</f>
        <v/>
      </c>
    </row>
    <row r="2623">
      <c r="A2623" t="inlineStr">
        <is>
          <t>20358451020</t>
        </is>
      </c>
      <c r="B2623" t="inlineStr">
        <is>
          <t>隔日到貨🔥 iPhone 手機殼 16 15 14 pro 13 12 11 XS XR SE X 保護殼 軟殼 蘋果</t>
        </is>
      </c>
      <c r="C2623">
        <f>IMAGE("https://cf.shopee.tw/file/sg-11134201-22100-0aknontbj8iv2b_tn")</f>
        <v/>
      </c>
      <c r="D2623" t="inlineStr">
        <is>
          <t>貝殼紋 透白,13</t>
        </is>
      </c>
      <c r="E2623" t="inlineStr">
        <is>
          <t>182972264845</t>
        </is>
      </c>
      <c r="F2623">
        <f>IMAGE("https://cf.shopee.tw/file/sg-11134201-22100-9a5ya51cj8iv09_tn")</f>
        <v/>
      </c>
    </row>
    <row r="2624">
      <c r="A2624" t="inlineStr">
        <is>
          <t>20358451020</t>
        </is>
      </c>
      <c r="B2624" t="inlineStr">
        <is>
          <t>隔日到貨🔥 iPhone 手機殼 16 15 14 pro 13 12 11 XS XR SE X 保護殼 軟殼 蘋果</t>
        </is>
      </c>
      <c r="C2624">
        <f>IMAGE("https://cf.shopee.tw/file/sg-11134201-22100-0aknontbj8iv2b_tn")</f>
        <v/>
      </c>
      <c r="D2624" t="inlineStr">
        <is>
          <t>貝殼紋 透白,13 Pro</t>
        </is>
      </c>
      <c r="E2624" t="inlineStr">
        <is>
          <t>182972264841</t>
        </is>
      </c>
      <c r="F2624">
        <f>IMAGE("https://cf.shopee.tw/file/sg-11134201-22100-9a5ya51cj8iv09_tn")</f>
        <v/>
      </c>
    </row>
    <row r="2625">
      <c r="A2625" t="inlineStr">
        <is>
          <t>20358451020</t>
        </is>
      </c>
      <c r="B2625" t="inlineStr">
        <is>
          <t>隔日到貨🔥 iPhone 手機殼 16 15 14 pro 13 12 11 XS XR SE X 保護殼 軟殼 蘋果</t>
        </is>
      </c>
      <c r="C2625">
        <f>IMAGE("https://cf.shopee.tw/file/sg-11134201-22100-0aknontbj8iv2b_tn")</f>
        <v/>
      </c>
      <c r="D2625" t="inlineStr">
        <is>
          <t>貝殼紋 透白,13 Pro Max</t>
        </is>
      </c>
      <c r="E2625" t="inlineStr">
        <is>
          <t>182972264839</t>
        </is>
      </c>
      <c r="F2625">
        <f>IMAGE("https://cf.shopee.tw/file/sg-11134201-22100-9a5ya51cj8iv09_tn")</f>
        <v/>
      </c>
    </row>
    <row r="2626">
      <c r="A2626" t="inlineStr">
        <is>
          <t>20358451020</t>
        </is>
      </c>
      <c r="B2626" t="inlineStr">
        <is>
          <t>隔日到貨🔥 iPhone 手機殼 16 15 14 pro 13 12 11 XS XR SE X 保護殼 軟殼 蘋果</t>
        </is>
      </c>
      <c r="C2626">
        <f>IMAGE("https://cf.shopee.tw/file/sg-11134201-22100-0aknontbj8iv2b_tn")</f>
        <v/>
      </c>
      <c r="D2626" t="inlineStr">
        <is>
          <t>貝殼紋 透白,14</t>
        </is>
      </c>
      <c r="E2626" t="inlineStr">
        <is>
          <t>182972264840</t>
        </is>
      </c>
      <c r="F2626">
        <f>IMAGE("https://cf.shopee.tw/file/sg-11134201-22100-9a5ya51cj8iv09_tn")</f>
        <v/>
      </c>
    </row>
    <row r="2627">
      <c r="A2627" t="inlineStr">
        <is>
          <t>20358451020</t>
        </is>
      </c>
      <c r="B2627" t="inlineStr">
        <is>
          <t>隔日到貨🔥 iPhone 手機殼 16 15 14 pro 13 12 11 XS XR SE X 保護殼 軟殼 蘋果</t>
        </is>
      </c>
      <c r="C2627">
        <f>IMAGE("https://cf.shopee.tw/file/sg-11134201-22100-0aknontbj8iv2b_tn")</f>
        <v/>
      </c>
      <c r="D2627" t="inlineStr">
        <is>
          <t>貝殼紋 透白,14 Pro</t>
        </is>
      </c>
      <c r="E2627" t="inlineStr">
        <is>
          <t>182972264837</t>
        </is>
      </c>
      <c r="F2627">
        <f>IMAGE("https://cf.shopee.tw/file/sg-11134201-22100-9a5ya51cj8iv09_tn")</f>
        <v/>
      </c>
    </row>
    <row r="2628">
      <c r="A2628" t="inlineStr">
        <is>
          <t>20358451020</t>
        </is>
      </c>
      <c r="B2628" t="inlineStr">
        <is>
          <t>隔日到貨🔥 iPhone 手機殼 16 15 14 pro 13 12 11 XS XR SE X 保護殼 軟殼 蘋果</t>
        </is>
      </c>
      <c r="C2628">
        <f>IMAGE("https://cf.shopee.tw/file/sg-11134201-22100-0aknontbj8iv2b_tn")</f>
        <v/>
      </c>
      <c r="D2628" t="inlineStr">
        <is>
          <t>貝殼紋 透白,14 Pro Max</t>
        </is>
      </c>
      <c r="E2628" t="inlineStr">
        <is>
          <t>182972264835</t>
        </is>
      </c>
      <c r="F2628">
        <f>IMAGE("https://cf.shopee.tw/file/sg-11134201-22100-9a5ya51cj8iv09_tn")</f>
        <v/>
      </c>
    </row>
    <row r="2629">
      <c r="A2629" t="inlineStr">
        <is>
          <t>20358451020</t>
        </is>
      </c>
      <c r="B2629" t="inlineStr">
        <is>
          <t>隔日到貨🔥 iPhone 手機殼 16 15 14 pro 13 12 11 XS XR SE X 保護殼 軟殼 蘋果</t>
        </is>
      </c>
      <c r="C2629">
        <f>IMAGE("https://cf.shopee.tw/file/sg-11134201-22100-0aknontbj8iv2b_tn")</f>
        <v/>
      </c>
      <c r="D2629" t="inlineStr">
        <is>
          <t>貝殼紋 透白,14 Plus</t>
        </is>
      </c>
      <c r="E2629" t="inlineStr">
        <is>
          <t>182972264856</t>
        </is>
      </c>
      <c r="F2629">
        <f>IMAGE("https://cf.shopee.tw/file/sg-11134201-22100-9a5ya51cj8iv09_tn")</f>
        <v/>
      </c>
    </row>
    <row r="2630">
      <c r="A2630" t="inlineStr">
        <is>
          <t>20358451020</t>
        </is>
      </c>
      <c r="B2630" t="inlineStr">
        <is>
          <t>隔日到貨🔥 iPhone 手機殼 16 15 14 pro 13 12 11 XS XR SE X 保護殼 軟殼 蘋果</t>
        </is>
      </c>
      <c r="C2630">
        <f>IMAGE("https://cf.shopee.tw/file/sg-11134201-22100-0aknontbj8iv2b_tn")</f>
        <v/>
      </c>
      <c r="D2630" t="inlineStr">
        <is>
          <t>貝殼紋 透白,15</t>
        </is>
      </c>
      <c r="E2630" t="inlineStr">
        <is>
          <t>235676943842</t>
        </is>
      </c>
      <c r="F2630">
        <f>IMAGE("https://cf.shopee.tw/file/sg-11134201-22100-9a5ya51cj8iv09_tn")</f>
        <v/>
      </c>
    </row>
    <row r="2631">
      <c r="A2631" t="inlineStr">
        <is>
          <t>20358451020</t>
        </is>
      </c>
      <c r="B2631" t="inlineStr">
        <is>
          <t>隔日到貨🔥 iPhone 手機殼 16 15 14 pro 13 12 11 XS XR SE X 保護殼 軟殼 蘋果</t>
        </is>
      </c>
      <c r="C2631">
        <f>IMAGE("https://cf.shopee.tw/file/sg-11134201-22100-0aknontbj8iv2b_tn")</f>
        <v/>
      </c>
      <c r="D2631" t="inlineStr">
        <is>
          <t>貝殼紋 透白,15 pro</t>
        </is>
      </c>
      <c r="E2631" t="inlineStr">
        <is>
          <t>235676943840</t>
        </is>
      </c>
      <c r="F2631">
        <f>IMAGE("https://cf.shopee.tw/file/sg-11134201-22100-9a5ya51cj8iv09_tn")</f>
        <v/>
      </c>
    </row>
    <row r="2632">
      <c r="A2632" t="inlineStr">
        <is>
          <t>20358451020</t>
        </is>
      </c>
      <c r="B2632" t="inlineStr">
        <is>
          <t>隔日到貨🔥 iPhone 手機殼 16 15 14 pro 13 12 11 XS XR SE X 保護殼 軟殼 蘋果</t>
        </is>
      </c>
      <c r="C2632">
        <f>IMAGE("https://cf.shopee.tw/file/sg-11134201-22100-0aknontbj8iv2b_tn")</f>
        <v/>
      </c>
      <c r="D2632" t="inlineStr">
        <is>
          <t>貝殼紋 透白,15 pro Max</t>
        </is>
      </c>
      <c r="E2632" t="inlineStr">
        <is>
          <t>235676943839</t>
        </is>
      </c>
      <c r="F2632">
        <f>IMAGE("https://cf.shopee.tw/file/sg-11134201-22100-9a5ya51cj8iv09_tn")</f>
        <v/>
      </c>
    </row>
    <row r="2633">
      <c r="A2633" t="inlineStr">
        <is>
          <t>20358451020</t>
        </is>
      </c>
      <c r="B2633" t="inlineStr">
        <is>
          <t>隔日到貨🔥 iPhone 手機殼 16 15 14 pro 13 12 11 XS XR SE X 保護殼 軟殼 蘋果</t>
        </is>
      </c>
      <c r="C2633">
        <f>IMAGE("https://cf.shopee.tw/file/sg-11134201-22100-0aknontbj8iv2b_tn")</f>
        <v/>
      </c>
      <c r="D2633" t="inlineStr">
        <is>
          <t>貝殼紋 透白,15 Plus</t>
        </is>
      </c>
      <c r="E2633" t="inlineStr">
        <is>
          <t>235676943837</t>
        </is>
      </c>
      <c r="F2633">
        <f>IMAGE("https://cf.shopee.tw/file/sg-11134201-22100-9a5ya51cj8iv09_tn")</f>
        <v/>
      </c>
    </row>
    <row r="2634">
      <c r="A2634" t="inlineStr">
        <is>
          <t>20358451020</t>
        </is>
      </c>
      <c r="B2634" t="inlineStr">
        <is>
          <t>隔日到貨🔥 iPhone 手機殼 16 15 14 pro 13 12 11 XS XR SE X 保護殼 軟殼 蘋果</t>
        </is>
      </c>
      <c r="C2634">
        <f>IMAGE("https://cf.shopee.tw/file/sg-11134201-22100-0aknontbj8iv2b_tn")</f>
        <v/>
      </c>
      <c r="D2634" t="inlineStr">
        <is>
          <t>貝殼紋 透白,16</t>
        </is>
      </c>
      <c r="E2634" t="inlineStr"/>
      <c r="F2634">
        <f>IMAGE("https://cf.shopee.tw/file/sg-11134201-22100-9a5ya51cj8iv09_tn")</f>
        <v/>
      </c>
    </row>
    <row r="2635">
      <c r="A2635" t="inlineStr">
        <is>
          <t>20358451020</t>
        </is>
      </c>
      <c r="B2635" t="inlineStr">
        <is>
          <t>隔日到貨🔥 iPhone 手機殼 16 15 14 pro 13 12 11 XS XR SE X 保護殼 軟殼 蘋果</t>
        </is>
      </c>
      <c r="C2635">
        <f>IMAGE("https://cf.shopee.tw/file/sg-11134201-22100-0aknontbj8iv2b_tn")</f>
        <v/>
      </c>
      <c r="D2635" t="inlineStr">
        <is>
          <t>貝殼紋 透白,16 pro</t>
        </is>
      </c>
      <c r="E2635" t="inlineStr">
        <is>
          <t>176688229552</t>
        </is>
      </c>
      <c r="F2635">
        <f>IMAGE("https://cf.shopee.tw/file/sg-11134201-22100-9a5ya51cj8iv09_tn")</f>
        <v/>
      </c>
    </row>
    <row r="2636">
      <c r="A2636" t="inlineStr">
        <is>
          <t>20358451020</t>
        </is>
      </c>
      <c r="B2636" t="inlineStr">
        <is>
          <t>隔日到貨🔥 iPhone 手機殼 16 15 14 pro 13 12 11 XS XR SE X 保護殼 軟殼 蘋果</t>
        </is>
      </c>
      <c r="C2636">
        <f>IMAGE("https://cf.shopee.tw/file/sg-11134201-22100-0aknontbj8iv2b_tn")</f>
        <v/>
      </c>
      <c r="D2636" t="inlineStr">
        <is>
          <t>貝殼紋 透白,16 pro Max</t>
        </is>
      </c>
      <c r="E2636" t="inlineStr"/>
      <c r="F2636">
        <f>IMAGE("https://cf.shopee.tw/file/sg-11134201-22100-9a5ya51cj8iv09_tn")</f>
        <v/>
      </c>
    </row>
    <row r="2637">
      <c r="A2637" t="inlineStr">
        <is>
          <t>20358451020</t>
        </is>
      </c>
      <c r="B2637" t="inlineStr">
        <is>
          <t>隔日到貨🔥 iPhone 手機殼 16 15 14 pro 13 12 11 XS XR SE X 保護殼 軟殼 蘋果</t>
        </is>
      </c>
      <c r="C2637">
        <f>IMAGE("https://cf.shopee.tw/file/sg-11134201-22100-0aknontbj8iv2b_tn")</f>
        <v/>
      </c>
      <c r="D2637" t="inlineStr">
        <is>
          <t>貝殼紋 透白,16 Plus</t>
        </is>
      </c>
      <c r="E2637" t="inlineStr">
        <is>
          <t>176688229554</t>
        </is>
      </c>
      <c r="F2637">
        <f>IMAGE("https://cf.shopee.tw/file/sg-11134201-22100-9a5ya51cj8iv09_tn")</f>
        <v/>
      </c>
    </row>
    <row r="2638">
      <c r="A2638" t="inlineStr">
        <is>
          <t>20358451020</t>
        </is>
      </c>
      <c r="B2638" t="inlineStr">
        <is>
          <t>隔日到貨🔥 iPhone 手機殼 16 15 14 pro 13 12 11 XS XR SE X 保護殼 軟殼 蘋果</t>
        </is>
      </c>
      <c r="C2638">
        <f>IMAGE("https://cf.shopee.tw/file/sg-11134201-22100-0aknontbj8iv2b_tn")</f>
        <v/>
      </c>
      <c r="D2638" t="inlineStr">
        <is>
          <t>貝殼紋 透白,17</t>
        </is>
      </c>
      <c r="E2638" t="inlineStr"/>
      <c r="F2638">
        <f>IMAGE("https://cf.shopee.tw/file/sg-11134201-22100-9a5ya51cj8iv09_tn")</f>
        <v/>
      </c>
    </row>
    <row r="2639">
      <c r="A2639" t="inlineStr">
        <is>
          <t>20358451020</t>
        </is>
      </c>
      <c r="B2639" t="inlineStr">
        <is>
          <t>隔日到貨🔥 iPhone 手機殼 16 15 14 pro 13 12 11 XS XR SE X 保護殼 軟殼 蘋果</t>
        </is>
      </c>
      <c r="C2639">
        <f>IMAGE("https://cf.shopee.tw/file/sg-11134201-22100-0aknontbj8iv2b_tn")</f>
        <v/>
      </c>
      <c r="D2639" t="inlineStr">
        <is>
          <t>貝殼紋 透白,17 pro</t>
        </is>
      </c>
      <c r="E2639" t="inlineStr">
        <is>
          <t>365671109640</t>
        </is>
      </c>
      <c r="F2639">
        <f>IMAGE("https://cf.shopee.tw/file/sg-11134201-22100-9a5ya51cj8iv09_tn")</f>
        <v/>
      </c>
    </row>
    <row r="2640">
      <c r="A2640" t="inlineStr">
        <is>
          <t>20358451020</t>
        </is>
      </c>
      <c r="B2640" t="inlineStr">
        <is>
          <t>隔日到貨🔥 iPhone 手機殼 16 15 14 pro 13 12 11 XS XR SE X 保護殼 軟殼 蘋果</t>
        </is>
      </c>
      <c r="C2640">
        <f>IMAGE("https://cf.shopee.tw/file/sg-11134201-22100-0aknontbj8iv2b_tn")</f>
        <v/>
      </c>
      <c r="D2640" t="inlineStr">
        <is>
          <t>貝殼紋 透白,17 Pro Max</t>
        </is>
      </c>
      <c r="E2640" t="inlineStr"/>
      <c r="F2640">
        <f>IMAGE("https://cf.shopee.tw/file/sg-11134201-22100-9a5ya51cj8iv09_tn")</f>
        <v/>
      </c>
    </row>
    <row r="2641">
      <c r="A2641" t="inlineStr">
        <is>
          <t>20358451020</t>
        </is>
      </c>
      <c r="B2641" t="inlineStr">
        <is>
          <t>隔日到貨🔥 iPhone 手機殼 16 15 14 pro 13 12 11 XS XR SE X 保護殼 軟殼 蘋果</t>
        </is>
      </c>
      <c r="C2641">
        <f>IMAGE("https://cf.shopee.tw/file/sg-11134201-22100-0aknontbj8iv2b_tn")</f>
        <v/>
      </c>
      <c r="D2641" t="inlineStr">
        <is>
          <t>貝殼紋 奶白,7/8/SE2/SE3</t>
        </is>
      </c>
      <c r="E2641" t="inlineStr">
        <is>
          <t>127022960571</t>
        </is>
      </c>
      <c r="F2641">
        <f>IMAGE("https://cf.shopee.tw/file/sg-11134201-22100-5482ks4cj8iv31_tn")</f>
        <v/>
      </c>
    </row>
    <row r="2642">
      <c r="A2642" t="inlineStr">
        <is>
          <t>20358451020</t>
        </is>
      </c>
      <c r="B2642" t="inlineStr">
        <is>
          <t>隔日到貨🔥 iPhone 手機殼 16 15 14 pro 13 12 11 XS XR SE X 保護殼 軟殼 蘋果</t>
        </is>
      </c>
      <c r="C2642">
        <f>IMAGE("https://cf.shopee.tw/file/sg-11134201-22100-0aknontbj8iv2b_tn")</f>
        <v/>
      </c>
      <c r="D2642" t="inlineStr">
        <is>
          <t>貝殼紋 奶白,7Plus/8plus</t>
        </is>
      </c>
      <c r="E2642" t="inlineStr">
        <is>
          <t>182972264846</t>
        </is>
      </c>
      <c r="F2642">
        <f>IMAGE("https://cf.shopee.tw/file/sg-11134201-22100-5482ks4cj8iv31_tn")</f>
        <v/>
      </c>
    </row>
    <row r="2643">
      <c r="A2643" t="inlineStr">
        <is>
          <t>20358451020</t>
        </is>
      </c>
      <c r="B2643" t="inlineStr">
        <is>
          <t>隔日到貨🔥 iPhone 手機殼 16 15 14 pro 13 12 11 XS XR SE X 保護殼 軟殼 蘋果</t>
        </is>
      </c>
      <c r="C2643">
        <f>IMAGE("https://cf.shopee.tw/file/sg-11134201-22100-0aknontbj8iv2b_tn")</f>
        <v/>
      </c>
      <c r="D2643" t="inlineStr">
        <is>
          <t>貝殼紋 奶白,X/XS</t>
        </is>
      </c>
      <c r="E2643" t="inlineStr"/>
      <c r="F2643">
        <f>IMAGE("https://cf.shopee.tw/file/sg-11134201-22100-5482ks4cj8iv31_tn")</f>
        <v/>
      </c>
    </row>
    <row r="2644">
      <c r="A2644" t="inlineStr">
        <is>
          <t>20358451020</t>
        </is>
      </c>
      <c r="B2644" t="inlineStr">
        <is>
          <t>隔日到貨🔥 iPhone 手機殼 16 15 14 pro 13 12 11 XS XR SE X 保護殼 軟殼 蘋果</t>
        </is>
      </c>
      <c r="C2644">
        <f>IMAGE("https://cf.shopee.tw/file/sg-11134201-22100-0aknontbj8iv2b_tn")</f>
        <v/>
      </c>
      <c r="D2644" t="inlineStr">
        <is>
          <t>貝殼紋 奶白,XR</t>
        </is>
      </c>
      <c r="E2644" t="inlineStr">
        <is>
          <t>182972264830</t>
        </is>
      </c>
      <c r="F2644">
        <f>IMAGE("https://cf.shopee.tw/file/sg-11134201-22100-5482ks4cj8iv31_tn")</f>
        <v/>
      </c>
    </row>
    <row r="2645">
      <c r="A2645" t="inlineStr">
        <is>
          <t>20358451020</t>
        </is>
      </c>
      <c r="B2645" t="inlineStr">
        <is>
          <t>隔日到貨🔥 iPhone 手機殼 16 15 14 pro 13 12 11 XS XR SE X 保護殼 軟殼 蘋果</t>
        </is>
      </c>
      <c r="C2645">
        <f>IMAGE("https://cf.shopee.tw/file/sg-11134201-22100-0aknontbj8iv2b_tn")</f>
        <v/>
      </c>
      <c r="D2645" t="inlineStr">
        <is>
          <t>貝殼紋 奶白,11</t>
        </is>
      </c>
      <c r="E2645" t="inlineStr">
        <is>
          <t>182972264851</t>
        </is>
      </c>
      <c r="F2645">
        <f>IMAGE("https://cf.shopee.tw/file/sg-11134201-22100-5482ks4cj8iv31_tn")</f>
        <v/>
      </c>
    </row>
    <row r="2646">
      <c r="A2646" t="inlineStr">
        <is>
          <t>20358451020</t>
        </is>
      </c>
      <c r="B2646" t="inlineStr">
        <is>
          <t>隔日到貨🔥 iPhone 手機殼 16 15 14 pro 13 12 11 XS XR SE X 保護殼 軟殼 蘋果</t>
        </is>
      </c>
      <c r="C2646">
        <f>IMAGE("https://cf.shopee.tw/file/sg-11134201-22100-0aknontbj8iv2b_tn")</f>
        <v/>
      </c>
      <c r="D2646" t="inlineStr">
        <is>
          <t>貝殼紋 奶白,11 Pro</t>
        </is>
      </c>
      <c r="E2646" t="inlineStr">
        <is>
          <t>182972264834</t>
        </is>
      </c>
      <c r="F2646">
        <f>IMAGE("https://cf.shopee.tw/file/sg-11134201-22100-5482ks4cj8iv31_tn")</f>
        <v/>
      </c>
    </row>
    <row r="2647">
      <c r="A2647" t="inlineStr">
        <is>
          <t>20358451020</t>
        </is>
      </c>
      <c r="B2647" t="inlineStr">
        <is>
          <t>隔日到貨🔥 iPhone 手機殼 16 15 14 pro 13 12 11 XS XR SE X 保護殼 軟殼 蘋果</t>
        </is>
      </c>
      <c r="C2647">
        <f>IMAGE("https://cf.shopee.tw/file/sg-11134201-22100-0aknontbj8iv2b_tn")</f>
        <v/>
      </c>
      <c r="D2647" t="inlineStr">
        <is>
          <t>貝殼紋 奶白,12</t>
        </is>
      </c>
      <c r="E2647" t="inlineStr">
        <is>
          <t>182972264827</t>
        </is>
      </c>
      <c r="F2647">
        <f>IMAGE("https://cf.shopee.tw/file/sg-11134201-22100-5482ks4cj8iv31_tn")</f>
        <v/>
      </c>
    </row>
    <row r="2648">
      <c r="A2648" t="inlineStr">
        <is>
          <t>20358451020</t>
        </is>
      </c>
      <c r="B2648" t="inlineStr">
        <is>
          <t>隔日到貨🔥 iPhone 手機殼 16 15 14 pro 13 12 11 XS XR SE X 保護殼 軟殼 蘋果</t>
        </is>
      </c>
      <c r="C2648">
        <f>IMAGE("https://cf.shopee.tw/file/sg-11134201-22100-0aknontbj8iv2b_tn")</f>
        <v/>
      </c>
      <c r="D2648" t="inlineStr">
        <is>
          <t>貝殼紋 奶白,12 Pro</t>
        </is>
      </c>
      <c r="E2648" t="inlineStr">
        <is>
          <t>182972264831</t>
        </is>
      </c>
      <c r="F2648">
        <f>IMAGE("https://cf.shopee.tw/file/sg-11134201-22100-5482ks4cj8iv31_tn")</f>
        <v/>
      </c>
    </row>
    <row r="2649">
      <c r="A2649" t="inlineStr">
        <is>
          <t>20358451020</t>
        </is>
      </c>
      <c r="B2649" t="inlineStr">
        <is>
          <t>隔日到貨🔥 iPhone 手機殼 16 15 14 pro 13 12 11 XS XR SE X 保護殼 軟殼 蘋果</t>
        </is>
      </c>
      <c r="C2649">
        <f>IMAGE("https://cf.shopee.tw/file/sg-11134201-22100-0aknontbj8iv2b_tn")</f>
        <v/>
      </c>
      <c r="D2649" t="inlineStr">
        <is>
          <t>貝殼紋 奶白,12 Pro Max</t>
        </is>
      </c>
      <c r="E2649" t="inlineStr">
        <is>
          <t>182972264847</t>
        </is>
      </c>
      <c r="F2649">
        <f>IMAGE("https://cf.shopee.tw/file/sg-11134201-22100-5482ks4cj8iv31_tn")</f>
        <v/>
      </c>
    </row>
    <row r="2650">
      <c r="A2650" t="inlineStr">
        <is>
          <t>20358451020</t>
        </is>
      </c>
      <c r="B2650" t="inlineStr">
        <is>
          <t>隔日到貨🔥 iPhone 手機殼 16 15 14 pro 13 12 11 XS XR SE X 保護殼 軟殼 蘋果</t>
        </is>
      </c>
      <c r="C2650">
        <f>IMAGE("https://cf.shopee.tw/file/sg-11134201-22100-0aknontbj8iv2b_tn")</f>
        <v/>
      </c>
      <c r="D2650" t="inlineStr">
        <is>
          <t>貝殼紋 奶白,13</t>
        </is>
      </c>
      <c r="E2650" t="inlineStr">
        <is>
          <t>182972264852</t>
        </is>
      </c>
      <c r="F2650">
        <f>IMAGE("https://cf.shopee.tw/file/sg-11134201-22100-5482ks4cj8iv31_tn")</f>
        <v/>
      </c>
    </row>
    <row r="2651">
      <c r="A2651" t="inlineStr">
        <is>
          <t>20358451020</t>
        </is>
      </c>
      <c r="B2651" t="inlineStr">
        <is>
          <t>隔日到貨🔥 iPhone 手機殼 16 15 14 pro 13 12 11 XS XR SE X 保護殼 軟殼 蘋果</t>
        </is>
      </c>
      <c r="C2651">
        <f>IMAGE("https://cf.shopee.tw/file/sg-11134201-22100-0aknontbj8iv2b_tn")</f>
        <v/>
      </c>
      <c r="D2651" t="inlineStr">
        <is>
          <t>貝殼紋 奶白,13 Pro</t>
        </is>
      </c>
      <c r="E2651" t="inlineStr">
        <is>
          <t>182972264828</t>
        </is>
      </c>
      <c r="F2651">
        <f>IMAGE("https://cf.shopee.tw/file/sg-11134201-22100-5482ks4cj8iv31_tn")</f>
        <v/>
      </c>
    </row>
    <row r="2652">
      <c r="A2652" t="inlineStr">
        <is>
          <t>20358451020</t>
        </is>
      </c>
      <c r="B2652" t="inlineStr">
        <is>
          <t>隔日到貨🔥 iPhone 手機殼 16 15 14 pro 13 12 11 XS XR SE X 保護殼 軟殼 蘋果</t>
        </is>
      </c>
      <c r="C2652">
        <f>IMAGE("https://cf.shopee.tw/file/sg-11134201-22100-0aknontbj8iv2b_tn")</f>
        <v/>
      </c>
      <c r="D2652" t="inlineStr">
        <is>
          <t>貝殼紋 奶白,13 Pro Max</t>
        </is>
      </c>
      <c r="E2652" t="inlineStr">
        <is>
          <t>182972264848</t>
        </is>
      </c>
      <c r="F2652">
        <f>IMAGE("https://cf.shopee.tw/file/sg-11134201-22100-5482ks4cj8iv31_tn")</f>
        <v/>
      </c>
    </row>
    <row r="2653">
      <c r="A2653" t="inlineStr">
        <is>
          <t>20358451020</t>
        </is>
      </c>
      <c r="B2653" t="inlineStr">
        <is>
          <t>隔日到貨🔥 iPhone 手機殼 16 15 14 pro 13 12 11 XS XR SE X 保護殼 軟殼 蘋果</t>
        </is>
      </c>
      <c r="C2653">
        <f>IMAGE("https://cf.shopee.tw/file/sg-11134201-22100-0aknontbj8iv2b_tn")</f>
        <v/>
      </c>
      <c r="D2653" t="inlineStr">
        <is>
          <t>貝殼紋 奶白,13 mini</t>
        </is>
      </c>
      <c r="E2653" t="inlineStr">
        <is>
          <t>204250487358</t>
        </is>
      </c>
      <c r="F2653">
        <f>IMAGE("https://cf.shopee.tw/file/sg-11134201-22100-5482ks4cj8iv31_tn")</f>
        <v/>
      </c>
    </row>
    <row r="2654">
      <c r="A2654" t="inlineStr">
        <is>
          <t>20358451020</t>
        </is>
      </c>
      <c r="B2654" t="inlineStr">
        <is>
          <t>隔日到貨🔥 iPhone 手機殼 16 15 14 pro 13 12 11 XS XR SE X 保護殼 軟殼 蘋果</t>
        </is>
      </c>
      <c r="C2654">
        <f>IMAGE("https://cf.shopee.tw/file/sg-11134201-22100-0aknontbj8iv2b_tn")</f>
        <v/>
      </c>
      <c r="D2654" t="inlineStr">
        <is>
          <t>貝殼紋 奶白,14</t>
        </is>
      </c>
      <c r="E2654" t="inlineStr">
        <is>
          <t>182972264853</t>
        </is>
      </c>
      <c r="F2654">
        <f>IMAGE("https://cf.shopee.tw/file/sg-11134201-22100-5482ks4cj8iv31_tn")</f>
        <v/>
      </c>
    </row>
    <row r="2655">
      <c r="A2655" t="inlineStr">
        <is>
          <t>20358451020</t>
        </is>
      </c>
      <c r="B2655" t="inlineStr">
        <is>
          <t>隔日到貨🔥 iPhone 手機殼 16 15 14 pro 13 12 11 XS XR SE X 保護殼 軟殼 蘋果</t>
        </is>
      </c>
      <c r="C2655">
        <f>IMAGE("https://cf.shopee.tw/file/sg-11134201-22100-0aknontbj8iv2b_tn")</f>
        <v/>
      </c>
      <c r="D2655" t="inlineStr">
        <is>
          <t>貝殼紋 奶白,14 Pro</t>
        </is>
      </c>
      <c r="E2655" t="inlineStr"/>
      <c r="F2655">
        <f>IMAGE("https://cf.shopee.tw/file/sg-11134201-22100-5482ks4cj8iv31_tn")</f>
        <v/>
      </c>
    </row>
    <row r="2656">
      <c r="A2656" t="inlineStr">
        <is>
          <t>20358451020</t>
        </is>
      </c>
      <c r="B2656" t="inlineStr">
        <is>
          <t>隔日到貨🔥 iPhone 手機殼 16 15 14 pro 13 12 11 XS XR SE X 保護殼 軟殼 蘋果</t>
        </is>
      </c>
      <c r="C2656">
        <f>IMAGE("https://cf.shopee.tw/file/sg-11134201-22100-0aknontbj8iv2b_tn")</f>
        <v/>
      </c>
      <c r="D2656" t="inlineStr">
        <is>
          <t>貝殼紋 奶白,14 Pro Max</t>
        </is>
      </c>
      <c r="E2656" t="inlineStr">
        <is>
          <t>182972264838</t>
        </is>
      </c>
      <c r="F2656">
        <f>IMAGE("https://cf.shopee.tw/file/sg-11134201-22100-5482ks4cj8iv31_tn")</f>
        <v/>
      </c>
    </row>
    <row r="2657">
      <c r="A2657" t="inlineStr">
        <is>
          <t>20358451020</t>
        </is>
      </c>
      <c r="B2657" t="inlineStr">
        <is>
          <t>隔日到貨🔥 iPhone 手機殼 16 15 14 pro 13 12 11 XS XR SE X 保護殼 軟殼 蘋果</t>
        </is>
      </c>
      <c r="C2657">
        <f>IMAGE("https://cf.shopee.tw/file/sg-11134201-22100-0aknontbj8iv2b_tn")</f>
        <v/>
      </c>
      <c r="D2657" t="inlineStr">
        <is>
          <t>貝殼紋 奶白,14 Plus</t>
        </is>
      </c>
      <c r="E2657" t="inlineStr">
        <is>
          <t>182972264854</t>
        </is>
      </c>
      <c r="F2657">
        <f>IMAGE("https://cf.shopee.tw/file/sg-11134201-22100-5482ks4cj8iv31_tn")</f>
        <v/>
      </c>
    </row>
    <row r="2658">
      <c r="A2658" t="inlineStr">
        <is>
          <t>20358451020</t>
        </is>
      </c>
      <c r="B2658" t="inlineStr">
        <is>
          <t>隔日到貨🔥 iPhone 手機殼 16 15 14 pro 13 12 11 XS XR SE X 保護殼 軟殼 蘋果</t>
        </is>
      </c>
      <c r="C2658">
        <f>IMAGE("https://cf.shopee.tw/file/sg-11134201-22100-0aknontbj8iv2b_tn")</f>
        <v/>
      </c>
      <c r="D2658" t="inlineStr">
        <is>
          <t>貝殼紋 奶白,15</t>
        </is>
      </c>
      <c r="E2658" t="inlineStr">
        <is>
          <t>235676943838</t>
        </is>
      </c>
      <c r="F2658">
        <f>IMAGE("https://cf.shopee.tw/file/sg-11134201-22100-5482ks4cj8iv31_tn")</f>
        <v/>
      </c>
    </row>
    <row r="2659">
      <c r="A2659" t="inlineStr">
        <is>
          <t>20358451020</t>
        </is>
      </c>
      <c r="B2659" t="inlineStr">
        <is>
          <t>隔日到貨🔥 iPhone 手機殼 16 15 14 pro 13 12 11 XS XR SE X 保護殼 軟殼 蘋果</t>
        </is>
      </c>
      <c r="C2659">
        <f>IMAGE("https://cf.shopee.tw/file/sg-11134201-22100-0aknontbj8iv2b_tn")</f>
        <v/>
      </c>
      <c r="D2659" t="inlineStr">
        <is>
          <t>貝殼紋 奶白,15 pro</t>
        </is>
      </c>
      <c r="E2659" t="inlineStr">
        <is>
          <t>235676943843</t>
        </is>
      </c>
      <c r="F2659">
        <f>IMAGE("https://cf.shopee.tw/file/sg-11134201-22100-5482ks4cj8iv31_tn")</f>
        <v/>
      </c>
    </row>
    <row r="2660">
      <c r="A2660" t="inlineStr">
        <is>
          <t>20358451020</t>
        </is>
      </c>
      <c r="B2660" t="inlineStr">
        <is>
          <t>隔日到貨🔥 iPhone 手機殼 16 15 14 pro 13 12 11 XS XR SE X 保護殼 軟殼 蘋果</t>
        </is>
      </c>
      <c r="C2660">
        <f>IMAGE("https://cf.shopee.tw/file/sg-11134201-22100-0aknontbj8iv2b_tn")</f>
        <v/>
      </c>
      <c r="D2660" t="inlineStr">
        <is>
          <t>貝殼紋 奶白,15 pro Max</t>
        </is>
      </c>
      <c r="E2660" t="inlineStr"/>
      <c r="F2660">
        <f>IMAGE("https://cf.shopee.tw/file/sg-11134201-22100-5482ks4cj8iv31_tn")</f>
        <v/>
      </c>
    </row>
    <row r="2661">
      <c r="A2661" t="inlineStr">
        <is>
          <t>20358451020</t>
        </is>
      </c>
      <c r="B2661" t="inlineStr">
        <is>
          <t>隔日到貨🔥 iPhone 手機殼 16 15 14 pro 13 12 11 XS XR SE X 保護殼 軟殼 蘋果</t>
        </is>
      </c>
      <c r="C2661">
        <f>IMAGE("https://cf.shopee.tw/file/sg-11134201-22100-0aknontbj8iv2b_tn")</f>
        <v/>
      </c>
      <c r="D2661" t="inlineStr">
        <is>
          <t>貝殼紋 奶白,15 Plus</t>
        </is>
      </c>
      <c r="E2661" t="inlineStr"/>
      <c r="F2661">
        <f>IMAGE("https://cf.shopee.tw/file/sg-11134201-22100-5482ks4cj8iv31_tn")</f>
        <v/>
      </c>
    </row>
    <row r="2662">
      <c r="A2662" t="inlineStr">
        <is>
          <t>20358451020</t>
        </is>
      </c>
      <c r="B2662" t="inlineStr">
        <is>
          <t>隔日到貨🔥 iPhone 手機殼 16 15 14 pro 13 12 11 XS XR SE X 保護殼 軟殼 蘋果</t>
        </is>
      </c>
      <c r="C2662">
        <f>IMAGE("https://cf.shopee.tw/file/sg-11134201-22100-0aknontbj8iv2b_tn")</f>
        <v/>
      </c>
      <c r="D2662" t="inlineStr">
        <is>
          <t>貝殼紋 奶白,16</t>
        </is>
      </c>
      <c r="E2662" t="inlineStr">
        <is>
          <t>176688229555</t>
        </is>
      </c>
      <c r="F2662">
        <f>IMAGE("https://cf.shopee.tw/file/sg-11134201-22100-5482ks4cj8iv31_tn")</f>
        <v/>
      </c>
    </row>
    <row r="2663">
      <c r="A2663" t="inlineStr">
        <is>
          <t>20358451020</t>
        </is>
      </c>
      <c r="B2663" t="inlineStr">
        <is>
          <t>隔日到貨🔥 iPhone 手機殼 16 15 14 pro 13 12 11 XS XR SE X 保護殼 軟殼 蘋果</t>
        </is>
      </c>
      <c r="C2663">
        <f>IMAGE("https://cf.shopee.tw/file/sg-11134201-22100-0aknontbj8iv2b_tn")</f>
        <v/>
      </c>
      <c r="D2663" t="inlineStr">
        <is>
          <t>貝殼紋 奶白,16 pro</t>
        </is>
      </c>
      <c r="E2663" t="inlineStr">
        <is>
          <t>176688229556</t>
        </is>
      </c>
      <c r="F2663">
        <f>IMAGE("https://cf.shopee.tw/file/sg-11134201-22100-5482ks4cj8iv31_tn")</f>
        <v/>
      </c>
    </row>
    <row r="2664">
      <c r="A2664" t="inlineStr">
        <is>
          <t>20358451020</t>
        </is>
      </c>
      <c r="B2664" t="inlineStr">
        <is>
          <t>隔日到貨🔥 iPhone 手機殼 16 15 14 pro 13 12 11 XS XR SE X 保護殼 軟殼 蘋果</t>
        </is>
      </c>
      <c r="C2664">
        <f>IMAGE("https://cf.shopee.tw/file/sg-11134201-22100-0aknontbj8iv2b_tn")</f>
        <v/>
      </c>
      <c r="D2664" t="inlineStr">
        <is>
          <t>貝殼紋 奶白,16 pro Max</t>
        </is>
      </c>
      <c r="E2664" t="inlineStr"/>
      <c r="F2664">
        <f>IMAGE("https://cf.shopee.tw/file/sg-11134201-22100-5482ks4cj8iv31_tn")</f>
        <v/>
      </c>
    </row>
    <row r="2665">
      <c r="A2665" t="inlineStr">
        <is>
          <t>20358451020</t>
        </is>
      </c>
      <c r="B2665" t="inlineStr">
        <is>
          <t>隔日到貨🔥 iPhone 手機殼 16 15 14 pro 13 12 11 XS XR SE X 保護殼 軟殼 蘋果</t>
        </is>
      </c>
      <c r="C2665">
        <f>IMAGE("https://cf.shopee.tw/file/sg-11134201-22100-0aknontbj8iv2b_tn")</f>
        <v/>
      </c>
      <c r="D2665" t="inlineStr">
        <is>
          <t>貝殼紋 奶白,16 Plus</t>
        </is>
      </c>
      <c r="E2665" t="inlineStr">
        <is>
          <t>176688229558</t>
        </is>
      </c>
      <c r="F2665">
        <f>IMAGE("https://cf.shopee.tw/file/sg-11134201-22100-5482ks4cj8iv31_tn")</f>
        <v/>
      </c>
    </row>
    <row r="2666">
      <c r="A2666" t="inlineStr">
        <is>
          <t>20358451020</t>
        </is>
      </c>
      <c r="B2666" t="inlineStr">
        <is>
          <t>隔日到貨🔥 iPhone 手機殼 16 15 14 pro 13 12 11 XS XR SE X 保護殼 軟殼 蘋果</t>
        </is>
      </c>
      <c r="C2666">
        <f>IMAGE("https://cf.shopee.tw/file/sg-11134201-22100-0aknontbj8iv2b_tn")</f>
        <v/>
      </c>
      <c r="D2666" t="inlineStr">
        <is>
          <t>貝殼紋 奶白,17</t>
        </is>
      </c>
      <c r="E2666" t="inlineStr"/>
      <c r="F2666">
        <f>IMAGE("https://cf.shopee.tw/file/sg-11134201-22100-5482ks4cj8iv31_tn")</f>
        <v/>
      </c>
    </row>
    <row r="2667">
      <c r="A2667" t="inlineStr">
        <is>
          <t>20358451020</t>
        </is>
      </c>
      <c r="B2667" t="inlineStr">
        <is>
          <t>隔日到貨🔥 iPhone 手機殼 16 15 14 pro 13 12 11 XS XR SE X 保護殼 軟殼 蘋果</t>
        </is>
      </c>
      <c r="C2667">
        <f>IMAGE("https://cf.shopee.tw/file/sg-11134201-22100-0aknontbj8iv2b_tn")</f>
        <v/>
      </c>
      <c r="D2667" t="inlineStr">
        <is>
          <t>貝殼紋 奶白,17 pro</t>
        </is>
      </c>
      <c r="E2667" t="inlineStr"/>
      <c r="F2667">
        <f>IMAGE("https://cf.shopee.tw/file/sg-11134201-22100-5482ks4cj8iv31_tn")</f>
        <v/>
      </c>
    </row>
    <row r="2668">
      <c r="A2668" t="inlineStr">
        <is>
          <t>20358451020</t>
        </is>
      </c>
      <c r="B2668" t="inlineStr">
        <is>
          <t>隔日到貨🔥 iPhone 手機殼 16 15 14 pro 13 12 11 XS XR SE X 保護殼 軟殼 蘋果</t>
        </is>
      </c>
      <c r="C2668">
        <f>IMAGE("https://cf.shopee.tw/file/sg-11134201-22100-0aknontbj8iv2b_tn")</f>
        <v/>
      </c>
      <c r="D2668" t="inlineStr">
        <is>
          <t>貝殼紋 奶白,17 Pro Max</t>
        </is>
      </c>
      <c r="E2668" t="inlineStr"/>
      <c r="F2668">
        <f>IMAGE("https://cf.shopee.tw/file/sg-11134201-22100-5482ks4cj8iv31_tn")</f>
        <v/>
      </c>
    </row>
    <row r="2669">
      <c r="A2669" t="inlineStr">
        <is>
          <t>6395216617</t>
        </is>
      </c>
      <c r="B2669" t="inlineStr">
        <is>
          <t>隔日到貨🔥 iPhone 手機殼 17 16 15 14 13 12 11 XS XR SE3 X 保護殼 軟殼 蘋果</t>
        </is>
      </c>
      <c r="C2669">
        <f>IMAGE("https://cf.shopee.tw/file/3b417a33ea2a2a5ec3c43750ab753a1d_tn")</f>
        <v/>
      </c>
      <c r="D2669" t="inlineStr">
        <is>
          <t>7 / 8 / SE2 / SE3</t>
        </is>
      </c>
      <c r="E2669" t="inlineStr">
        <is>
          <t>56546294316</t>
        </is>
      </c>
      <c r="F2669">
        <f>IMAGE("https://deo.shopeemobile.com/shopee/shopee-seller-live-sg/mmf_portal_seller_root_dir/static/modules/product-list/image/default-item-model-image.2601159.png")</f>
        <v/>
      </c>
    </row>
    <row r="2670">
      <c r="A2670" t="inlineStr">
        <is>
          <t>6395216617</t>
        </is>
      </c>
      <c r="B2670" t="inlineStr">
        <is>
          <t>隔日到貨🔥 iPhone 手機殼 17 16 15 14 13 12 11 XS XR SE3 X 保護殼 軟殼 蘋果</t>
        </is>
      </c>
      <c r="C2670">
        <f>IMAGE("https://cf.shopee.tw/file/3b417a33ea2a2a5ec3c43750ab753a1d_tn")</f>
        <v/>
      </c>
      <c r="D2670" t="inlineStr">
        <is>
          <t>7Plus / 8Plus</t>
        </is>
      </c>
      <c r="E2670" t="inlineStr">
        <is>
          <t>56546294310</t>
        </is>
      </c>
      <c r="F2670">
        <f>IMAGE("https://deo.shopeemobile.com/shopee/shopee-seller-live-sg/mmf_portal_seller_root_dir/static/modules/product-list/image/default-item-model-image.2601159.png")</f>
        <v/>
      </c>
    </row>
    <row r="2671">
      <c r="A2671" t="inlineStr">
        <is>
          <t>6395216617</t>
        </is>
      </c>
      <c r="B2671" t="inlineStr">
        <is>
          <t>隔日到貨🔥 iPhone 手機殼 17 16 15 14 13 12 11 XS XR SE3 X 保護殼 軟殼 蘋果</t>
        </is>
      </c>
      <c r="C2671">
        <f>IMAGE("https://cf.shopee.tw/file/3b417a33ea2a2a5ec3c43750ab753a1d_tn")</f>
        <v/>
      </c>
      <c r="D2671" t="inlineStr">
        <is>
          <t>X / XS</t>
        </is>
      </c>
      <c r="E2671" t="inlineStr">
        <is>
          <t>56546294321</t>
        </is>
      </c>
      <c r="F2671">
        <f>IMAGE("https://deo.shopeemobile.com/shopee/shopee-seller-live-sg/mmf_portal_seller_root_dir/static/modules/product-list/image/default-item-model-image.2601159.png")</f>
        <v/>
      </c>
    </row>
    <row r="2672">
      <c r="A2672" t="inlineStr">
        <is>
          <t>6395216617</t>
        </is>
      </c>
      <c r="B2672" t="inlineStr">
        <is>
          <t>隔日到貨🔥 iPhone 手機殼 17 16 15 14 13 12 11 XS XR SE3 X 保護殼 軟殼 蘋果</t>
        </is>
      </c>
      <c r="C2672">
        <f>IMAGE("https://cf.shopee.tw/file/3b417a33ea2a2a5ec3c43750ab753a1d_tn")</f>
        <v/>
      </c>
      <c r="D2672" t="inlineStr">
        <is>
          <t>XR</t>
        </is>
      </c>
      <c r="E2672" t="inlineStr">
        <is>
          <t>56546294311</t>
        </is>
      </c>
      <c r="F2672">
        <f>IMAGE("https://deo.shopeemobile.com/shopee/shopee-seller-live-sg/mmf_portal_seller_root_dir/static/modules/product-list/image/default-item-model-image.2601159.png")</f>
        <v/>
      </c>
    </row>
    <row r="2673">
      <c r="A2673" t="inlineStr">
        <is>
          <t>6395216617</t>
        </is>
      </c>
      <c r="B2673" t="inlineStr">
        <is>
          <t>隔日到貨🔥 iPhone 手機殼 17 16 15 14 13 12 11 XS XR SE3 X 保護殼 軟殼 蘋果</t>
        </is>
      </c>
      <c r="C2673">
        <f>IMAGE("https://cf.shopee.tw/file/3b417a33ea2a2a5ec3c43750ab753a1d_tn")</f>
        <v/>
      </c>
      <c r="D2673" t="inlineStr">
        <is>
          <t>XS Max</t>
        </is>
      </c>
      <c r="E2673" t="inlineStr">
        <is>
          <t>56546294317</t>
        </is>
      </c>
      <c r="F2673">
        <f>IMAGE("https://deo.shopeemobile.com/shopee/shopee-seller-live-sg/mmf_portal_seller_root_dir/static/modules/product-list/image/default-item-model-image.2601159.png")</f>
        <v/>
      </c>
    </row>
    <row r="2674">
      <c r="A2674" t="inlineStr">
        <is>
          <t>6395216617</t>
        </is>
      </c>
      <c r="B2674" t="inlineStr">
        <is>
          <t>隔日到貨🔥 iPhone 手機殼 17 16 15 14 13 12 11 XS XR SE3 X 保護殼 軟殼 蘋果</t>
        </is>
      </c>
      <c r="C2674">
        <f>IMAGE("https://cf.shopee.tw/file/3b417a33ea2a2a5ec3c43750ab753a1d_tn")</f>
        <v/>
      </c>
      <c r="D2674" t="inlineStr">
        <is>
          <t>11</t>
        </is>
      </c>
      <c r="E2674" t="inlineStr">
        <is>
          <t>56546294318</t>
        </is>
      </c>
      <c r="F2674">
        <f>IMAGE("https://deo.shopeemobile.com/shopee/shopee-seller-live-sg/mmf_portal_seller_root_dir/static/modules/product-list/image/default-item-model-image.2601159.png")</f>
        <v/>
      </c>
    </row>
    <row r="2675">
      <c r="A2675" t="inlineStr">
        <is>
          <t>6395216617</t>
        </is>
      </c>
      <c r="B2675" t="inlineStr">
        <is>
          <t>隔日到貨🔥 iPhone 手機殼 17 16 15 14 13 12 11 XS XR SE3 X 保護殼 軟殼 蘋果</t>
        </is>
      </c>
      <c r="C2675">
        <f>IMAGE("https://cf.shopee.tw/file/3b417a33ea2a2a5ec3c43750ab753a1d_tn")</f>
        <v/>
      </c>
      <c r="D2675" t="inlineStr">
        <is>
          <t>11 pro</t>
        </is>
      </c>
      <c r="E2675" t="inlineStr">
        <is>
          <t>56546294312</t>
        </is>
      </c>
      <c r="F2675">
        <f>IMAGE("https://deo.shopeemobile.com/shopee/shopee-seller-live-sg/mmf_portal_seller_root_dir/static/modules/product-list/image/default-item-model-image.2601159.png")</f>
        <v/>
      </c>
    </row>
    <row r="2676">
      <c r="A2676" t="inlineStr">
        <is>
          <t>6395216617</t>
        </is>
      </c>
      <c r="B2676" t="inlineStr">
        <is>
          <t>隔日到貨🔥 iPhone 手機殼 17 16 15 14 13 12 11 XS XR SE3 X 保護殼 軟殼 蘋果</t>
        </is>
      </c>
      <c r="C2676">
        <f>IMAGE("https://cf.shopee.tw/file/3b417a33ea2a2a5ec3c43750ab753a1d_tn")</f>
        <v/>
      </c>
      <c r="D2676" t="inlineStr">
        <is>
          <t>11 pro Max</t>
        </is>
      </c>
      <c r="E2676" t="inlineStr">
        <is>
          <t>56546294313</t>
        </is>
      </c>
      <c r="F2676">
        <f>IMAGE("https://deo.shopeemobile.com/shopee/shopee-seller-live-sg/mmf_portal_seller_root_dir/static/modules/product-list/image/default-item-model-image.2601159.png")</f>
        <v/>
      </c>
    </row>
    <row r="2677">
      <c r="A2677" t="inlineStr">
        <is>
          <t>6395216617</t>
        </is>
      </c>
      <c r="B2677" t="inlineStr">
        <is>
          <t>隔日到貨🔥 iPhone 手機殼 17 16 15 14 13 12 11 XS XR SE3 X 保護殼 軟殼 蘋果</t>
        </is>
      </c>
      <c r="C2677">
        <f>IMAGE("https://cf.shopee.tw/file/3b417a33ea2a2a5ec3c43750ab753a1d_tn")</f>
        <v/>
      </c>
      <c r="D2677" t="inlineStr">
        <is>
          <t>12</t>
        </is>
      </c>
      <c r="E2677" t="inlineStr">
        <is>
          <t>56546294319</t>
        </is>
      </c>
      <c r="F2677">
        <f>IMAGE("https://deo.shopeemobile.com/shopee/shopee-seller-live-sg/mmf_portal_seller_root_dir/static/modules/product-list/image/default-item-model-image.2601159.png")</f>
        <v/>
      </c>
    </row>
    <row r="2678">
      <c r="A2678" t="inlineStr">
        <is>
          <t>6395216617</t>
        </is>
      </c>
      <c r="B2678" t="inlineStr">
        <is>
          <t>隔日到貨🔥 iPhone 手機殼 17 16 15 14 13 12 11 XS XR SE3 X 保護殼 軟殼 蘋果</t>
        </is>
      </c>
      <c r="C2678">
        <f>IMAGE("https://cf.shopee.tw/file/3b417a33ea2a2a5ec3c43750ab753a1d_tn")</f>
        <v/>
      </c>
      <c r="D2678" t="inlineStr">
        <is>
          <t>12 pro</t>
        </is>
      </c>
      <c r="E2678" t="inlineStr">
        <is>
          <t>56546294314</t>
        </is>
      </c>
      <c r="F2678">
        <f>IMAGE("https://deo.shopeemobile.com/shopee/shopee-seller-live-sg/mmf_portal_seller_root_dir/static/modules/product-list/image/default-item-model-image.2601159.png")</f>
        <v/>
      </c>
    </row>
    <row r="2679">
      <c r="A2679" t="inlineStr">
        <is>
          <t>6395216617</t>
        </is>
      </c>
      <c r="B2679" t="inlineStr">
        <is>
          <t>隔日到貨🔥 iPhone 手機殼 17 16 15 14 13 12 11 XS XR SE3 X 保護殼 軟殼 蘋果</t>
        </is>
      </c>
      <c r="C2679">
        <f>IMAGE("https://cf.shopee.tw/file/3b417a33ea2a2a5ec3c43750ab753a1d_tn")</f>
        <v/>
      </c>
      <c r="D2679" t="inlineStr">
        <is>
          <t>12 pro Max</t>
        </is>
      </c>
      <c r="E2679" t="inlineStr">
        <is>
          <t>56546294320</t>
        </is>
      </c>
      <c r="F2679">
        <f>IMAGE("https://deo.shopeemobile.com/shopee/shopee-seller-live-sg/mmf_portal_seller_root_dir/static/modules/product-list/image/default-item-model-image.2601159.png")</f>
        <v/>
      </c>
    </row>
    <row r="2680">
      <c r="A2680" t="inlineStr">
        <is>
          <t>6395216617</t>
        </is>
      </c>
      <c r="B2680" t="inlineStr">
        <is>
          <t>隔日到貨🔥 iPhone 手機殼 17 16 15 14 13 12 11 XS XR SE3 X 保護殼 軟殼 蘋果</t>
        </is>
      </c>
      <c r="C2680">
        <f>IMAGE("https://cf.shopee.tw/file/3b417a33ea2a2a5ec3c43750ab753a1d_tn")</f>
        <v/>
      </c>
      <c r="D2680" t="inlineStr">
        <is>
          <t>12 mini</t>
        </is>
      </c>
      <c r="E2680" t="inlineStr">
        <is>
          <t>56546294315</t>
        </is>
      </c>
      <c r="F2680">
        <f>IMAGE("https://deo.shopeemobile.com/shopee/shopee-seller-live-sg/mmf_portal_seller_root_dir/static/modules/product-list/image/default-item-model-image.2601159.png")</f>
        <v/>
      </c>
    </row>
    <row r="2681">
      <c r="A2681" t="inlineStr">
        <is>
          <t>6395216617</t>
        </is>
      </c>
      <c r="B2681" t="inlineStr">
        <is>
          <t>隔日到貨🔥 iPhone 手機殼 17 16 15 14 13 12 11 XS XR SE3 X 保護殼 軟殼 蘋果</t>
        </is>
      </c>
      <c r="C2681">
        <f>IMAGE("https://cf.shopee.tw/file/3b417a33ea2a2a5ec3c43750ab753a1d_tn")</f>
        <v/>
      </c>
      <c r="D2681" t="inlineStr">
        <is>
          <t>13</t>
        </is>
      </c>
      <c r="E2681" t="inlineStr">
        <is>
          <t>85140960907</t>
        </is>
      </c>
      <c r="F2681">
        <f>IMAGE("https://deo.shopeemobile.com/shopee/shopee-seller-live-sg/mmf_portal_seller_root_dir/static/modules/product-list/image/default-item-model-image.2601159.png")</f>
        <v/>
      </c>
    </row>
    <row r="2682">
      <c r="A2682" t="inlineStr">
        <is>
          <t>6395216617</t>
        </is>
      </c>
      <c r="B2682" t="inlineStr">
        <is>
          <t>隔日到貨🔥 iPhone 手機殼 17 16 15 14 13 12 11 XS XR SE3 X 保護殼 軟殼 蘋果</t>
        </is>
      </c>
      <c r="C2682">
        <f>IMAGE("https://cf.shopee.tw/file/3b417a33ea2a2a5ec3c43750ab753a1d_tn")</f>
        <v/>
      </c>
      <c r="D2682" t="inlineStr">
        <is>
          <t>13 pro</t>
        </is>
      </c>
      <c r="E2682" t="inlineStr">
        <is>
          <t>85140960906</t>
        </is>
      </c>
      <c r="F2682">
        <f>IMAGE("https://deo.shopeemobile.com/shopee/shopee-seller-live-sg/mmf_portal_seller_root_dir/static/modules/product-list/image/default-item-model-image.2601159.png")</f>
        <v/>
      </c>
    </row>
    <row r="2683">
      <c r="A2683" t="inlineStr">
        <is>
          <t>6395216617</t>
        </is>
      </c>
      <c r="B2683" t="inlineStr">
        <is>
          <t>隔日到貨🔥 iPhone 手機殼 17 16 15 14 13 12 11 XS XR SE3 X 保護殼 軟殼 蘋果</t>
        </is>
      </c>
      <c r="C2683">
        <f>IMAGE("https://cf.shopee.tw/file/3b417a33ea2a2a5ec3c43750ab753a1d_tn")</f>
        <v/>
      </c>
      <c r="D2683" t="inlineStr">
        <is>
          <t>13 pro Max</t>
        </is>
      </c>
      <c r="E2683" t="inlineStr">
        <is>
          <t>85140960908</t>
        </is>
      </c>
      <c r="F2683">
        <f>IMAGE("https://deo.shopeemobile.com/shopee/shopee-seller-live-sg/mmf_portal_seller_root_dir/static/modules/product-list/image/default-item-model-image.2601159.png")</f>
        <v/>
      </c>
    </row>
    <row r="2684">
      <c r="A2684" t="inlineStr">
        <is>
          <t>6395216617</t>
        </is>
      </c>
      <c r="B2684" t="inlineStr">
        <is>
          <t>隔日到貨🔥 iPhone 手機殼 17 16 15 14 13 12 11 XS XR SE3 X 保護殼 軟殼 蘋果</t>
        </is>
      </c>
      <c r="C2684">
        <f>IMAGE("https://cf.shopee.tw/file/3b417a33ea2a2a5ec3c43750ab753a1d_tn")</f>
        <v/>
      </c>
      <c r="D2684" t="inlineStr">
        <is>
          <t>13 mini</t>
        </is>
      </c>
      <c r="E2684" t="inlineStr">
        <is>
          <t>225143332861</t>
        </is>
      </c>
      <c r="F2684">
        <f>IMAGE("https://deo.shopeemobile.com/shopee/shopee-seller-live-sg/mmf_portal_seller_root_dir/static/modules/product-list/image/default-item-model-image.2601159.png")</f>
        <v/>
      </c>
    </row>
    <row r="2685">
      <c r="A2685" t="inlineStr">
        <is>
          <t>6395216617</t>
        </is>
      </c>
      <c r="B2685" t="inlineStr">
        <is>
          <t>隔日到貨🔥 iPhone 手機殼 17 16 15 14 13 12 11 XS XR SE3 X 保護殼 軟殼 蘋果</t>
        </is>
      </c>
      <c r="C2685">
        <f>IMAGE("https://cf.shopee.tw/file/3b417a33ea2a2a5ec3c43750ab753a1d_tn")</f>
        <v/>
      </c>
      <c r="D2685" t="inlineStr">
        <is>
          <t>14</t>
        </is>
      </c>
      <c r="E2685" t="inlineStr">
        <is>
          <t>98338801534</t>
        </is>
      </c>
      <c r="F2685">
        <f>IMAGE("https://deo.shopeemobile.com/shopee/shopee-seller-live-sg/mmf_portal_seller_root_dir/static/modules/product-list/image/default-item-model-image.2601159.png")</f>
        <v/>
      </c>
    </row>
    <row r="2686">
      <c r="A2686" t="inlineStr">
        <is>
          <t>6395216617</t>
        </is>
      </c>
      <c r="B2686" t="inlineStr">
        <is>
          <t>隔日到貨🔥 iPhone 手機殼 17 16 15 14 13 12 11 XS XR SE3 X 保護殼 軟殼 蘋果</t>
        </is>
      </c>
      <c r="C2686">
        <f>IMAGE("https://cf.shopee.tw/file/3b417a33ea2a2a5ec3c43750ab753a1d_tn")</f>
        <v/>
      </c>
      <c r="D2686" t="inlineStr">
        <is>
          <t>14 Plus</t>
        </is>
      </c>
      <c r="E2686" t="inlineStr"/>
      <c r="F2686">
        <f>IMAGE("https://deo.shopeemobile.com/shopee/shopee-seller-live-sg/mmf_portal_seller_root_dir/static/modules/product-list/image/default-item-model-image.2601159.png")</f>
        <v/>
      </c>
    </row>
    <row r="2687">
      <c r="A2687" t="inlineStr">
        <is>
          <t>6395216617</t>
        </is>
      </c>
      <c r="B2687" t="inlineStr">
        <is>
          <t>隔日到貨🔥 iPhone 手機殼 17 16 15 14 13 12 11 XS XR SE3 X 保護殼 軟殼 蘋果</t>
        </is>
      </c>
      <c r="C2687">
        <f>IMAGE("https://cf.shopee.tw/file/3b417a33ea2a2a5ec3c43750ab753a1d_tn")</f>
        <v/>
      </c>
      <c r="D2687" t="inlineStr">
        <is>
          <t>14 pro</t>
        </is>
      </c>
      <c r="E2687" t="inlineStr">
        <is>
          <t>98338801536</t>
        </is>
      </c>
      <c r="F2687">
        <f>IMAGE("https://deo.shopeemobile.com/shopee/shopee-seller-live-sg/mmf_portal_seller_root_dir/static/modules/product-list/image/default-item-model-image.2601159.png")</f>
        <v/>
      </c>
    </row>
    <row r="2688">
      <c r="A2688" t="inlineStr">
        <is>
          <t>6395216617</t>
        </is>
      </c>
      <c r="B2688" t="inlineStr">
        <is>
          <t>隔日到貨🔥 iPhone 手機殼 17 16 15 14 13 12 11 XS XR SE3 X 保護殼 軟殼 蘋果</t>
        </is>
      </c>
      <c r="C2688">
        <f>IMAGE("https://cf.shopee.tw/file/3b417a33ea2a2a5ec3c43750ab753a1d_tn")</f>
        <v/>
      </c>
      <c r="D2688" t="inlineStr">
        <is>
          <t>14 pro Max</t>
        </is>
      </c>
      <c r="E2688" t="inlineStr">
        <is>
          <t>98338801533</t>
        </is>
      </c>
      <c r="F2688">
        <f>IMAGE("https://deo.shopeemobile.com/shopee/shopee-seller-live-sg/mmf_portal_seller_root_dir/static/modules/product-list/image/default-item-model-image.2601159.png")</f>
        <v/>
      </c>
    </row>
    <row r="2689">
      <c r="A2689" t="inlineStr">
        <is>
          <t>6395216617</t>
        </is>
      </c>
      <c r="B2689" t="inlineStr">
        <is>
          <t>隔日到貨🔥 iPhone 手機殼 17 16 15 14 13 12 11 XS XR SE3 X 保護殼 軟殼 蘋果</t>
        </is>
      </c>
      <c r="C2689">
        <f>IMAGE("https://cf.shopee.tw/file/3b417a33ea2a2a5ec3c43750ab753a1d_tn")</f>
        <v/>
      </c>
      <c r="D2689" t="inlineStr">
        <is>
          <t>15</t>
        </is>
      </c>
      <c r="E2689" t="inlineStr">
        <is>
          <t>235637422071</t>
        </is>
      </c>
      <c r="F2689">
        <f>IMAGE("https://deo.shopeemobile.com/shopee/shopee-seller-live-sg/mmf_portal_seller_root_dir/static/modules/product-list/image/default-item-model-image.2601159.png")</f>
        <v/>
      </c>
    </row>
    <row r="2690">
      <c r="A2690" t="inlineStr">
        <is>
          <t>6395216617</t>
        </is>
      </c>
      <c r="B2690" t="inlineStr">
        <is>
          <t>隔日到貨🔥 iPhone 手機殼 17 16 15 14 13 12 11 XS XR SE3 X 保護殼 軟殼 蘋果</t>
        </is>
      </c>
      <c r="C2690">
        <f>IMAGE("https://cf.shopee.tw/file/3b417a33ea2a2a5ec3c43750ab753a1d_tn")</f>
        <v/>
      </c>
      <c r="D2690" t="inlineStr">
        <is>
          <t>15 Plus</t>
        </is>
      </c>
      <c r="E2690" t="inlineStr">
        <is>
          <t>235637422073</t>
        </is>
      </c>
      <c r="F2690">
        <f>IMAGE("https://deo.shopeemobile.com/shopee/shopee-seller-live-sg/mmf_portal_seller_root_dir/static/modules/product-list/image/default-item-model-image.2601159.png")</f>
        <v/>
      </c>
    </row>
    <row r="2691">
      <c r="A2691" t="inlineStr">
        <is>
          <t>6395216617</t>
        </is>
      </c>
      <c r="B2691" t="inlineStr">
        <is>
          <t>隔日到貨🔥 iPhone 手機殼 17 16 15 14 13 12 11 XS XR SE3 X 保護殼 軟殼 蘋果</t>
        </is>
      </c>
      <c r="C2691">
        <f>IMAGE("https://cf.shopee.tw/file/3b417a33ea2a2a5ec3c43750ab753a1d_tn")</f>
        <v/>
      </c>
      <c r="D2691" t="inlineStr">
        <is>
          <t>15 pro</t>
        </is>
      </c>
      <c r="E2691" t="inlineStr">
        <is>
          <t>235637422074</t>
        </is>
      </c>
      <c r="F2691">
        <f>IMAGE("https://deo.shopeemobile.com/shopee/shopee-seller-live-sg/mmf_portal_seller_root_dir/static/modules/product-list/image/default-item-model-image.2601159.png")</f>
        <v/>
      </c>
    </row>
    <row r="2692">
      <c r="A2692" t="inlineStr">
        <is>
          <t>6395216617</t>
        </is>
      </c>
      <c r="B2692" t="inlineStr">
        <is>
          <t>隔日到貨🔥 iPhone 手機殼 17 16 15 14 13 12 11 XS XR SE3 X 保護殼 軟殼 蘋果</t>
        </is>
      </c>
      <c r="C2692">
        <f>IMAGE("https://cf.shopee.tw/file/3b417a33ea2a2a5ec3c43750ab753a1d_tn")</f>
        <v/>
      </c>
      <c r="D2692" t="inlineStr">
        <is>
          <t>15 pro Max</t>
        </is>
      </c>
      <c r="E2692" t="inlineStr">
        <is>
          <t>235637422072</t>
        </is>
      </c>
      <c r="F2692">
        <f>IMAGE("https://deo.shopeemobile.com/shopee/shopee-seller-live-sg/mmf_portal_seller_root_dir/static/modules/product-list/image/default-item-model-image.2601159.png")</f>
        <v/>
      </c>
    </row>
    <row r="2693">
      <c r="A2693" t="inlineStr">
        <is>
          <t>6395216617</t>
        </is>
      </c>
      <c r="B2693" t="inlineStr">
        <is>
          <t>隔日到貨🔥 iPhone 手機殼 17 16 15 14 13 12 11 XS XR SE3 X 保護殼 軟殼 蘋果</t>
        </is>
      </c>
      <c r="C2693">
        <f>IMAGE("https://cf.shopee.tw/file/3b417a33ea2a2a5ec3c43750ab753a1d_tn")</f>
        <v/>
      </c>
      <c r="D2693" t="inlineStr">
        <is>
          <t>16</t>
        </is>
      </c>
      <c r="E2693" t="inlineStr">
        <is>
          <t>226864232987</t>
        </is>
      </c>
      <c r="F2693">
        <f>IMAGE("https://deo.shopeemobile.com/shopee/shopee-seller-live-sg/mmf_portal_seller_root_dir/static/modules/product-list/image/default-item-model-image.2601159.png")</f>
        <v/>
      </c>
    </row>
    <row r="2694">
      <c r="A2694" t="inlineStr">
        <is>
          <t>6395216617</t>
        </is>
      </c>
      <c r="B2694" t="inlineStr">
        <is>
          <t>隔日到貨🔥 iPhone 手機殼 17 16 15 14 13 12 11 XS XR SE3 X 保護殼 軟殼 蘋果</t>
        </is>
      </c>
      <c r="C2694">
        <f>IMAGE("https://cf.shopee.tw/file/3b417a33ea2a2a5ec3c43750ab753a1d_tn")</f>
        <v/>
      </c>
      <c r="D2694" t="inlineStr">
        <is>
          <t>16 Plus</t>
        </is>
      </c>
      <c r="E2694" t="inlineStr">
        <is>
          <t>226864232988</t>
        </is>
      </c>
      <c r="F2694">
        <f>IMAGE("https://deo.shopeemobile.com/shopee/shopee-seller-live-sg/mmf_portal_seller_root_dir/static/modules/product-list/image/default-item-model-image.2601159.png")</f>
        <v/>
      </c>
    </row>
    <row r="2695">
      <c r="A2695" t="inlineStr">
        <is>
          <t>6395216617</t>
        </is>
      </c>
      <c r="B2695" t="inlineStr">
        <is>
          <t>隔日到貨🔥 iPhone 手機殼 17 16 15 14 13 12 11 XS XR SE3 X 保護殼 軟殼 蘋果</t>
        </is>
      </c>
      <c r="C2695">
        <f>IMAGE("https://cf.shopee.tw/file/3b417a33ea2a2a5ec3c43750ab753a1d_tn")</f>
        <v/>
      </c>
      <c r="D2695" t="inlineStr">
        <is>
          <t>16 pro</t>
        </is>
      </c>
      <c r="E2695" t="inlineStr">
        <is>
          <t>226864232989</t>
        </is>
      </c>
      <c r="F2695">
        <f>IMAGE("https://deo.shopeemobile.com/shopee/shopee-seller-live-sg/mmf_portal_seller_root_dir/static/modules/product-list/image/default-item-model-image.2601159.png")</f>
        <v/>
      </c>
    </row>
    <row r="2696">
      <c r="A2696" t="inlineStr">
        <is>
          <t>6395216617</t>
        </is>
      </c>
      <c r="B2696" t="inlineStr">
        <is>
          <t>隔日到貨🔥 iPhone 手機殼 17 16 15 14 13 12 11 XS XR SE3 X 保護殼 軟殼 蘋果</t>
        </is>
      </c>
      <c r="C2696">
        <f>IMAGE("https://cf.shopee.tw/file/3b417a33ea2a2a5ec3c43750ab753a1d_tn")</f>
        <v/>
      </c>
      <c r="D2696" t="inlineStr">
        <is>
          <t>16 pro Max</t>
        </is>
      </c>
      <c r="E2696" t="inlineStr">
        <is>
          <t>226864232990</t>
        </is>
      </c>
      <c r="F2696">
        <f>IMAGE("https://deo.shopeemobile.com/shopee/shopee-seller-live-sg/mmf_portal_seller_root_dir/static/modules/product-list/image/default-item-model-image.2601159.png")</f>
        <v/>
      </c>
    </row>
    <row r="2697">
      <c r="A2697" t="inlineStr">
        <is>
          <t>6395216617</t>
        </is>
      </c>
      <c r="B2697" t="inlineStr">
        <is>
          <t>隔日到貨🔥 iPhone 手機殼 17 16 15 14 13 12 11 XS XR SE3 X 保護殼 軟殼 蘋果</t>
        </is>
      </c>
      <c r="C2697">
        <f>IMAGE("https://cf.shopee.tw/file/3b417a33ea2a2a5ec3c43750ab753a1d_tn")</f>
        <v/>
      </c>
      <c r="D2697" t="inlineStr">
        <is>
          <t>17</t>
        </is>
      </c>
      <c r="E2697" t="inlineStr">
        <is>
          <t>385093285941</t>
        </is>
      </c>
      <c r="F2697">
        <f>IMAGE("https://deo.shopeemobile.com/shopee/shopee-seller-live-sg/mmf_portal_seller_root_dir/static/modules/product-list/image/default-item-model-image.2601159.png")</f>
        <v/>
      </c>
    </row>
    <row r="2698">
      <c r="A2698" t="inlineStr">
        <is>
          <t>6395216617</t>
        </is>
      </c>
      <c r="B2698" t="inlineStr">
        <is>
          <t>隔日到貨🔥 iPhone 手機殼 17 16 15 14 13 12 11 XS XR SE3 X 保護殼 軟殼 蘋果</t>
        </is>
      </c>
      <c r="C2698">
        <f>IMAGE("https://cf.shopee.tw/file/3b417a33ea2a2a5ec3c43750ab753a1d_tn")</f>
        <v/>
      </c>
      <c r="D2698" t="inlineStr">
        <is>
          <t>17 pro</t>
        </is>
      </c>
      <c r="E2698" t="inlineStr">
        <is>
          <t>385093285942</t>
        </is>
      </c>
      <c r="F2698">
        <f>IMAGE("https://deo.shopeemobile.com/shopee/shopee-seller-live-sg/mmf_portal_seller_root_dir/static/modules/product-list/image/default-item-model-image.2601159.png")</f>
        <v/>
      </c>
    </row>
    <row r="2699">
      <c r="A2699" t="inlineStr">
        <is>
          <t>6395216617</t>
        </is>
      </c>
      <c r="B2699" t="inlineStr">
        <is>
          <t>隔日到貨🔥 iPhone 手機殼 17 16 15 14 13 12 11 XS XR SE3 X 保護殼 軟殼 蘋果</t>
        </is>
      </c>
      <c r="C2699">
        <f>IMAGE("https://cf.shopee.tw/file/3b417a33ea2a2a5ec3c43750ab753a1d_tn")</f>
        <v/>
      </c>
      <c r="D2699" t="inlineStr">
        <is>
          <t>17 pro Max</t>
        </is>
      </c>
      <c r="E2699" t="inlineStr">
        <is>
          <t>385093285943</t>
        </is>
      </c>
      <c r="F2699">
        <f>IMAGE("https://deo.shopeemobile.com/shopee/shopee-seller-live-sg/mmf_portal_seller_root_dir/static/modules/product-list/image/default-item-model-image.2601159.png")</f>
        <v/>
      </c>
    </row>
    <row r="2700">
      <c r="A2700" t="inlineStr">
        <is>
          <t>6395216617</t>
        </is>
      </c>
      <c r="B2700" t="inlineStr">
        <is>
          <t>隔日到貨🔥 iPhone 手機殼 17 16 15 14 13 12 11 XS XR SE3 X 保護殼 軟殼 蘋果</t>
        </is>
      </c>
      <c r="C2700">
        <f>IMAGE("https://cf.shopee.tw/file/3b417a33ea2a2a5ec3c43750ab753a1d_tn")</f>
        <v/>
      </c>
      <c r="D2700" t="inlineStr">
        <is>
          <t>17 Air</t>
        </is>
      </c>
      <c r="E2700" t="inlineStr">
        <is>
          <t>385093285944</t>
        </is>
      </c>
      <c r="F2700">
        <f>IMAGE("https://deo.shopeemobile.com/shopee/shopee-seller-live-sg/mmf_portal_seller_root_dir/static/modules/product-list/image/default-item-model-image.2601159.png")</f>
        <v/>
      </c>
    </row>
    <row r="2701">
      <c r="A2701" t="inlineStr">
        <is>
          <t>22272486965</t>
        </is>
      </c>
      <c r="B2701" t="inlineStr">
        <is>
          <t>隔日到貨🔥 ins 刺繡小熊化妝包 B18 化妝包 筆袋 超大容量 收納包 洗漱包 鉛筆盒 刺繡 包包 日韓 少女</t>
        </is>
      </c>
      <c r="C2701">
        <f>IMAGE("https://cf.shopee.tw/file/tw-11134207-7qul8-lipjroxkfi5wb3_tn")</f>
        <v/>
      </c>
      <c r="D2701" t="inlineStr">
        <is>
          <t>星星小熊</t>
        </is>
      </c>
      <c r="E2701" t="inlineStr">
        <is>
          <t>177732219640</t>
        </is>
      </c>
      <c r="F2701">
        <f>IMAGE("https://cf.shopee.tw/file/tw-11134207-7qul1-lipjrox00v2abd_tn")</f>
        <v/>
      </c>
    </row>
    <row r="2702">
      <c r="A2702" t="inlineStr">
        <is>
          <t>23062534010</t>
        </is>
      </c>
      <c r="B2702" t="inlineStr">
        <is>
          <t>隔日到貨🔥 羊毛棉襪 熊熊刺繡 加厚 保暖 女襪 長襪 S41 純色 棉襪 中筒襪 羊毛襪 襪子 ins 熱銷 女襪</t>
        </is>
      </c>
      <c r="C2702">
        <f>IMAGE("https://cf.shopee.tw/file/tw-11134207-7r98x-lp3d9xs14dvb56_tn")</f>
        <v/>
      </c>
      <c r="D2702" t="inlineStr">
        <is>
          <t>黑色</t>
        </is>
      </c>
      <c r="E2702" t="inlineStr">
        <is>
          <t>235885115461</t>
        </is>
      </c>
      <c r="F2702">
        <f>IMAGE("https://cf.shopee.tw/file/tw-11134207-7r98u-lp3dddttl8on77_tn")</f>
        <v/>
      </c>
    </row>
    <row r="2703">
      <c r="A2703" t="inlineStr">
        <is>
          <t>23062534010</t>
        </is>
      </c>
      <c r="B2703" t="inlineStr">
        <is>
          <t>隔日到貨🔥 羊毛棉襪 熊熊刺繡 加厚 保暖 女襪 長襪 S41 純色 棉襪 中筒襪 羊毛襪 襪子 ins 熱銷 女襪</t>
        </is>
      </c>
      <c r="C2703">
        <f>IMAGE("https://cf.shopee.tw/file/tw-11134207-7r98x-lp3d9xs14dvb56_tn")</f>
        <v/>
      </c>
      <c r="D2703" t="inlineStr">
        <is>
          <t>白眼鏡熊</t>
        </is>
      </c>
      <c r="E2703" t="inlineStr">
        <is>
          <t>235885115462</t>
        </is>
      </c>
      <c r="F2703">
        <f>IMAGE("https://cf.shopee.tw/file/tw-11134207-7r98z-lp3dddtu0oxja8_tn")</f>
        <v/>
      </c>
    </row>
    <row r="2704">
      <c r="A2704" t="inlineStr">
        <is>
          <t>23062534010</t>
        </is>
      </c>
      <c r="B2704" t="inlineStr">
        <is>
          <t>隔日到貨🔥 羊毛棉襪 熊熊刺繡 加厚 保暖 女襪 長襪 S41 純色 棉襪 中筒襪 羊毛襪 襪子 ins 熱銷 女襪</t>
        </is>
      </c>
      <c r="C2704">
        <f>IMAGE("https://cf.shopee.tw/file/tw-11134207-7r98x-lp3d9xs14dvb56_tn")</f>
        <v/>
      </c>
      <c r="D2704" t="inlineStr">
        <is>
          <t>淺咖紅帽熊</t>
        </is>
      </c>
      <c r="E2704" t="inlineStr">
        <is>
          <t>235885115463</t>
        </is>
      </c>
      <c r="F2704">
        <f>IMAGE("https://cf.shopee.tw/file/tw-11134207-7r98r-lp3ddduxjmgja6_tn")</f>
        <v/>
      </c>
    </row>
    <row r="2705">
      <c r="A2705" t="inlineStr">
        <is>
          <t>23062534010</t>
        </is>
      </c>
      <c r="B2705" t="inlineStr">
        <is>
          <t>隔日到貨🔥 羊毛棉襪 熊熊刺繡 加厚 保暖 女襪 長襪 S41 純色 棉襪 中筒襪 羊毛襪 襪子 ins 熱銷 女襪</t>
        </is>
      </c>
      <c r="C2705">
        <f>IMAGE("https://cf.shopee.tw/file/tw-11134207-7r98x-lp3d9xs14dvb56_tn")</f>
        <v/>
      </c>
      <c r="D2705" t="inlineStr">
        <is>
          <t>乳白色短T熊</t>
        </is>
      </c>
      <c r="E2705" t="inlineStr">
        <is>
          <t>235885115464</t>
        </is>
      </c>
      <c r="F2705">
        <f>IMAGE("https://cf.shopee.tw/file/tw-11134207-7r98y-lp3dddu3kub747_tn")</f>
        <v/>
      </c>
    </row>
    <row r="2706">
      <c r="A2706" t="inlineStr">
        <is>
          <t>23062534010</t>
        </is>
      </c>
      <c r="B2706" t="inlineStr">
        <is>
          <t>隔日到貨🔥 羊毛棉襪 熊熊刺繡 加厚 保暖 女襪 長襪 S41 純色 棉襪 中筒襪 羊毛襪 襪子 ins 熱銷 女襪</t>
        </is>
      </c>
      <c r="C2706">
        <f>IMAGE("https://cf.shopee.tw/file/tw-11134207-7r98x-lp3d9xs14dvb56_tn")</f>
        <v/>
      </c>
      <c r="D2706" t="inlineStr">
        <is>
          <t>咖啡色</t>
        </is>
      </c>
      <c r="E2706" t="inlineStr"/>
      <c r="F2706">
        <f>IMAGE("https://cf.shopee.tw/file/tw-11134207-7r98s-lp3dddtug56f56_tn")</f>
        <v/>
      </c>
    </row>
    <row r="2707">
      <c r="A2707" t="inlineStr">
        <is>
          <t>23062534010</t>
        </is>
      </c>
      <c r="B2707" t="inlineStr">
        <is>
          <t>隔日到貨🔥 羊毛棉襪 熊熊刺繡 加厚 保暖 女襪 長襪 S41 純色 棉襪 中筒襪 羊毛襪 襪子 ins 熱銷 女襪</t>
        </is>
      </c>
      <c r="C2707">
        <f>IMAGE("https://cf.shopee.tw/file/tw-11134207-7r98x-lp3d9xs14dvb56_tn")</f>
        <v/>
      </c>
      <c r="D2707" t="inlineStr">
        <is>
          <t>卡其紅繩熊</t>
        </is>
      </c>
      <c r="E2707" t="inlineStr">
        <is>
          <t>235885115466</t>
        </is>
      </c>
      <c r="F2707">
        <f>IMAGE("https://cf.shopee.tw/file/tw-11134207-7r98x-lp3dddvrxulz3d_tn")</f>
        <v/>
      </c>
    </row>
    <row r="2708">
      <c r="A2708" t="inlineStr">
        <is>
          <t>7062181500</t>
        </is>
      </c>
      <c r="B2708" t="inlineStr">
        <is>
          <t>隔日到貨🔥 iPhone 手機殼 16 15 14 13 12 11 pro XS XR SE 8 7保護殼 軟殼</t>
        </is>
      </c>
      <c r="C2708">
        <f>IMAGE("https://cf.shopee.tw/file/2c9adea4480f5a073b88acc7cceb0c2b_tn")</f>
        <v/>
      </c>
      <c r="D2708" t="inlineStr">
        <is>
          <t>古董白(實品偏皮膚色),7 / 8 / SE2 / SE3</t>
        </is>
      </c>
      <c r="E2708" t="inlineStr">
        <is>
          <t>22594539838</t>
        </is>
      </c>
      <c r="F2708">
        <f>IMAGE("https://cf.shopee.tw/file/6e426cd842b9c67b74ba67782b50f898_tn")</f>
        <v/>
      </c>
    </row>
    <row r="2709">
      <c r="A2709" t="inlineStr">
        <is>
          <t>7062181500</t>
        </is>
      </c>
      <c r="B2709" t="inlineStr">
        <is>
          <t>隔日到貨🔥 iPhone 手機殼 16 15 14 13 12 11 pro XS XR SE 8 7保護殼 軟殼</t>
        </is>
      </c>
      <c r="C2709">
        <f>IMAGE("https://cf.shopee.tw/file/2c9adea4480f5a073b88acc7cceb0c2b_tn")</f>
        <v/>
      </c>
      <c r="D2709" t="inlineStr">
        <is>
          <t>古董白(實品偏皮膚色),7plus / 8plus</t>
        </is>
      </c>
      <c r="E2709" t="inlineStr">
        <is>
          <t>31769775477</t>
        </is>
      </c>
      <c r="F2709">
        <f>IMAGE("https://cf.shopee.tw/file/6e426cd842b9c67b74ba67782b50f898_tn")</f>
        <v/>
      </c>
    </row>
    <row r="2710">
      <c r="A2710" t="inlineStr">
        <is>
          <t>7062181500</t>
        </is>
      </c>
      <c r="B2710" t="inlineStr">
        <is>
          <t>隔日到貨🔥 iPhone 手機殼 16 15 14 13 12 11 pro XS XR SE 8 7保護殼 軟殼</t>
        </is>
      </c>
      <c r="C2710">
        <f>IMAGE("https://cf.shopee.tw/file/2c9adea4480f5a073b88acc7cceb0c2b_tn")</f>
        <v/>
      </c>
      <c r="D2710" t="inlineStr">
        <is>
          <t>古董白(實品偏皮膚色),X / XS</t>
        </is>
      </c>
      <c r="E2710" t="inlineStr">
        <is>
          <t>31769775472</t>
        </is>
      </c>
      <c r="F2710">
        <f>IMAGE("https://cf.shopee.tw/file/6e426cd842b9c67b74ba67782b50f898_tn")</f>
        <v/>
      </c>
    </row>
    <row r="2711">
      <c r="A2711" t="inlineStr">
        <is>
          <t>7062181500</t>
        </is>
      </c>
      <c r="B2711" t="inlineStr">
        <is>
          <t>隔日到貨🔥 iPhone 手機殼 16 15 14 13 12 11 pro XS XR SE 8 7保護殼 軟殼</t>
        </is>
      </c>
      <c r="C2711">
        <f>IMAGE("https://cf.shopee.tw/file/2c9adea4480f5a073b88acc7cceb0c2b_tn")</f>
        <v/>
      </c>
      <c r="D2711" t="inlineStr">
        <is>
          <t>古董白(實品偏皮膚色),XR</t>
        </is>
      </c>
      <c r="E2711" t="inlineStr">
        <is>
          <t>31769775480</t>
        </is>
      </c>
      <c r="F2711">
        <f>IMAGE("https://cf.shopee.tw/file/6e426cd842b9c67b74ba67782b50f898_tn")</f>
        <v/>
      </c>
    </row>
    <row r="2712">
      <c r="A2712" t="inlineStr">
        <is>
          <t>7062181500</t>
        </is>
      </c>
      <c r="B2712" t="inlineStr">
        <is>
          <t>隔日到貨🔥 iPhone 手機殼 16 15 14 13 12 11 pro XS XR SE 8 7保護殼 軟殼</t>
        </is>
      </c>
      <c r="C2712">
        <f>IMAGE("https://cf.shopee.tw/file/2c9adea4480f5a073b88acc7cceb0c2b_tn")</f>
        <v/>
      </c>
      <c r="D2712" t="inlineStr">
        <is>
          <t>古董白(實品偏皮膚色),11</t>
        </is>
      </c>
      <c r="E2712" t="inlineStr">
        <is>
          <t>31769775478</t>
        </is>
      </c>
      <c r="F2712">
        <f>IMAGE("https://cf.shopee.tw/file/6e426cd842b9c67b74ba67782b50f898_tn")</f>
        <v/>
      </c>
    </row>
    <row r="2713">
      <c r="A2713" t="inlineStr">
        <is>
          <t>7062181500</t>
        </is>
      </c>
      <c r="B2713" t="inlineStr">
        <is>
          <t>隔日到貨🔥 iPhone 手機殼 16 15 14 13 12 11 pro XS XR SE 8 7保護殼 軟殼</t>
        </is>
      </c>
      <c r="C2713">
        <f>IMAGE("https://cf.shopee.tw/file/2c9adea4480f5a073b88acc7cceb0c2b_tn")</f>
        <v/>
      </c>
      <c r="D2713" t="inlineStr">
        <is>
          <t>古董白(實品偏皮膚色),12</t>
        </is>
      </c>
      <c r="E2713" t="inlineStr">
        <is>
          <t>31769775473</t>
        </is>
      </c>
      <c r="F2713">
        <f>IMAGE("https://cf.shopee.tw/file/6e426cd842b9c67b74ba67782b50f898_tn")</f>
        <v/>
      </c>
    </row>
    <row r="2714">
      <c r="A2714" t="inlineStr">
        <is>
          <t>7062181500</t>
        </is>
      </c>
      <c r="B2714" t="inlineStr">
        <is>
          <t>隔日到貨🔥 iPhone 手機殼 16 15 14 13 12 11 pro XS XR SE 8 7保護殼 軟殼</t>
        </is>
      </c>
      <c r="C2714">
        <f>IMAGE("https://cf.shopee.tw/file/2c9adea4480f5a073b88acc7cceb0c2b_tn")</f>
        <v/>
      </c>
      <c r="D2714" t="inlineStr">
        <is>
          <t>古董白(實品偏皮膚色),12 pro</t>
        </is>
      </c>
      <c r="E2714" t="inlineStr">
        <is>
          <t>24567466439</t>
        </is>
      </c>
      <c r="F2714">
        <f>IMAGE("https://cf.shopee.tw/file/6e426cd842b9c67b74ba67782b50f898_tn")</f>
        <v/>
      </c>
    </row>
    <row r="2715">
      <c r="A2715" t="inlineStr">
        <is>
          <t>7062181500</t>
        </is>
      </c>
      <c r="B2715" t="inlineStr">
        <is>
          <t>隔日到貨🔥 iPhone 手機殼 16 15 14 13 12 11 pro XS XR SE 8 7保護殼 軟殼</t>
        </is>
      </c>
      <c r="C2715">
        <f>IMAGE("https://cf.shopee.tw/file/2c9adea4480f5a073b88acc7cceb0c2b_tn")</f>
        <v/>
      </c>
      <c r="D2715" t="inlineStr">
        <is>
          <t>古董白(實品偏皮膚色),13</t>
        </is>
      </c>
      <c r="E2715" t="inlineStr">
        <is>
          <t>77435183225</t>
        </is>
      </c>
      <c r="F2715">
        <f>IMAGE("https://cf.shopee.tw/file/6e426cd842b9c67b74ba67782b50f898_tn")</f>
        <v/>
      </c>
    </row>
    <row r="2716">
      <c r="A2716" t="inlineStr">
        <is>
          <t>7062181500</t>
        </is>
      </c>
      <c r="B2716" t="inlineStr">
        <is>
          <t>隔日到貨🔥 iPhone 手機殼 16 15 14 13 12 11 pro XS XR SE 8 7保護殼 軟殼</t>
        </is>
      </c>
      <c r="C2716">
        <f>IMAGE("https://cf.shopee.tw/file/2c9adea4480f5a073b88acc7cceb0c2b_tn")</f>
        <v/>
      </c>
      <c r="D2716" t="inlineStr">
        <is>
          <t>古董白(實品偏皮膚色),13 pro</t>
        </is>
      </c>
      <c r="E2716" t="inlineStr">
        <is>
          <t>77435183231</t>
        </is>
      </c>
      <c r="F2716">
        <f>IMAGE("https://cf.shopee.tw/file/6e426cd842b9c67b74ba67782b50f898_tn")</f>
        <v/>
      </c>
    </row>
    <row r="2717">
      <c r="A2717" t="inlineStr">
        <is>
          <t>7062181500</t>
        </is>
      </c>
      <c r="B2717" t="inlineStr">
        <is>
          <t>隔日到貨🔥 iPhone 手機殼 16 15 14 13 12 11 pro XS XR SE 8 7保護殼 軟殼</t>
        </is>
      </c>
      <c r="C2717">
        <f>IMAGE("https://cf.shopee.tw/file/2c9adea4480f5a073b88acc7cceb0c2b_tn")</f>
        <v/>
      </c>
      <c r="D2717" t="inlineStr">
        <is>
          <t>古董白(實品偏皮膚色),13 pro Max</t>
        </is>
      </c>
      <c r="E2717" t="inlineStr"/>
      <c r="F2717">
        <f>IMAGE("https://cf.shopee.tw/file/6e426cd842b9c67b74ba67782b50f898_tn")</f>
        <v/>
      </c>
    </row>
    <row r="2718">
      <c r="A2718" t="inlineStr">
        <is>
          <t>7062181500</t>
        </is>
      </c>
      <c r="B2718" t="inlineStr">
        <is>
          <t>隔日到貨🔥 iPhone 手機殼 16 15 14 13 12 11 pro XS XR SE 8 7保護殼 軟殼</t>
        </is>
      </c>
      <c r="C2718">
        <f>IMAGE("https://cf.shopee.tw/file/2c9adea4480f5a073b88acc7cceb0c2b_tn")</f>
        <v/>
      </c>
      <c r="D2718" t="inlineStr">
        <is>
          <t>古董白(實品偏皮膚色),14</t>
        </is>
      </c>
      <c r="E2718" t="inlineStr">
        <is>
          <t>212364728858</t>
        </is>
      </c>
      <c r="F2718">
        <f>IMAGE("https://cf.shopee.tw/file/6e426cd842b9c67b74ba67782b50f898_tn")</f>
        <v/>
      </c>
    </row>
    <row r="2719">
      <c r="A2719" t="inlineStr">
        <is>
          <t>7062181500</t>
        </is>
      </c>
      <c r="B2719" t="inlineStr">
        <is>
          <t>隔日到貨🔥 iPhone 手機殼 16 15 14 13 12 11 pro XS XR SE 8 7保護殼 軟殼</t>
        </is>
      </c>
      <c r="C2719">
        <f>IMAGE("https://cf.shopee.tw/file/2c9adea4480f5a073b88acc7cceb0c2b_tn")</f>
        <v/>
      </c>
      <c r="D2719" t="inlineStr">
        <is>
          <t>古董白(實品偏皮膚色),14 pro</t>
        </is>
      </c>
      <c r="E2719" t="inlineStr"/>
      <c r="F2719">
        <f>IMAGE("https://cf.shopee.tw/file/6e426cd842b9c67b74ba67782b50f898_tn")</f>
        <v/>
      </c>
    </row>
    <row r="2720">
      <c r="A2720" t="inlineStr">
        <is>
          <t>7062181500</t>
        </is>
      </c>
      <c r="B2720" t="inlineStr">
        <is>
          <t>隔日到貨🔥 iPhone 手機殼 16 15 14 13 12 11 pro XS XR SE 8 7保護殼 軟殼</t>
        </is>
      </c>
      <c r="C2720">
        <f>IMAGE("https://cf.shopee.tw/file/2c9adea4480f5a073b88acc7cceb0c2b_tn")</f>
        <v/>
      </c>
      <c r="D2720" t="inlineStr">
        <is>
          <t>古董白(實品偏皮膚色),14 pro Max</t>
        </is>
      </c>
      <c r="E2720" t="inlineStr">
        <is>
          <t>212364728857</t>
        </is>
      </c>
      <c r="F2720">
        <f>IMAGE("https://cf.shopee.tw/file/6e426cd842b9c67b74ba67782b50f898_tn")</f>
        <v/>
      </c>
    </row>
    <row r="2721">
      <c r="A2721" t="inlineStr">
        <is>
          <t>7062181500</t>
        </is>
      </c>
      <c r="B2721" t="inlineStr">
        <is>
          <t>隔日到貨🔥 iPhone 手機殼 16 15 14 13 12 11 pro XS XR SE 8 7保護殼 軟殼</t>
        </is>
      </c>
      <c r="C2721">
        <f>IMAGE("https://cf.shopee.tw/file/2c9adea4480f5a073b88acc7cceb0c2b_tn")</f>
        <v/>
      </c>
      <c r="D2721" t="inlineStr">
        <is>
          <t>古董白(實品偏皮膚色),15</t>
        </is>
      </c>
      <c r="E2721" t="inlineStr">
        <is>
          <t>197297186617</t>
        </is>
      </c>
      <c r="F2721">
        <f>IMAGE("https://cf.shopee.tw/file/6e426cd842b9c67b74ba67782b50f898_tn")</f>
        <v/>
      </c>
    </row>
    <row r="2722">
      <c r="A2722" t="inlineStr">
        <is>
          <t>7062181500</t>
        </is>
      </c>
      <c r="B2722" t="inlineStr">
        <is>
          <t>隔日到貨🔥 iPhone 手機殼 16 15 14 13 12 11 pro XS XR SE 8 7保護殼 軟殼</t>
        </is>
      </c>
      <c r="C2722">
        <f>IMAGE("https://cf.shopee.tw/file/2c9adea4480f5a073b88acc7cceb0c2b_tn")</f>
        <v/>
      </c>
      <c r="D2722" t="inlineStr">
        <is>
          <t>古董白(實品偏皮膚色),15 pro</t>
        </is>
      </c>
      <c r="E2722" t="inlineStr">
        <is>
          <t>197297186618</t>
        </is>
      </c>
      <c r="F2722">
        <f>IMAGE("https://cf.shopee.tw/file/6e426cd842b9c67b74ba67782b50f898_tn")</f>
        <v/>
      </c>
    </row>
    <row r="2723">
      <c r="A2723" t="inlineStr">
        <is>
          <t>7062181500</t>
        </is>
      </c>
      <c r="B2723" t="inlineStr">
        <is>
          <t>隔日到貨🔥 iPhone 手機殼 16 15 14 13 12 11 pro XS XR SE 8 7保護殼 軟殼</t>
        </is>
      </c>
      <c r="C2723">
        <f>IMAGE("https://cf.shopee.tw/file/2c9adea4480f5a073b88acc7cceb0c2b_tn")</f>
        <v/>
      </c>
      <c r="D2723" t="inlineStr">
        <is>
          <t>古董白(實品偏皮膚色),15 pro Max</t>
        </is>
      </c>
      <c r="E2723" t="inlineStr"/>
      <c r="F2723">
        <f>IMAGE("https://cf.shopee.tw/file/6e426cd842b9c67b74ba67782b50f898_tn")</f>
        <v/>
      </c>
    </row>
    <row r="2724">
      <c r="A2724" t="inlineStr">
        <is>
          <t>7062181500</t>
        </is>
      </c>
      <c r="B2724" t="inlineStr">
        <is>
          <t>隔日到貨🔥 iPhone 手機殼 16 15 14 13 12 11 pro XS XR SE 8 7保護殼 軟殼</t>
        </is>
      </c>
      <c r="C2724">
        <f>IMAGE("https://cf.shopee.tw/file/2c9adea4480f5a073b88acc7cceb0c2b_tn")</f>
        <v/>
      </c>
      <c r="D2724" t="inlineStr">
        <is>
          <t>古董白(實品偏皮膚色),16</t>
        </is>
      </c>
      <c r="E2724" t="inlineStr">
        <is>
          <t>205451588863</t>
        </is>
      </c>
      <c r="F2724">
        <f>IMAGE("https://cf.shopee.tw/file/6e426cd842b9c67b74ba67782b50f898_tn")</f>
        <v/>
      </c>
    </row>
    <row r="2725">
      <c r="A2725" t="inlineStr">
        <is>
          <t>7062181500</t>
        </is>
      </c>
      <c r="B2725" t="inlineStr">
        <is>
          <t>隔日到貨🔥 iPhone 手機殼 16 15 14 13 12 11 pro XS XR SE 8 7保護殼 軟殼</t>
        </is>
      </c>
      <c r="C2725">
        <f>IMAGE("https://cf.shopee.tw/file/2c9adea4480f5a073b88acc7cceb0c2b_tn")</f>
        <v/>
      </c>
      <c r="D2725" t="inlineStr">
        <is>
          <t>古董白(實品偏皮膚色),16 Plus</t>
        </is>
      </c>
      <c r="E2725" t="inlineStr"/>
      <c r="F2725">
        <f>IMAGE("https://cf.shopee.tw/file/6e426cd842b9c67b74ba67782b50f898_tn")</f>
        <v/>
      </c>
    </row>
    <row r="2726">
      <c r="A2726" t="inlineStr">
        <is>
          <t>7062181500</t>
        </is>
      </c>
      <c r="B2726" t="inlineStr">
        <is>
          <t>隔日到貨🔥 iPhone 手機殼 16 15 14 13 12 11 pro XS XR SE 8 7保護殼 軟殼</t>
        </is>
      </c>
      <c r="C2726">
        <f>IMAGE("https://cf.shopee.tw/file/2c9adea4480f5a073b88acc7cceb0c2b_tn")</f>
        <v/>
      </c>
      <c r="D2726" t="inlineStr">
        <is>
          <t>古董白(實品偏皮膚色),16 pro</t>
        </is>
      </c>
      <c r="E2726" t="inlineStr">
        <is>
          <t>205451588865</t>
        </is>
      </c>
      <c r="F2726">
        <f>IMAGE("https://cf.shopee.tw/file/6e426cd842b9c67b74ba67782b50f898_tn")</f>
        <v/>
      </c>
    </row>
    <row r="2727">
      <c r="A2727" t="inlineStr">
        <is>
          <t>7062181500</t>
        </is>
      </c>
      <c r="B2727" t="inlineStr">
        <is>
          <t>隔日到貨🔥 iPhone 手機殼 16 15 14 13 12 11 pro XS XR SE 8 7保護殼 軟殼</t>
        </is>
      </c>
      <c r="C2727">
        <f>IMAGE("https://cf.shopee.tw/file/2c9adea4480f5a073b88acc7cceb0c2b_tn")</f>
        <v/>
      </c>
      <c r="D2727" t="inlineStr">
        <is>
          <t>古董白(實品偏皮膚色),16 pro Max</t>
        </is>
      </c>
      <c r="E2727" t="inlineStr">
        <is>
          <t>205451588866</t>
        </is>
      </c>
      <c r="F2727">
        <f>IMAGE("https://cf.shopee.tw/file/6e426cd842b9c67b74ba67782b50f898_tn")</f>
        <v/>
      </c>
    </row>
    <row r="2728">
      <c r="A2728" t="inlineStr">
        <is>
          <t>7062181500</t>
        </is>
      </c>
      <c r="B2728" t="inlineStr">
        <is>
          <t>隔日到貨🔥 iPhone 手機殼 16 15 14 13 12 11 pro XS XR SE 8 7保護殼 軟殼</t>
        </is>
      </c>
      <c r="C2728">
        <f>IMAGE("https://cf.shopee.tw/file/2c9adea4480f5a073b88acc7cceb0c2b_tn")</f>
        <v/>
      </c>
      <c r="D2728" t="inlineStr">
        <is>
          <t>古董白(實品偏皮膚色),11 Pro</t>
        </is>
      </c>
      <c r="E2728" t="inlineStr">
        <is>
          <t>89865119051</t>
        </is>
      </c>
      <c r="F2728">
        <f>IMAGE("https://cf.shopee.tw/file/6e426cd842b9c67b74ba67782b50f898_tn")</f>
        <v/>
      </c>
    </row>
    <row r="2729">
      <c r="A2729" t="inlineStr">
        <is>
          <t>7062181500</t>
        </is>
      </c>
      <c r="B2729" t="inlineStr">
        <is>
          <t>隔日到貨🔥 iPhone 手機殼 16 15 14 13 12 11 pro XS XR SE 8 7保護殼 軟殼</t>
        </is>
      </c>
      <c r="C2729">
        <f>IMAGE("https://cf.shopee.tw/file/2c9adea4480f5a073b88acc7cceb0c2b_tn")</f>
        <v/>
      </c>
      <c r="D2729" t="inlineStr">
        <is>
          <t>板岩藍,7 / 8 / SE2 / SE3</t>
        </is>
      </c>
      <c r="E2729" t="inlineStr">
        <is>
          <t>22594539839</t>
        </is>
      </c>
      <c r="F2729">
        <f>IMAGE("https://cf.shopee.tw/file/aed1ae78e35d505803de3d03968ea985_tn")</f>
        <v/>
      </c>
    </row>
    <row r="2730">
      <c r="A2730" t="inlineStr">
        <is>
          <t>7062181500</t>
        </is>
      </c>
      <c r="B2730" t="inlineStr">
        <is>
          <t>隔日到貨🔥 iPhone 手機殼 16 15 14 13 12 11 pro XS XR SE 8 7保護殼 軟殼</t>
        </is>
      </c>
      <c r="C2730">
        <f>IMAGE("https://cf.shopee.tw/file/2c9adea4480f5a073b88acc7cceb0c2b_tn")</f>
        <v/>
      </c>
      <c r="D2730" t="inlineStr">
        <is>
          <t>板岩藍,7plus / 8plus</t>
        </is>
      </c>
      <c r="E2730" t="inlineStr">
        <is>
          <t>31769775479</t>
        </is>
      </c>
      <c r="F2730">
        <f>IMAGE("https://cf.shopee.tw/file/aed1ae78e35d505803de3d03968ea985_tn")</f>
        <v/>
      </c>
    </row>
    <row r="2731">
      <c r="A2731" t="inlineStr">
        <is>
          <t>7062181500</t>
        </is>
      </c>
      <c r="B2731" t="inlineStr">
        <is>
          <t>隔日到貨🔥 iPhone 手機殼 16 15 14 13 12 11 pro XS XR SE 8 7保護殼 軟殼</t>
        </is>
      </c>
      <c r="C2731">
        <f>IMAGE("https://cf.shopee.tw/file/2c9adea4480f5a073b88acc7cceb0c2b_tn")</f>
        <v/>
      </c>
      <c r="D2731" t="inlineStr">
        <is>
          <t>板岩藍,X / XS</t>
        </is>
      </c>
      <c r="E2731" t="inlineStr">
        <is>
          <t>31769775475</t>
        </is>
      </c>
      <c r="F2731">
        <f>IMAGE("https://cf.shopee.tw/file/aed1ae78e35d505803de3d03968ea985_tn")</f>
        <v/>
      </c>
    </row>
    <row r="2732">
      <c r="A2732" t="inlineStr">
        <is>
          <t>7062181500</t>
        </is>
      </c>
      <c r="B2732" t="inlineStr">
        <is>
          <t>隔日到貨🔥 iPhone 手機殼 16 15 14 13 12 11 pro XS XR SE 8 7保護殼 軟殼</t>
        </is>
      </c>
      <c r="C2732">
        <f>IMAGE("https://cf.shopee.tw/file/2c9adea4480f5a073b88acc7cceb0c2b_tn")</f>
        <v/>
      </c>
      <c r="D2732" t="inlineStr">
        <is>
          <t>板岩藍,XR</t>
        </is>
      </c>
      <c r="E2732" t="inlineStr">
        <is>
          <t>22594539840</t>
        </is>
      </c>
      <c r="F2732">
        <f>IMAGE("https://cf.shopee.tw/file/aed1ae78e35d505803de3d03968ea985_tn")</f>
        <v/>
      </c>
    </row>
    <row r="2733">
      <c r="A2733" t="inlineStr">
        <is>
          <t>7062181500</t>
        </is>
      </c>
      <c r="B2733" t="inlineStr">
        <is>
          <t>隔日到貨🔥 iPhone 手機殼 16 15 14 13 12 11 pro XS XR SE 8 7保護殼 軟殼</t>
        </is>
      </c>
      <c r="C2733">
        <f>IMAGE("https://cf.shopee.tw/file/2c9adea4480f5a073b88acc7cceb0c2b_tn")</f>
        <v/>
      </c>
      <c r="D2733" t="inlineStr">
        <is>
          <t>板岩藍,11</t>
        </is>
      </c>
      <c r="E2733" t="inlineStr">
        <is>
          <t>31769775474</t>
        </is>
      </c>
      <c r="F2733">
        <f>IMAGE("https://cf.shopee.tw/file/aed1ae78e35d505803de3d03968ea985_tn")</f>
        <v/>
      </c>
    </row>
    <row r="2734">
      <c r="A2734" t="inlineStr">
        <is>
          <t>7062181500</t>
        </is>
      </c>
      <c r="B2734" t="inlineStr">
        <is>
          <t>隔日到貨🔥 iPhone 手機殼 16 15 14 13 12 11 pro XS XR SE 8 7保護殼 軟殼</t>
        </is>
      </c>
      <c r="C2734">
        <f>IMAGE("https://cf.shopee.tw/file/2c9adea4480f5a073b88acc7cceb0c2b_tn")</f>
        <v/>
      </c>
      <c r="D2734" t="inlineStr">
        <is>
          <t>板岩藍,12</t>
        </is>
      </c>
      <c r="E2734" t="inlineStr">
        <is>
          <t>22594539841</t>
        </is>
      </c>
      <c r="F2734">
        <f>IMAGE("https://cf.shopee.tw/file/aed1ae78e35d505803de3d03968ea985_tn")</f>
        <v/>
      </c>
    </row>
    <row r="2735">
      <c r="A2735" t="inlineStr">
        <is>
          <t>7062181500</t>
        </is>
      </c>
      <c r="B2735" t="inlineStr">
        <is>
          <t>隔日到貨🔥 iPhone 手機殼 16 15 14 13 12 11 pro XS XR SE 8 7保護殼 軟殼</t>
        </is>
      </c>
      <c r="C2735">
        <f>IMAGE("https://cf.shopee.tw/file/2c9adea4480f5a073b88acc7cceb0c2b_tn")</f>
        <v/>
      </c>
      <c r="D2735" t="inlineStr">
        <is>
          <t>板岩藍,12 pro</t>
        </is>
      </c>
      <c r="E2735" t="inlineStr"/>
      <c r="F2735">
        <f>IMAGE("https://cf.shopee.tw/file/aed1ae78e35d505803de3d03968ea985_tn")</f>
        <v/>
      </c>
    </row>
    <row r="2736">
      <c r="A2736" t="inlineStr">
        <is>
          <t>7062181500</t>
        </is>
      </c>
      <c r="B2736" t="inlineStr">
        <is>
          <t>隔日到貨🔥 iPhone 手機殼 16 15 14 13 12 11 pro XS XR SE 8 7保護殼 軟殼</t>
        </is>
      </c>
      <c r="C2736">
        <f>IMAGE("https://cf.shopee.tw/file/2c9adea4480f5a073b88acc7cceb0c2b_tn")</f>
        <v/>
      </c>
      <c r="D2736" t="inlineStr">
        <is>
          <t>板岩藍,13</t>
        </is>
      </c>
      <c r="E2736" t="inlineStr">
        <is>
          <t>77435183232</t>
        </is>
      </c>
      <c r="F2736">
        <f>IMAGE("https://cf.shopee.tw/file/aed1ae78e35d505803de3d03968ea985_tn")</f>
        <v/>
      </c>
    </row>
    <row r="2737">
      <c r="A2737" t="inlineStr">
        <is>
          <t>7062181500</t>
        </is>
      </c>
      <c r="B2737" t="inlineStr">
        <is>
          <t>隔日到貨🔥 iPhone 手機殼 16 15 14 13 12 11 pro XS XR SE 8 7保護殼 軟殼</t>
        </is>
      </c>
      <c r="C2737">
        <f>IMAGE("https://cf.shopee.tw/file/2c9adea4480f5a073b88acc7cceb0c2b_tn")</f>
        <v/>
      </c>
      <c r="D2737" t="inlineStr">
        <is>
          <t>板岩藍,13 pro</t>
        </is>
      </c>
      <c r="E2737" t="inlineStr"/>
      <c r="F2737">
        <f>IMAGE("https://cf.shopee.tw/file/aed1ae78e35d505803de3d03968ea985_tn")</f>
        <v/>
      </c>
    </row>
    <row r="2738">
      <c r="A2738" t="inlineStr">
        <is>
          <t>7062181500</t>
        </is>
      </c>
      <c r="B2738" t="inlineStr">
        <is>
          <t>隔日到貨🔥 iPhone 手機殼 16 15 14 13 12 11 pro XS XR SE 8 7保護殼 軟殼</t>
        </is>
      </c>
      <c r="C2738">
        <f>IMAGE("https://cf.shopee.tw/file/2c9adea4480f5a073b88acc7cceb0c2b_tn")</f>
        <v/>
      </c>
      <c r="D2738" t="inlineStr">
        <is>
          <t>板岩藍,13 pro Max</t>
        </is>
      </c>
      <c r="E2738" t="inlineStr"/>
      <c r="F2738">
        <f>IMAGE("https://cf.shopee.tw/file/aed1ae78e35d505803de3d03968ea985_tn")</f>
        <v/>
      </c>
    </row>
    <row r="2739">
      <c r="A2739" t="inlineStr">
        <is>
          <t>7062181500</t>
        </is>
      </c>
      <c r="B2739" t="inlineStr">
        <is>
          <t>隔日到貨🔥 iPhone 手機殼 16 15 14 13 12 11 pro XS XR SE 8 7保護殼 軟殼</t>
        </is>
      </c>
      <c r="C2739">
        <f>IMAGE("https://cf.shopee.tw/file/2c9adea4480f5a073b88acc7cceb0c2b_tn")</f>
        <v/>
      </c>
      <c r="D2739" t="inlineStr">
        <is>
          <t>板岩藍,14</t>
        </is>
      </c>
      <c r="E2739" t="inlineStr"/>
      <c r="F2739">
        <f>IMAGE("https://cf.shopee.tw/file/aed1ae78e35d505803de3d03968ea985_tn")</f>
        <v/>
      </c>
    </row>
    <row r="2740">
      <c r="A2740" t="inlineStr">
        <is>
          <t>7062181500</t>
        </is>
      </c>
      <c r="B2740" t="inlineStr">
        <is>
          <t>隔日到貨🔥 iPhone 手機殼 16 15 14 13 12 11 pro XS XR SE 8 7保護殼 軟殼</t>
        </is>
      </c>
      <c r="C2740">
        <f>IMAGE("https://cf.shopee.tw/file/2c9adea4480f5a073b88acc7cceb0c2b_tn")</f>
        <v/>
      </c>
      <c r="D2740" t="inlineStr">
        <is>
          <t>板岩藍,14 pro</t>
        </is>
      </c>
      <c r="E2740" t="inlineStr">
        <is>
          <t>212364728851</t>
        </is>
      </c>
      <c r="F2740">
        <f>IMAGE("https://cf.shopee.tw/file/aed1ae78e35d505803de3d03968ea985_tn")</f>
        <v/>
      </c>
    </row>
    <row r="2741">
      <c r="A2741" t="inlineStr">
        <is>
          <t>7062181500</t>
        </is>
      </c>
      <c r="B2741" t="inlineStr">
        <is>
          <t>隔日到貨🔥 iPhone 手機殼 16 15 14 13 12 11 pro XS XR SE 8 7保護殼 軟殼</t>
        </is>
      </c>
      <c r="C2741">
        <f>IMAGE("https://cf.shopee.tw/file/2c9adea4480f5a073b88acc7cceb0c2b_tn")</f>
        <v/>
      </c>
      <c r="D2741" t="inlineStr">
        <is>
          <t>板岩藍,14 pro Max</t>
        </is>
      </c>
      <c r="E2741" t="inlineStr">
        <is>
          <t>212364728854</t>
        </is>
      </c>
      <c r="F2741">
        <f>IMAGE("https://cf.shopee.tw/file/aed1ae78e35d505803de3d03968ea985_tn")</f>
        <v/>
      </c>
    </row>
    <row r="2742">
      <c r="A2742" t="inlineStr">
        <is>
          <t>7062181500</t>
        </is>
      </c>
      <c r="B2742" t="inlineStr">
        <is>
          <t>隔日到貨🔥 iPhone 手機殼 16 15 14 13 12 11 pro XS XR SE 8 7保護殼 軟殼</t>
        </is>
      </c>
      <c r="C2742">
        <f>IMAGE("https://cf.shopee.tw/file/2c9adea4480f5a073b88acc7cceb0c2b_tn")</f>
        <v/>
      </c>
      <c r="D2742" t="inlineStr">
        <is>
          <t>板岩藍,15</t>
        </is>
      </c>
      <c r="E2742" t="inlineStr">
        <is>
          <t>197297186620</t>
        </is>
      </c>
      <c r="F2742">
        <f>IMAGE("https://cf.shopee.tw/file/aed1ae78e35d505803de3d03968ea985_tn")</f>
        <v/>
      </c>
    </row>
    <row r="2743">
      <c r="A2743" t="inlineStr">
        <is>
          <t>7062181500</t>
        </is>
      </c>
      <c r="B2743" t="inlineStr">
        <is>
          <t>隔日到貨🔥 iPhone 手機殼 16 15 14 13 12 11 pro XS XR SE 8 7保護殼 軟殼</t>
        </is>
      </c>
      <c r="C2743">
        <f>IMAGE("https://cf.shopee.tw/file/2c9adea4480f5a073b88acc7cceb0c2b_tn")</f>
        <v/>
      </c>
      <c r="D2743" t="inlineStr">
        <is>
          <t>板岩藍,15 pro</t>
        </is>
      </c>
      <c r="E2743" t="inlineStr"/>
      <c r="F2743">
        <f>IMAGE("https://cf.shopee.tw/file/aed1ae78e35d505803de3d03968ea985_tn")</f>
        <v/>
      </c>
    </row>
    <row r="2744">
      <c r="A2744" t="inlineStr">
        <is>
          <t>7062181500</t>
        </is>
      </c>
      <c r="B2744" t="inlineStr">
        <is>
          <t>隔日到貨🔥 iPhone 手機殼 16 15 14 13 12 11 pro XS XR SE 8 7保護殼 軟殼</t>
        </is>
      </c>
      <c r="C2744">
        <f>IMAGE("https://cf.shopee.tw/file/2c9adea4480f5a073b88acc7cceb0c2b_tn")</f>
        <v/>
      </c>
      <c r="D2744" t="inlineStr">
        <is>
          <t>板岩藍,15 pro Max</t>
        </is>
      </c>
      <c r="E2744" t="inlineStr"/>
      <c r="F2744">
        <f>IMAGE("https://cf.shopee.tw/file/aed1ae78e35d505803de3d03968ea985_tn")</f>
        <v/>
      </c>
    </row>
    <row r="2745">
      <c r="A2745" t="inlineStr">
        <is>
          <t>7062181500</t>
        </is>
      </c>
      <c r="B2745" t="inlineStr">
        <is>
          <t>隔日到貨🔥 iPhone 手機殼 16 15 14 13 12 11 pro XS XR SE 8 7保護殼 軟殼</t>
        </is>
      </c>
      <c r="C2745">
        <f>IMAGE("https://cf.shopee.tw/file/2c9adea4480f5a073b88acc7cceb0c2b_tn")</f>
        <v/>
      </c>
      <c r="D2745" t="inlineStr">
        <is>
          <t>板岩藍,16</t>
        </is>
      </c>
      <c r="E2745" t="inlineStr">
        <is>
          <t>205451588867</t>
        </is>
      </c>
      <c r="F2745">
        <f>IMAGE("https://cf.shopee.tw/file/aed1ae78e35d505803de3d03968ea985_tn")</f>
        <v/>
      </c>
    </row>
    <row r="2746">
      <c r="A2746" t="inlineStr">
        <is>
          <t>7062181500</t>
        </is>
      </c>
      <c r="B2746" t="inlineStr">
        <is>
          <t>隔日到貨🔥 iPhone 手機殼 16 15 14 13 12 11 pro XS XR SE 8 7保護殼 軟殼</t>
        </is>
      </c>
      <c r="C2746">
        <f>IMAGE("https://cf.shopee.tw/file/2c9adea4480f5a073b88acc7cceb0c2b_tn")</f>
        <v/>
      </c>
      <c r="D2746" t="inlineStr">
        <is>
          <t>板岩藍,16 Plus</t>
        </is>
      </c>
      <c r="E2746" t="inlineStr"/>
      <c r="F2746">
        <f>IMAGE("https://cf.shopee.tw/file/aed1ae78e35d505803de3d03968ea985_tn")</f>
        <v/>
      </c>
    </row>
    <row r="2747">
      <c r="A2747" t="inlineStr">
        <is>
          <t>7062181500</t>
        </is>
      </c>
      <c r="B2747" t="inlineStr">
        <is>
          <t>隔日到貨🔥 iPhone 手機殼 16 15 14 13 12 11 pro XS XR SE 8 7保護殼 軟殼</t>
        </is>
      </c>
      <c r="C2747">
        <f>IMAGE("https://cf.shopee.tw/file/2c9adea4480f5a073b88acc7cceb0c2b_tn")</f>
        <v/>
      </c>
      <c r="D2747" t="inlineStr">
        <is>
          <t>板岩藍,16 pro</t>
        </is>
      </c>
      <c r="E2747" t="inlineStr"/>
      <c r="F2747">
        <f>IMAGE("https://cf.shopee.tw/file/aed1ae78e35d505803de3d03968ea985_tn")</f>
        <v/>
      </c>
    </row>
    <row r="2748">
      <c r="A2748" t="inlineStr">
        <is>
          <t>7062181500</t>
        </is>
      </c>
      <c r="B2748" t="inlineStr">
        <is>
          <t>隔日到貨🔥 iPhone 手機殼 16 15 14 13 12 11 pro XS XR SE 8 7保護殼 軟殼</t>
        </is>
      </c>
      <c r="C2748">
        <f>IMAGE("https://cf.shopee.tw/file/2c9adea4480f5a073b88acc7cceb0c2b_tn")</f>
        <v/>
      </c>
      <c r="D2748" t="inlineStr">
        <is>
          <t>板岩藍,16 pro Max</t>
        </is>
      </c>
      <c r="E2748" t="inlineStr">
        <is>
          <t>205451588870</t>
        </is>
      </c>
      <c r="F2748">
        <f>IMAGE("https://cf.shopee.tw/file/aed1ae78e35d505803de3d03968ea985_tn")</f>
        <v/>
      </c>
    </row>
    <row r="2749">
      <c r="A2749" t="inlineStr">
        <is>
          <t>7062181500</t>
        </is>
      </c>
      <c r="B2749" t="inlineStr">
        <is>
          <t>隔日到貨🔥 iPhone 手機殼 16 15 14 13 12 11 pro XS XR SE 8 7保護殼 軟殼</t>
        </is>
      </c>
      <c r="C2749">
        <f>IMAGE("https://cf.shopee.tw/file/2c9adea4480f5a073b88acc7cceb0c2b_tn")</f>
        <v/>
      </c>
      <c r="D2749" t="inlineStr">
        <is>
          <t>板岩藍,11 Pro</t>
        </is>
      </c>
      <c r="E2749" t="inlineStr">
        <is>
          <t>89865119052</t>
        </is>
      </c>
      <c r="F2749">
        <f>IMAGE("https://cf.shopee.tw/file/aed1ae78e35d505803de3d03968ea985_tn")</f>
        <v/>
      </c>
    </row>
    <row r="2750">
      <c r="A2750" t="inlineStr">
        <is>
          <t>7062181500</t>
        </is>
      </c>
      <c r="B2750" t="inlineStr">
        <is>
          <t>隔日到貨🔥 iPhone 手機殼 16 15 14 13 12 11 pro XS XR SE 8 7保護殼 軟殼</t>
        </is>
      </c>
      <c r="C2750">
        <f>IMAGE("https://cf.shopee.tw/file/2c9adea4480f5a073b88acc7cceb0c2b_tn")</f>
        <v/>
      </c>
      <c r="D2750" t="inlineStr">
        <is>
          <t>海棠粉,7 / 8 / SE2 / SE3</t>
        </is>
      </c>
      <c r="E2750" t="inlineStr">
        <is>
          <t>22594539834</t>
        </is>
      </c>
      <c r="F2750">
        <f>IMAGE("https://cf.shopee.tw/file/19f48ffe79a53f03a37209ed4019b69c_tn")</f>
        <v/>
      </c>
    </row>
    <row r="2751">
      <c r="A2751" t="inlineStr">
        <is>
          <t>7062181500</t>
        </is>
      </c>
      <c r="B2751" t="inlineStr">
        <is>
          <t>隔日到貨🔥 iPhone 手機殼 16 15 14 13 12 11 pro XS XR SE 8 7保護殼 軟殼</t>
        </is>
      </c>
      <c r="C2751">
        <f>IMAGE("https://cf.shopee.tw/file/2c9adea4480f5a073b88acc7cceb0c2b_tn")</f>
        <v/>
      </c>
      <c r="D2751" t="inlineStr">
        <is>
          <t>海棠粉,7plus / 8plus</t>
        </is>
      </c>
      <c r="E2751" t="inlineStr"/>
      <c r="F2751">
        <f>IMAGE("https://cf.shopee.tw/file/19f48ffe79a53f03a37209ed4019b69c_tn")</f>
        <v/>
      </c>
    </row>
    <row r="2752">
      <c r="A2752" t="inlineStr">
        <is>
          <t>7062181500</t>
        </is>
      </c>
      <c r="B2752" t="inlineStr">
        <is>
          <t>隔日到貨🔥 iPhone 手機殼 16 15 14 13 12 11 pro XS XR SE 8 7保護殼 軟殼</t>
        </is>
      </c>
      <c r="C2752">
        <f>IMAGE("https://cf.shopee.tw/file/2c9adea4480f5a073b88acc7cceb0c2b_tn")</f>
        <v/>
      </c>
      <c r="D2752" t="inlineStr">
        <is>
          <t>海棠粉,X / XS</t>
        </is>
      </c>
      <c r="E2752" t="inlineStr">
        <is>
          <t>22594539836</t>
        </is>
      </c>
      <c r="F2752">
        <f>IMAGE("https://cf.shopee.tw/file/19f48ffe79a53f03a37209ed4019b69c_tn")</f>
        <v/>
      </c>
    </row>
    <row r="2753">
      <c r="A2753" t="inlineStr">
        <is>
          <t>7062181500</t>
        </is>
      </c>
      <c r="B2753" t="inlineStr">
        <is>
          <t>隔日到貨🔥 iPhone 手機殼 16 15 14 13 12 11 pro XS XR SE 8 7保護殼 軟殼</t>
        </is>
      </c>
      <c r="C2753">
        <f>IMAGE("https://cf.shopee.tw/file/2c9adea4480f5a073b88acc7cceb0c2b_tn")</f>
        <v/>
      </c>
      <c r="D2753" t="inlineStr">
        <is>
          <t>海棠粉,XR</t>
        </is>
      </c>
      <c r="E2753" t="inlineStr">
        <is>
          <t>22594539837</t>
        </is>
      </c>
      <c r="F2753">
        <f>IMAGE("https://cf.shopee.tw/file/19f48ffe79a53f03a37209ed4019b69c_tn")</f>
        <v/>
      </c>
    </row>
    <row r="2754">
      <c r="A2754" t="inlineStr">
        <is>
          <t>7062181500</t>
        </is>
      </c>
      <c r="B2754" t="inlineStr">
        <is>
          <t>隔日到貨🔥 iPhone 手機殼 16 15 14 13 12 11 pro XS XR SE 8 7保護殼 軟殼</t>
        </is>
      </c>
      <c r="C2754">
        <f>IMAGE("https://cf.shopee.tw/file/2c9adea4480f5a073b88acc7cceb0c2b_tn")</f>
        <v/>
      </c>
      <c r="D2754" t="inlineStr">
        <is>
          <t>海棠粉,11</t>
        </is>
      </c>
      <c r="E2754" t="inlineStr">
        <is>
          <t>31769775476</t>
        </is>
      </c>
      <c r="F2754">
        <f>IMAGE("https://cf.shopee.tw/file/19f48ffe79a53f03a37209ed4019b69c_tn")</f>
        <v/>
      </c>
    </row>
    <row r="2755">
      <c r="A2755" t="inlineStr">
        <is>
          <t>7062181500</t>
        </is>
      </c>
      <c r="B2755" t="inlineStr">
        <is>
          <t>隔日到貨🔥 iPhone 手機殼 16 15 14 13 12 11 pro XS XR SE 8 7保護殼 軟殼</t>
        </is>
      </c>
      <c r="C2755">
        <f>IMAGE("https://cf.shopee.tw/file/2c9adea4480f5a073b88acc7cceb0c2b_tn")</f>
        <v/>
      </c>
      <c r="D2755" t="inlineStr">
        <is>
          <t>海棠粉,12</t>
        </is>
      </c>
      <c r="E2755" t="inlineStr">
        <is>
          <t>22594539842</t>
        </is>
      </c>
      <c r="F2755">
        <f>IMAGE("https://cf.shopee.tw/file/19f48ffe79a53f03a37209ed4019b69c_tn")</f>
        <v/>
      </c>
    </row>
    <row r="2756">
      <c r="A2756" t="inlineStr">
        <is>
          <t>7062181500</t>
        </is>
      </c>
      <c r="B2756" t="inlineStr">
        <is>
          <t>隔日到貨🔥 iPhone 手機殼 16 15 14 13 12 11 pro XS XR SE 8 7保護殼 軟殼</t>
        </is>
      </c>
      <c r="C2756">
        <f>IMAGE("https://cf.shopee.tw/file/2c9adea4480f5a073b88acc7cceb0c2b_tn")</f>
        <v/>
      </c>
      <c r="D2756" t="inlineStr">
        <is>
          <t>海棠粉,12 pro</t>
        </is>
      </c>
      <c r="E2756" t="inlineStr">
        <is>
          <t>24567466437</t>
        </is>
      </c>
      <c r="F2756">
        <f>IMAGE("https://cf.shopee.tw/file/19f48ffe79a53f03a37209ed4019b69c_tn")</f>
        <v/>
      </c>
    </row>
    <row r="2757">
      <c r="A2757" t="inlineStr">
        <is>
          <t>7062181500</t>
        </is>
      </c>
      <c r="B2757" t="inlineStr">
        <is>
          <t>隔日到貨🔥 iPhone 手機殼 16 15 14 13 12 11 pro XS XR SE 8 7保護殼 軟殼</t>
        </is>
      </c>
      <c r="C2757">
        <f>IMAGE("https://cf.shopee.tw/file/2c9adea4480f5a073b88acc7cceb0c2b_tn")</f>
        <v/>
      </c>
      <c r="D2757" t="inlineStr">
        <is>
          <t>海棠粉,13</t>
        </is>
      </c>
      <c r="E2757" t="inlineStr">
        <is>
          <t>77435183233</t>
        </is>
      </c>
      <c r="F2757">
        <f>IMAGE("https://cf.shopee.tw/file/19f48ffe79a53f03a37209ed4019b69c_tn")</f>
        <v/>
      </c>
    </row>
    <row r="2758">
      <c r="A2758" t="inlineStr">
        <is>
          <t>7062181500</t>
        </is>
      </c>
      <c r="B2758" t="inlineStr">
        <is>
          <t>隔日到貨🔥 iPhone 手機殼 16 15 14 13 12 11 pro XS XR SE 8 7保護殼 軟殼</t>
        </is>
      </c>
      <c r="C2758">
        <f>IMAGE("https://cf.shopee.tw/file/2c9adea4480f5a073b88acc7cceb0c2b_tn")</f>
        <v/>
      </c>
      <c r="D2758" t="inlineStr">
        <is>
          <t>海棠粉,13 pro</t>
        </is>
      </c>
      <c r="E2758" t="inlineStr">
        <is>
          <t>77435183229</t>
        </is>
      </c>
      <c r="F2758">
        <f>IMAGE("https://cf.shopee.tw/file/19f48ffe79a53f03a37209ed4019b69c_tn")</f>
        <v/>
      </c>
    </row>
    <row r="2759">
      <c r="A2759" t="inlineStr">
        <is>
          <t>7062181500</t>
        </is>
      </c>
      <c r="B2759" t="inlineStr">
        <is>
          <t>隔日到貨🔥 iPhone 手機殼 16 15 14 13 12 11 pro XS XR SE 8 7保護殼 軟殼</t>
        </is>
      </c>
      <c r="C2759">
        <f>IMAGE("https://cf.shopee.tw/file/2c9adea4480f5a073b88acc7cceb0c2b_tn")</f>
        <v/>
      </c>
      <c r="D2759" t="inlineStr">
        <is>
          <t>海棠粉,13 pro Max</t>
        </is>
      </c>
      <c r="E2759" t="inlineStr">
        <is>
          <t>77435183230</t>
        </is>
      </c>
      <c r="F2759">
        <f>IMAGE("https://cf.shopee.tw/file/19f48ffe79a53f03a37209ed4019b69c_tn")</f>
        <v/>
      </c>
    </row>
    <row r="2760">
      <c r="A2760" t="inlineStr">
        <is>
          <t>7062181500</t>
        </is>
      </c>
      <c r="B2760" t="inlineStr">
        <is>
          <t>隔日到貨🔥 iPhone 手機殼 16 15 14 13 12 11 pro XS XR SE 8 7保護殼 軟殼</t>
        </is>
      </c>
      <c r="C2760">
        <f>IMAGE("https://cf.shopee.tw/file/2c9adea4480f5a073b88acc7cceb0c2b_tn")</f>
        <v/>
      </c>
      <c r="D2760" t="inlineStr">
        <is>
          <t>海棠粉,14</t>
        </is>
      </c>
      <c r="E2760" t="inlineStr"/>
      <c r="F2760">
        <f>IMAGE("https://cf.shopee.tw/file/19f48ffe79a53f03a37209ed4019b69c_tn")</f>
        <v/>
      </c>
    </row>
    <row r="2761">
      <c r="A2761" t="inlineStr">
        <is>
          <t>7062181500</t>
        </is>
      </c>
      <c r="B2761" t="inlineStr">
        <is>
          <t>隔日到貨🔥 iPhone 手機殼 16 15 14 13 12 11 pro XS XR SE 8 7保護殼 軟殼</t>
        </is>
      </c>
      <c r="C2761">
        <f>IMAGE("https://cf.shopee.tw/file/2c9adea4480f5a073b88acc7cceb0c2b_tn")</f>
        <v/>
      </c>
      <c r="D2761" t="inlineStr">
        <is>
          <t>海棠粉,14 pro</t>
        </is>
      </c>
      <c r="E2761" t="inlineStr">
        <is>
          <t>212364728853</t>
        </is>
      </c>
      <c r="F2761">
        <f>IMAGE("https://cf.shopee.tw/file/19f48ffe79a53f03a37209ed4019b69c_tn")</f>
        <v/>
      </c>
    </row>
    <row r="2762">
      <c r="A2762" t="inlineStr">
        <is>
          <t>7062181500</t>
        </is>
      </c>
      <c r="B2762" t="inlineStr">
        <is>
          <t>隔日到貨🔥 iPhone 手機殼 16 15 14 13 12 11 pro XS XR SE 8 7保護殼 軟殼</t>
        </is>
      </c>
      <c r="C2762">
        <f>IMAGE("https://cf.shopee.tw/file/2c9adea4480f5a073b88acc7cceb0c2b_tn")</f>
        <v/>
      </c>
      <c r="D2762" t="inlineStr">
        <is>
          <t>海棠粉,14 pro Max</t>
        </is>
      </c>
      <c r="E2762" t="inlineStr">
        <is>
          <t>212364728859</t>
        </is>
      </c>
      <c r="F2762">
        <f>IMAGE("https://cf.shopee.tw/file/19f48ffe79a53f03a37209ed4019b69c_tn")</f>
        <v/>
      </c>
    </row>
    <row r="2763">
      <c r="A2763" t="inlineStr">
        <is>
          <t>7062181500</t>
        </is>
      </c>
      <c r="B2763" t="inlineStr">
        <is>
          <t>隔日到貨🔥 iPhone 手機殼 16 15 14 13 12 11 pro XS XR SE 8 7保護殼 軟殼</t>
        </is>
      </c>
      <c r="C2763">
        <f>IMAGE("https://cf.shopee.tw/file/2c9adea4480f5a073b88acc7cceb0c2b_tn")</f>
        <v/>
      </c>
      <c r="D2763" t="inlineStr">
        <is>
          <t>海棠粉,15</t>
        </is>
      </c>
      <c r="E2763" t="inlineStr">
        <is>
          <t>197297186623</t>
        </is>
      </c>
      <c r="F2763">
        <f>IMAGE("https://cf.shopee.tw/file/19f48ffe79a53f03a37209ed4019b69c_tn")</f>
        <v/>
      </c>
    </row>
    <row r="2764">
      <c r="A2764" t="inlineStr">
        <is>
          <t>7062181500</t>
        </is>
      </c>
      <c r="B2764" t="inlineStr">
        <is>
          <t>隔日到貨🔥 iPhone 手機殼 16 15 14 13 12 11 pro XS XR SE 8 7保護殼 軟殼</t>
        </is>
      </c>
      <c r="C2764">
        <f>IMAGE("https://cf.shopee.tw/file/2c9adea4480f5a073b88acc7cceb0c2b_tn")</f>
        <v/>
      </c>
      <c r="D2764" t="inlineStr">
        <is>
          <t>海棠粉,15 pro</t>
        </is>
      </c>
      <c r="E2764" t="inlineStr"/>
      <c r="F2764">
        <f>IMAGE("https://cf.shopee.tw/file/19f48ffe79a53f03a37209ed4019b69c_tn")</f>
        <v/>
      </c>
    </row>
    <row r="2765">
      <c r="A2765" t="inlineStr">
        <is>
          <t>7062181500</t>
        </is>
      </c>
      <c r="B2765" t="inlineStr">
        <is>
          <t>隔日到貨🔥 iPhone 手機殼 16 15 14 13 12 11 pro XS XR SE 8 7保護殼 軟殼</t>
        </is>
      </c>
      <c r="C2765">
        <f>IMAGE("https://cf.shopee.tw/file/2c9adea4480f5a073b88acc7cceb0c2b_tn")</f>
        <v/>
      </c>
      <c r="D2765" t="inlineStr">
        <is>
          <t>海棠粉,15 pro Max</t>
        </is>
      </c>
      <c r="E2765" t="inlineStr"/>
      <c r="F2765">
        <f>IMAGE("https://cf.shopee.tw/file/19f48ffe79a53f03a37209ed4019b69c_tn")</f>
        <v/>
      </c>
    </row>
    <row r="2766">
      <c r="A2766" t="inlineStr">
        <is>
          <t>7062181500</t>
        </is>
      </c>
      <c r="B2766" t="inlineStr">
        <is>
          <t>隔日到貨🔥 iPhone 手機殼 16 15 14 13 12 11 pro XS XR SE 8 7保護殼 軟殼</t>
        </is>
      </c>
      <c r="C2766">
        <f>IMAGE("https://cf.shopee.tw/file/2c9adea4480f5a073b88acc7cceb0c2b_tn")</f>
        <v/>
      </c>
      <c r="D2766" t="inlineStr">
        <is>
          <t>海棠粉,16</t>
        </is>
      </c>
      <c r="E2766" t="inlineStr"/>
      <c r="F2766">
        <f>IMAGE("https://cf.shopee.tw/file/19f48ffe79a53f03a37209ed4019b69c_tn")</f>
        <v/>
      </c>
    </row>
    <row r="2767">
      <c r="A2767" t="inlineStr">
        <is>
          <t>7062181500</t>
        </is>
      </c>
      <c r="B2767" t="inlineStr">
        <is>
          <t>隔日到貨🔥 iPhone 手機殼 16 15 14 13 12 11 pro XS XR SE 8 7保護殼 軟殼</t>
        </is>
      </c>
      <c r="C2767">
        <f>IMAGE("https://cf.shopee.tw/file/2c9adea4480f5a073b88acc7cceb0c2b_tn")</f>
        <v/>
      </c>
      <c r="D2767" t="inlineStr">
        <is>
          <t>海棠粉,16 Plus</t>
        </is>
      </c>
      <c r="E2767" t="inlineStr">
        <is>
          <t>205451588872</t>
        </is>
      </c>
      <c r="F2767">
        <f>IMAGE("https://cf.shopee.tw/file/19f48ffe79a53f03a37209ed4019b69c_tn")</f>
        <v/>
      </c>
    </row>
    <row r="2768">
      <c r="A2768" t="inlineStr">
        <is>
          <t>7062181500</t>
        </is>
      </c>
      <c r="B2768" t="inlineStr">
        <is>
          <t>隔日到貨🔥 iPhone 手機殼 16 15 14 13 12 11 pro XS XR SE 8 7保護殼 軟殼</t>
        </is>
      </c>
      <c r="C2768">
        <f>IMAGE("https://cf.shopee.tw/file/2c9adea4480f5a073b88acc7cceb0c2b_tn")</f>
        <v/>
      </c>
      <c r="D2768" t="inlineStr">
        <is>
          <t>海棠粉,16 pro</t>
        </is>
      </c>
      <c r="E2768" t="inlineStr">
        <is>
          <t>205451588873</t>
        </is>
      </c>
      <c r="F2768">
        <f>IMAGE("https://cf.shopee.tw/file/19f48ffe79a53f03a37209ed4019b69c_tn")</f>
        <v/>
      </c>
    </row>
    <row r="2769">
      <c r="A2769" t="inlineStr">
        <is>
          <t>7062181500</t>
        </is>
      </c>
      <c r="B2769" t="inlineStr">
        <is>
          <t>隔日到貨🔥 iPhone 手機殼 16 15 14 13 12 11 pro XS XR SE 8 7保護殼 軟殼</t>
        </is>
      </c>
      <c r="C2769">
        <f>IMAGE("https://cf.shopee.tw/file/2c9adea4480f5a073b88acc7cceb0c2b_tn")</f>
        <v/>
      </c>
      <c r="D2769" t="inlineStr">
        <is>
          <t>海棠粉,16 pro Max</t>
        </is>
      </c>
      <c r="E2769" t="inlineStr">
        <is>
          <t>205451588874</t>
        </is>
      </c>
      <c r="F2769">
        <f>IMAGE("https://cf.shopee.tw/file/19f48ffe79a53f03a37209ed4019b69c_tn")</f>
        <v/>
      </c>
    </row>
    <row r="2770">
      <c r="A2770" t="inlineStr">
        <is>
          <t>7062181500</t>
        </is>
      </c>
      <c r="B2770" t="inlineStr">
        <is>
          <t>隔日到貨🔥 iPhone 手機殼 16 15 14 13 12 11 pro XS XR SE 8 7保護殼 軟殼</t>
        </is>
      </c>
      <c r="C2770">
        <f>IMAGE("https://cf.shopee.tw/file/2c9adea4480f5a073b88acc7cceb0c2b_tn")</f>
        <v/>
      </c>
      <c r="D2770" t="inlineStr">
        <is>
          <t>海棠粉,11 Pro</t>
        </is>
      </c>
      <c r="E2770" t="inlineStr">
        <is>
          <t>89865119053</t>
        </is>
      </c>
      <c r="F2770">
        <f>IMAGE("https://cf.shopee.tw/file/19f48ffe79a53f03a37209ed4019b69c_tn")</f>
        <v/>
      </c>
    </row>
    <row r="2771">
      <c r="A2771" t="inlineStr">
        <is>
          <t>19739254670</t>
        </is>
      </c>
      <c r="B2771" t="inlineStr">
        <is>
          <t>隔日到貨🔥 iPhone 手機殼 16 15 14 13 12 11 pro Max 保護殼 軟殼</t>
        </is>
      </c>
      <c r="C2771">
        <f>IMAGE("https://cf.shopee.tw/file/c011d75c4d3667e56dc6a5899a3535e3_tn")</f>
        <v/>
      </c>
      <c r="D2771" t="inlineStr">
        <is>
          <t>油畫藍梅花,11 pro Max</t>
        </is>
      </c>
      <c r="E2771" t="inlineStr"/>
      <c r="F2771">
        <f>IMAGE("https://cf.shopee.tw/file/c011d75c4d3667e56dc6a5899a3535e3_tn")</f>
        <v/>
      </c>
    </row>
    <row r="2772">
      <c r="A2772" t="inlineStr">
        <is>
          <t>19739254670</t>
        </is>
      </c>
      <c r="B2772" t="inlineStr">
        <is>
          <t>隔日到貨🔥 iPhone 手機殼 16 15 14 13 12 11 pro Max 保護殼 軟殼</t>
        </is>
      </c>
      <c r="C2772">
        <f>IMAGE("https://cf.shopee.tw/file/c011d75c4d3667e56dc6a5899a3535e3_tn")</f>
        <v/>
      </c>
      <c r="D2772" t="inlineStr">
        <is>
          <t>油畫藍梅花,7plus / 8plus</t>
        </is>
      </c>
      <c r="E2772" t="inlineStr"/>
      <c r="F2772">
        <f>IMAGE("https://cf.shopee.tw/file/c011d75c4d3667e56dc6a5899a3535e3_tn")</f>
        <v/>
      </c>
    </row>
    <row r="2773">
      <c r="A2773" t="inlineStr">
        <is>
          <t>19739254670</t>
        </is>
      </c>
      <c r="B2773" t="inlineStr">
        <is>
          <t>隔日到貨🔥 iPhone 手機殼 16 15 14 13 12 11 pro Max 保護殼 軟殼</t>
        </is>
      </c>
      <c r="C2773">
        <f>IMAGE("https://cf.shopee.tw/file/c011d75c4d3667e56dc6a5899a3535e3_tn")</f>
        <v/>
      </c>
      <c r="D2773" t="inlineStr">
        <is>
          <t>油畫藍梅花,XS Max</t>
        </is>
      </c>
      <c r="E2773" t="inlineStr">
        <is>
          <t>174233703123</t>
        </is>
      </c>
      <c r="F2773">
        <f>IMAGE("https://cf.shopee.tw/file/c011d75c4d3667e56dc6a5899a3535e3_tn")</f>
        <v/>
      </c>
    </row>
    <row r="2774">
      <c r="A2774" t="inlineStr">
        <is>
          <t>19739254670</t>
        </is>
      </c>
      <c r="B2774" t="inlineStr">
        <is>
          <t>隔日到貨🔥 iPhone 手機殼 16 15 14 13 12 11 pro Max 保護殼 軟殼</t>
        </is>
      </c>
      <c r="C2774">
        <f>IMAGE("https://cf.shopee.tw/file/c011d75c4d3667e56dc6a5899a3535e3_tn")</f>
        <v/>
      </c>
      <c r="D2774" t="inlineStr">
        <is>
          <t>油畫藍梅花,11</t>
        </is>
      </c>
      <c r="E2774" t="inlineStr"/>
      <c r="F2774">
        <f>IMAGE("https://cf.shopee.tw/file/c011d75c4d3667e56dc6a5899a3535e3_tn")</f>
        <v/>
      </c>
    </row>
    <row r="2775">
      <c r="A2775" t="inlineStr">
        <is>
          <t>19739254670</t>
        </is>
      </c>
      <c r="B2775" t="inlineStr">
        <is>
          <t>隔日到貨🔥 iPhone 手機殼 16 15 14 13 12 11 pro Max 保護殼 軟殼</t>
        </is>
      </c>
      <c r="C2775">
        <f>IMAGE("https://cf.shopee.tw/file/c011d75c4d3667e56dc6a5899a3535e3_tn")</f>
        <v/>
      </c>
      <c r="D2775" t="inlineStr">
        <is>
          <t>油畫藍梅花,11 pro</t>
        </is>
      </c>
      <c r="E2775" t="inlineStr"/>
      <c r="F2775">
        <f>IMAGE("https://cf.shopee.tw/file/c011d75c4d3667e56dc6a5899a3535e3_tn")</f>
        <v/>
      </c>
    </row>
    <row r="2776">
      <c r="A2776" t="inlineStr">
        <is>
          <t>19739254670</t>
        </is>
      </c>
      <c r="B2776" t="inlineStr">
        <is>
          <t>隔日到貨🔥 iPhone 手機殼 16 15 14 13 12 11 pro Max 保護殼 軟殼</t>
        </is>
      </c>
      <c r="C2776">
        <f>IMAGE("https://cf.shopee.tw/file/c011d75c4d3667e56dc6a5899a3535e3_tn")</f>
        <v/>
      </c>
      <c r="D2776" t="inlineStr">
        <is>
          <t>油畫藍梅花,12</t>
        </is>
      </c>
      <c r="E2776" t="inlineStr">
        <is>
          <t>174233703126</t>
        </is>
      </c>
      <c r="F2776">
        <f>IMAGE("https://cf.shopee.tw/file/c011d75c4d3667e56dc6a5899a3535e3_tn")</f>
        <v/>
      </c>
    </row>
    <row r="2777">
      <c r="A2777" t="inlineStr">
        <is>
          <t>19739254670</t>
        </is>
      </c>
      <c r="B2777" t="inlineStr">
        <is>
          <t>隔日到貨🔥 iPhone 手機殼 16 15 14 13 12 11 pro Max 保護殼 軟殼</t>
        </is>
      </c>
      <c r="C2777">
        <f>IMAGE("https://cf.shopee.tw/file/c011d75c4d3667e56dc6a5899a3535e3_tn")</f>
        <v/>
      </c>
      <c r="D2777" t="inlineStr">
        <is>
          <t>油畫藍梅花,12 pro</t>
        </is>
      </c>
      <c r="E2777" t="inlineStr">
        <is>
          <t>174233703118</t>
        </is>
      </c>
      <c r="F2777">
        <f>IMAGE("https://cf.shopee.tw/file/c011d75c4d3667e56dc6a5899a3535e3_tn")</f>
        <v/>
      </c>
    </row>
    <row r="2778">
      <c r="A2778" t="inlineStr">
        <is>
          <t>19739254670</t>
        </is>
      </c>
      <c r="B2778" t="inlineStr">
        <is>
          <t>隔日到貨🔥 iPhone 手機殼 16 15 14 13 12 11 pro Max 保護殼 軟殼</t>
        </is>
      </c>
      <c r="C2778">
        <f>IMAGE("https://cf.shopee.tw/file/c011d75c4d3667e56dc6a5899a3535e3_tn")</f>
        <v/>
      </c>
      <c r="D2778" t="inlineStr">
        <is>
          <t>油畫藍梅花,12 pro Max</t>
        </is>
      </c>
      <c r="E2778" t="inlineStr"/>
      <c r="F2778">
        <f>IMAGE("https://cf.shopee.tw/file/c011d75c4d3667e56dc6a5899a3535e3_tn")</f>
        <v/>
      </c>
    </row>
    <row r="2779">
      <c r="A2779" t="inlineStr">
        <is>
          <t>19739254670</t>
        </is>
      </c>
      <c r="B2779" t="inlineStr">
        <is>
          <t>隔日到貨🔥 iPhone 手機殼 16 15 14 13 12 11 pro Max 保護殼 軟殼</t>
        </is>
      </c>
      <c r="C2779">
        <f>IMAGE("https://cf.shopee.tw/file/c011d75c4d3667e56dc6a5899a3535e3_tn")</f>
        <v/>
      </c>
      <c r="D2779" t="inlineStr">
        <is>
          <t>油畫藍梅花,12 mini</t>
        </is>
      </c>
      <c r="E2779" t="inlineStr"/>
      <c r="F2779">
        <f>IMAGE("https://cf.shopee.tw/file/c011d75c4d3667e56dc6a5899a3535e3_tn")</f>
        <v/>
      </c>
    </row>
    <row r="2780">
      <c r="A2780" t="inlineStr">
        <is>
          <t>19739254670</t>
        </is>
      </c>
      <c r="B2780" t="inlineStr">
        <is>
          <t>隔日到貨🔥 iPhone 手機殼 16 15 14 13 12 11 pro Max 保護殼 軟殼</t>
        </is>
      </c>
      <c r="C2780">
        <f>IMAGE("https://cf.shopee.tw/file/c011d75c4d3667e56dc6a5899a3535e3_tn")</f>
        <v/>
      </c>
      <c r="D2780" t="inlineStr">
        <is>
          <t>油畫藍梅花,13</t>
        </is>
      </c>
      <c r="E2780" t="inlineStr">
        <is>
          <t>174233703120</t>
        </is>
      </c>
      <c r="F2780">
        <f>IMAGE("https://cf.shopee.tw/file/c011d75c4d3667e56dc6a5899a3535e3_tn")</f>
        <v/>
      </c>
    </row>
    <row r="2781">
      <c r="A2781" t="inlineStr">
        <is>
          <t>19739254670</t>
        </is>
      </c>
      <c r="B2781" t="inlineStr">
        <is>
          <t>隔日到貨🔥 iPhone 手機殼 16 15 14 13 12 11 pro Max 保護殼 軟殼</t>
        </is>
      </c>
      <c r="C2781">
        <f>IMAGE("https://cf.shopee.tw/file/c011d75c4d3667e56dc6a5899a3535e3_tn")</f>
        <v/>
      </c>
      <c r="D2781" t="inlineStr">
        <is>
          <t>油畫藍梅花,13 pro</t>
        </is>
      </c>
      <c r="E2781" t="inlineStr">
        <is>
          <t>174233703121</t>
        </is>
      </c>
      <c r="F2781">
        <f>IMAGE("https://cf.shopee.tw/file/c011d75c4d3667e56dc6a5899a3535e3_tn")</f>
        <v/>
      </c>
    </row>
    <row r="2782">
      <c r="A2782" t="inlineStr">
        <is>
          <t>19739254670</t>
        </is>
      </c>
      <c r="B2782" t="inlineStr">
        <is>
          <t>隔日到貨🔥 iPhone 手機殼 16 15 14 13 12 11 pro Max 保護殼 軟殼</t>
        </is>
      </c>
      <c r="C2782">
        <f>IMAGE("https://cf.shopee.tw/file/c011d75c4d3667e56dc6a5899a3535e3_tn")</f>
        <v/>
      </c>
      <c r="D2782" t="inlineStr">
        <is>
          <t>油畫藍梅花,13 pro Max</t>
        </is>
      </c>
      <c r="E2782" t="inlineStr">
        <is>
          <t>174233703127</t>
        </is>
      </c>
      <c r="F2782">
        <f>IMAGE("https://cf.shopee.tw/file/c011d75c4d3667e56dc6a5899a3535e3_tn")</f>
        <v/>
      </c>
    </row>
    <row r="2783">
      <c r="A2783" t="inlineStr">
        <is>
          <t>19739254670</t>
        </is>
      </c>
      <c r="B2783" t="inlineStr">
        <is>
          <t>隔日到貨🔥 iPhone 手機殼 16 15 14 13 12 11 pro Max 保護殼 軟殼</t>
        </is>
      </c>
      <c r="C2783">
        <f>IMAGE("https://cf.shopee.tw/file/c011d75c4d3667e56dc6a5899a3535e3_tn")</f>
        <v/>
      </c>
      <c r="D2783" t="inlineStr">
        <is>
          <t>油畫藍梅花,13 mini</t>
        </is>
      </c>
      <c r="E2783" t="inlineStr"/>
      <c r="F2783">
        <f>IMAGE("https://cf.shopee.tw/file/c011d75c4d3667e56dc6a5899a3535e3_tn")</f>
        <v/>
      </c>
    </row>
    <row r="2784">
      <c r="A2784" t="inlineStr">
        <is>
          <t>19739254670</t>
        </is>
      </c>
      <c r="B2784" t="inlineStr">
        <is>
          <t>隔日到貨🔥 iPhone 手機殼 16 15 14 13 12 11 pro Max 保護殼 軟殼</t>
        </is>
      </c>
      <c r="C2784">
        <f>IMAGE("https://cf.shopee.tw/file/c011d75c4d3667e56dc6a5899a3535e3_tn")</f>
        <v/>
      </c>
      <c r="D2784" t="inlineStr">
        <is>
          <t>油畫藍梅花,14</t>
        </is>
      </c>
      <c r="E2784" t="inlineStr">
        <is>
          <t>145797754563</t>
        </is>
      </c>
      <c r="F2784">
        <f>IMAGE("https://cf.shopee.tw/file/c011d75c4d3667e56dc6a5899a3535e3_tn")</f>
        <v/>
      </c>
    </row>
    <row r="2785">
      <c r="A2785" t="inlineStr">
        <is>
          <t>19739254670</t>
        </is>
      </c>
      <c r="B2785" t="inlineStr">
        <is>
          <t>隔日到貨🔥 iPhone 手機殼 16 15 14 13 12 11 pro Max 保護殼 軟殼</t>
        </is>
      </c>
      <c r="C2785">
        <f>IMAGE("https://cf.shopee.tw/file/c011d75c4d3667e56dc6a5899a3535e3_tn")</f>
        <v/>
      </c>
      <c r="D2785" t="inlineStr">
        <is>
          <t>油畫藍梅花,14 Plus</t>
        </is>
      </c>
      <c r="E2785" t="inlineStr">
        <is>
          <t>145797754560</t>
        </is>
      </c>
      <c r="F2785">
        <f>IMAGE("https://cf.shopee.tw/file/c011d75c4d3667e56dc6a5899a3535e3_tn")</f>
        <v/>
      </c>
    </row>
    <row r="2786">
      <c r="A2786" t="inlineStr">
        <is>
          <t>19739254670</t>
        </is>
      </c>
      <c r="B2786" t="inlineStr">
        <is>
          <t>隔日到貨🔥 iPhone 手機殼 16 15 14 13 12 11 pro Max 保護殼 軟殼</t>
        </is>
      </c>
      <c r="C2786">
        <f>IMAGE("https://cf.shopee.tw/file/c011d75c4d3667e56dc6a5899a3535e3_tn")</f>
        <v/>
      </c>
      <c r="D2786" t="inlineStr">
        <is>
          <t>油畫藍梅花,14 pro</t>
        </is>
      </c>
      <c r="E2786" t="inlineStr">
        <is>
          <t>145797754561</t>
        </is>
      </c>
      <c r="F2786">
        <f>IMAGE("https://cf.shopee.tw/file/c011d75c4d3667e56dc6a5899a3535e3_tn")</f>
        <v/>
      </c>
    </row>
    <row r="2787">
      <c r="A2787" t="inlineStr">
        <is>
          <t>19739254670</t>
        </is>
      </c>
      <c r="B2787" t="inlineStr">
        <is>
          <t>隔日到貨🔥 iPhone 手機殼 16 15 14 13 12 11 pro Max 保護殼 軟殼</t>
        </is>
      </c>
      <c r="C2787">
        <f>IMAGE("https://cf.shopee.tw/file/c011d75c4d3667e56dc6a5899a3535e3_tn")</f>
        <v/>
      </c>
      <c r="D2787" t="inlineStr">
        <is>
          <t>油畫藍梅花,14 pro Max</t>
        </is>
      </c>
      <c r="E2787" t="inlineStr">
        <is>
          <t>145797754562</t>
        </is>
      </c>
      <c r="F2787">
        <f>IMAGE("https://cf.shopee.tw/file/c011d75c4d3667e56dc6a5899a3535e3_tn")</f>
        <v/>
      </c>
    </row>
    <row r="2788">
      <c r="A2788" t="inlineStr">
        <is>
          <t>19739254670</t>
        </is>
      </c>
      <c r="B2788" t="inlineStr">
        <is>
          <t>隔日到貨🔥 iPhone 手機殼 16 15 14 13 12 11 pro Max 保護殼 軟殼</t>
        </is>
      </c>
      <c r="C2788">
        <f>IMAGE("https://cf.shopee.tw/file/c011d75c4d3667e56dc6a5899a3535e3_tn")</f>
        <v/>
      </c>
      <c r="D2788" t="inlineStr">
        <is>
          <t>油畫藍梅花,15</t>
        </is>
      </c>
      <c r="E2788" t="inlineStr">
        <is>
          <t>184585456026</t>
        </is>
      </c>
      <c r="F2788">
        <f>IMAGE("https://cf.shopee.tw/file/c011d75c4d3667e56dc6a5899a3535e3_tn")</f>
        <v/>
      </c>
    </row>
    <row r="2789">
      <c r="A2789" t="inlineStr">
        <is>
          <t>19739254670</t>
        </is>
      </c>
      <c r="B2789" t="inlineStr">
        <is>
          <t>隔日到貨🔥 iPhone 手機殼 16 15 14 13 12 11 pro Max 保護殼 軟殼</t>
        </is>
      </c>
      <c r="C2789">
        <f>IMAGE("https://cf.shopee.tw/file/c011d75c4d3667e56dc6a5899a3535e3_tn")</f>
        <v/>
      </c>
      <c r="D2789" t="inlineStr">
        <is>
          <t>油畫藍梅花,15 Plus</t>
        </is>
      </c>
      <c r="E2789" t="inlineStr">
        <is>
          <t>184585456025</t>
        </is>
      </c>
      <c r="F2789">
        <f>IMAGE("https://cf.shopee.tw/file/c011d75c4d3667e56dc6a5899a3535e3_tn")</f>
        <v/>
      </c>
    </row>
    <row r="2790">
      <c r="A2790" t="inlineStr">
        <is>
          <t>19739254670</t>
        </is>
      </c>
      <c r="B2790" t="inlineStr">
        <is>
          <t>隔日到貨🔥 iPhone 手機殼 16 15 14 13 12 11 pro Max 保護殼 軟殼</t>
        </is>
      </c>
      <c r="C2790">
        <f>IMAGE("https://cf.shopee.tw/file/c011d75c4d3667e56dc6a5899a3535e3_tn")</f>
        <v/>
      </c>
      <c r="D2790" t="inlineStr">
        <is>
          <t>油畫藍梅花,15 pro</t>
        </is>
      </c>
      <c r="E2790" t="inlineStr">
        <is>
          <t>184585456028</t>
        </is>
      </c>
      <c r="F2790">
        <f>IMAGE("https://cf.shopee.tw/file/c011d75c4d3667e56dc6a5899a3535e3_tn")</f>
        <v/>
      </c>
    </row>
    <row r="2791">
      <c r="A2791" t="inlineStr">
        <is>
          <t>19739254670</t>
        </is>
      </c>
      <c r="B2791" t="inlineStr">
        <is>
          <t>隔日到貨🔥 iPhone 手機殼 16 15 14 13 12 11 pro Max 保護殼 軟殼</t>
        </is>
      </c>
      <c r="C2791">
        <f>IMAGE("https://cf.shopee.tw/file/c011d75c4d3667e56dc6a5899a3535e3_tn")</f>
        <v/>
      </c>
      <c r="D2791" t="inlineStr">
        <is>
          <t>油畫藍梅花,15 pro Max</t>
        </is>
      </c>
      <c r="E2791" t="inlineStr">
        <is>
          <t>184585456027</t>
        </is>
      </c>
      <c r="F2791">
        <f>IMAGE("https://cf.shopee.tw/file/c011d75c4d3667e56dc6a5899a3535e3_tn")</f>
        <v/>
      </c>
    </row>
    <row r="2792">
      <c r="A2792" t="inlineStr">
        <is>
          <t>19739254670</t>
        </is>
      </c>
      <c r="B2792" t="inlineStr">
        <is>
          <t>隔日到貨🔥 iPhone 手機殼 16 15 14 13 12 11 pro Max 保護殼 軟殼</t>
        </is>
      </c>
      <c r="C2792">
        <f>IMAGE("https://cf.shopee.tw/file/c011d75c4d3667e56dc6a5899a3535e3_tn")</f>
        <v/>
      </c>
      <c r="D2792" t="inlineStr">
        <is>
          <t>油畫藍梅花,16</t>
        </is>
      </c>
      <c r="E2792" t="inlineStr">
        <is>
          <t>256751582978</t>
        </is>
      </c>
      <c r="F2792">
        <f>IMAGE("https://cf.shopee.tw/file/c011d75c4d3667e56dc6a5899a3535e3_tn")</f>
        <v/>
      </c>
    </row>
    <row r="2793">
      <c r="A2793" t="inlineStr">
        <is>
          <t>19739254670</t>
        </is>
      </c>
      <c r="B2793" t="inlineStr">
        <is>
          <t>隔日到貨🔥 iPhone 手機殼 16 15 14 13 12 11 pro Max 保護殼 軟殼</t>
        </is>
      </c>
      <c r="C2793">
        <f>IMAGE("https://cf.shopee.tw/file/c011d75c4d3667e56dc6a5899a3535e3_tn")</f>
        <v/>
      </c>
      <c r="D2793" t="inlineStr">
        <is>
          <t>油畫藍梅花,16 Plus</t>
        </is>
      </c>
      <c r="E2793" t="inlineStr"/>
      <c r="F2793">
        <f>IMAGE("https://cf.shopee.tw/file/c011d75c4d3667e56dc6a5899a3535e3_tn")</f>
        <v/>
      </c>
    </row>
    <row r="2794">
      <c r="A2794" t="inlineStr">
        <is>
          <t>19739254670</t>
        </is>
      </c>
      <c r="B2794" t="inlineStr">
        <is>
          <t>隔日到貨🔥 iPhone 手機殼 16 15 14 13 12 11 pro Max 保護殼 軟殼</t>
        </is>
      </c>
      <c r="C2794">
        <f>IMAGE("https://cf.shopee.tw/file/c011d75c4d3667e56dc6a5899a3535e3_tn")</f>
        <v/>
      </c>
      <c r="D2794" t="inlineStr">
        <is>
          <t>油畫藍梅花,16 pro</t>
        </is>
      </c>
      <c r="E2794" t="inlineStr">
        <is>
          <t>256751582980</t>
        </is>
      </c>
      <c r="F2794">
        <f>IMAGE("https://cf.shopee.tw/file/c011d75c4d3667e56dc6a5899a3535e3_tn")</f>
        <v/>
      </c>
    </row>
    <row r="2795">
      <c r="A2795" t="inlineStr">
        <is>
          <t>19739254670</t>
        </is>
      </c>
      <c r="B2795" t="inlineStr">
        <is>
          <t>隔日到貨🔥 iPhone 手機殼 16 15 14 13 12 11 pro Max 保護殼 軟殼</t>
        </is>
      </c>
      <c r="C2795">
        <f>IMAGE("https://cf.shopee.tw/file/c011d75c4d3667e56dc6a5899a3535e3_tn")</f>
        <v/>
      </c>
      <c r="D2795" t="inlineStr">
        <is>
          <t>油畫藍梅花,16 pro Max</t>
        </is>
      </c>
      <c r="E2795" t="inlineStr">
        <is>
          <t>256751582981</t>
        </is>
      </c>
      <c r="F2795">
        <f>IMAGE("https://cf.shopee.tw/file/c011d75c4d3667e56dc6a5899a3535e3_tn")</f>
        <v/>
      </c>
    </row>
    <row r="2796">
      <c r="A2796" t="inlineStr">
        <is>
          <t>18665210735</t>
        </is>
      </c>
      <c r="B2796" t="inlineStr">
        <is>
          <t>隔日到貨🔥 自動傘 折疊傘 晴雨兩用 自動開合 雨傘 防風 防潑水 遮陽傘 黑膠 折疊傘 熱銷款 傘 超大傘面</t>
        </is>
      </c>
      <c r="C2796">
        <f>IMAGE("https://cf.shopee.tw/file/sg-11134201-22110-kxu9bciu3ckv4b_tn")</f>
        <v/>
      </c>
      <c r="D2796" t="inlineStr">
        <is>
          <t>天藍</t>
        </is>
      </c>
      <c r="E2796" t="inlineStr">
        <is>
          <t>146338970217</t>
        </is>
      </c>
      <c r="F2796">
        <f>IMAGE("https://cf.shopee.tw/file/sg-11134201-22110-tq0g4i2y3ckvef_tn")</f>
        <v/>
      </c>
    </row>
    <row r="2797">
      <c r="A2797" t="inlineStr">
        <is>
          <t>18665210735</t>
        </is>
      </c>
      <c r="B2797" t="inlineStr">
        <is>
          <t>隔日到貨🔥 自動傘 折疊傘 晴雨兩用 自動開合 雨傘 防風 防潑水 遮陽傘 黑膠 折疊傘 熱銷款 傘 超大傘面</t>
        </is>
      </c>
      <c r="C2797">
        <f>IMAGE("https://cf.shopee.tw/file/sg-11134201-22110-kxu9bciu3ckv4b_tn")</f>
        <v/>
      </c>
      <c r="D2797" t="inlineStr">
        <is>
          <t>黑色</t>
        </is>
      </c>
      <c r="E2797" t="inlineStr">
        <is>
          <t>146338970218</t>
        </is>
      </c>
      <c r="F2797">
        <f>IMAGE("https://cf.shopee.tw/file/sg-11134201-22110-5kqo3q5y3ckvbf_tn")</f>
        <v/>
      </c>
    </row>
    <row r="2798">
      <c r="A2798" t="inlineStr">
        <is>
          <t>18665210735</t>
        </is>
      </c>
      <c r="B2798" t="inlineStr">
        <is>
          <t>隔日到貨🔥 自動傘 折疊傘 晴雨兩用 自動開合 雨傘 防風 防潑水 遮陽傘 黑膠 折疊傘 熱銷款 傘 超大傘面</t>
        </is>
      </c>
      <c r="C2798">
        <f>IMAGE("https://cf.shopee.tw/file/sg-11134201-22110-kxu9bciu3ckv4b_tn")</f>
        <v/>
      </c>
      <c r="D2798" t="inlineStr">
        <is>
          <t>米白</t>
        </is>
      </c>
      <c r="E2798" t="inlineStr">
        <is>
          <t>146338970219</t>
        </is>
      </c>
      <c r="F2798">
        <f>IMAGE("https://cf.shopee.tw/file/sg-11134201-22110-dffmn88y3ckv6b_tn")</f>
        <v/>
      </c>
    </row>
    <row r="2799">
      <c r="A2799" t="inlineStr">
        <is>
          <t>18665210735</t>
        </is>
      </c>
      <c r="B2799" t="inlineStr">
        <is>
          <t>隔日到貨🔥 自動傘 折疊傘 晴雨兩用 自動開合 雨傘 防風 防潑水 遮陽傘 黑膠 折疊傘 熱銷款 傘 超大傘面</t>
        </is>
      </c>
      <c r="C2799">
        <f>IMAGE("https://cf.shopee.tw/file/sg-11134201-22110-kxu9bciu3ckv4b_tn")</f>
        <v/>
      </c>
      <c r="D2799" t="inlineStr">
        <is>
          <t>粉色</t>
        </is>
      </c>
      <c r="E2799" t="inlineStr">
        <is>
          <t>146338970214</t>
        </is>
      </c>
      <c r="F2799">
        <f>IMAGE("https://cf.shopee.tw/file/sg-11134201-22110-4kujtzaz3ckv7e_tn")</f>
        <v/>
      </c>
    </row>
    <row r="2800">
      <c r="A2800" t="inlineStr">
        <is>
          <t>18665210735</t>
        </is>
      </c>
      <c r="B2800" t="inlineStr">
        <is>
          <t>隔日到貨🔥 自動傘 折疊傘 晴雨兩用 自動開合 雨傘 防風 防潑水 遮陽傘 黑膠 折疊傘 熱銷款 傘 超大傘面</t>
        </is>
      </c>
      <c r="C2800">
        <f>IMAGE("https://cf.shopee.tw/file/sg-11134201-22110-kxu9bciu3ckv4b_tn")</f>
        <v/>
      </c>
      <c r="D2800" t="inlineStr">
        <is>
          <t>藏青</t>
        </is>
      </c>
      <c r="E2800" t="inlineStr">
        <is>
          <t>146338970215</t>
        </is>
      </c>
      <c r="F2800">
        <f>IMAGE("https://cf.shopee.tw/file/sg-11134201-22110-mbbtc9dz3ckvee_tn")</f>
        <v/>
      </c>
    </row>
    <row r="2801">
      <c r="A2801" t="inlineStr">
        <is>
          <t>18665210735</t>
        </is>
      </c>
      <c r="B2801" t="inlineStr">
        <is>
          <t>隔日到貨🔥 自動傘 折疊傘 晴雨兩用 自動開合 雨傘 防風 防潑水 遮陽傘 黑膠 折疊傘 熱銷款 傘 超大傘面</t>
        </is>
      </c>
      <c r="C2801">
        <f>IMAGE("https://cf.shopee.tw/file/sg-11134201-22110-kxu9bciu3ckv4b_tn")</f>
        <v/>
      </c>
      <c r="D2801" t="inlineStr">
        <is>
          <t>墨綠</t>
        </is>
      </c>
      <c r="E2801" t="inlineStr">
        <is>
          <t>146338970216</t>
        </is>
      </c>
      <c r="F2801">
        <f>IMAGE("https://cf.shopee.tw/file/sg-11134201-22110-i5ewmwgz3ckv7a_tn")</f>
        <v/>
      </c>
    </row>
    <row r="2802">
      <c r="A2802" t="inlineStr">
        <is>
          <t>19366645359</t>
        </is>
      </c>
      <c r="B2802" t="inlineStr">
        <is>
          <t>隔日到貨🔥 帆布袋 手桶包 杯套 B3 小包 手提袋 飲料袋 斜背包 手搖飲料袋 提袋 方便 便攜 棉麻 袋 杯袋</t>
        </is>
      </c>
      <c r="C2802">
        <f>IMAGE("https://cf.shopee.tw/file/sg-11134201-22120-efzdan4ncnkv9a_tn")</f>
        <v/>
      </c>
      <c r="D2802" t="inlineStr">
        <is>
          <t>星球小熊</t>
        </is>
      </c>
      <c r="E2802" t="inlineStr">
        <is>
          <t>183429654367</t>
        </is>
      </c>
      <c r="F2802">
        <f>IMAGE("https://cf.shopee.tw/file/sg-11134201-22120-1locvttpcnkv67_tn")</f>
        <v/>
      </c>
    </row>
    <row r="2803">
      <c r="A2803" t="inlineStr">
        <is>
          <t>19366645359</t>
        </is>
      </c>
      <c r="B2803" t="inlineStr">
        <is>
          <t>隔日到貨🔥 帆布袋 手桶包 杯套 B3 小包 手提袋 飲料袋 斜背包 手搖飲料袋 提袋 方便 便攜 棉麻 袋 杯袋</t>
        </is>
      </c>
      <c r="C2803">
        <f>IMAGE("https://cf.shopee.tw/file/sg-11134201-22120-efzdan4ncnkv9a_tn")</f>
        <v/>
      </c>
      <c r="D2803" t="inlineStr">
        <is>
          <t>星球小兔</t>
        </is>
      </c>
      <c r="E2803" t="inlineStr">
        <is>
          <t>183429654365</t>
        </is>
      </c>
      <c r="F2803">
        <f>IMAGE("https://cf.shopee.tw/file/sg-11134201-22120-4wnu7z1pcnkve5_tn")</f>
        <v/>
      </c>
    </row>
    <row r="2804">
      <c r="A2804" t="inlineStr">
        <is>
          <t>19366645359</t>
        </is>
      </c>
      <c r="B2804" t="inlineStr">
        <is>
          <t>隔日到貨🔥 帆布袋 手桶包 杯套 B3 小包 手提袋 飲料袋 斜背包 手搖飲料袋 提袋 方便 便攜 棉麻 袋 杯袋</t>
        </is>
      </c>
      <c r="C2804">
        <f>IMAGE("https://cf.shopee.tw/file/sg-11134201-22120-efzdan4ncnkv9a_tn")</f>
        <v/>
      </c>
      <c r="D2804" t="inlineStr">
        <is>
          <t>開心小狗</t>
        </is>
      </c>
      <c r="E2804" t="inlineStr">
        <is>
          <t>183429654366</t>
        </is>
      </c>
      <c r="F2804">
        <f>IMAGE("https://cf.shopee.tw/file/sg-11134201-22120-1opmrhqqcnkv06_tn")</f>
        <v/>
      </c>
    </row>
    <row r="2805">
      <c r="A2805" t="inlineStr">
        <is>
          <t>19366645359</t>
        </is>
      </c>
      <c r="B2805" t="inlineStr">
        <is>
          <t>隔日到貨🔥 帆布袋 手桶包 杯套 B3 小包 手提袋 飲料袋 斜背包 手搖飲料袋 提袋 方便 便攜 棉麻 袋 杯袋</t>
        </is>
      </c>
      <c r="C2805">
        <f>IMAGE("https://cf.shopee.tw/file/sg-11134201-22120-efzdan4ncnkv9a_tn")</f>
        <v/>
      </c>
      <c r="D2805" t="inlineStr">
        <is>
          <t>腮紅小熊</t>
        </is>
      </c>
      <c r="E2805" t="inlineStr">
        <is>
          <t>214066993998</t>
        </is>
      </c>
      <c r="F2805">
        <f>IMAGE("https://cf.shopee.tw/file/tw-11134207-23030-0qp62desfrov2f_tn")</f>
        <v/>
      </c>
    </row>
    <row r="2806">
      <c r="A2806" t="inlineStr">
        <is>
          <t>19366645359</t>
        </is>
      </c>
      <c r="B2806" t="inlineStr">
        <is>
          <t>隔日到貨🔥 帆布袋 手桶包 杯套 B3 小包 手提袋 飲料袋 斜背包 手搖飲料袋 提袋 方便 便攜 棉麻 袋 杯袋</t>
        </is>
      </c>
      <c r="C2806">
        <f>IMAGE("https://cf.shopee.tw/file/sg-11134201-22120-efzdan4ncnkv9a_tn")</f>
        <v/>
      </c>
      <c r="D2806" t="inlineStr">
        <is>
          <t>兩隻貓貓(無吸磁扣)</t>
        </is>
      </c>
      <c r="E2806" t="inlineStr"/>
      <c r="F2806">
        <f>IMAGE("https://cf.shopee.tw/file/tw-11134207-7qul2-lkgkbu662hiw34_tn")</f>
        <v/>
      </c>
    </row>
    <row r="2807">
      <c r="A2807" t="inlineStr">
        <is>
          <t>23751073074</t>
        </is>
      </c>
      <c r="B2807" t="inlineStr">
        <is>
          <t>隔日到貨🔥 iPhone 鏡面 手機殼 17 16 15 14 pro 13 12 11 15pro 保護殼 軟殼 蘋果</t>
        </is>
      </c>
      <c r="C2807">
        <f>IMAGE("https://cf.shopee.tw/file/tw-11134207-7ras8-m1n2dhjmgeu531_tn")</f>
        <v/>
      </c>
      <c r="D2807" t="inlineStr">
        <is>
          <t>電鍍鏡面 髮帶貓,11</t>
        </is>
      </c>
      <c r="E2807" t="inlineStr">
        <is>
          <t>118977507293</t>
        </is>
      </c>
      <c r="F2807">
        <f>IMAGE("https://cf.shopee.tw/file/tw-11134207-7qul5-lkc6ern0xu7s54_tn")</f>
        <v/>
      </c>
    </row>
    <row r="2808">
      <c r="A2808" t="inlineStr">
        <is>
          <t>23751073074</t>
        </is>
      </c>
      <c r="B2808" t="inlineStr">
        <is>
          <t>隔日到貨🔥 iPhone 鏡面 手機殼 17 16 15 14 pro 13 12 11 15pro 保護殼 軟殼 蘋果</t>
        </is>
      </c>
      <c r="C2808">
        <f>IMAGE("https://cf.shopee.tw/file/tw-11134207-7ras8-m1n2dhjmgeu531_tn")</f>
        <v/>
      </c>
      <c r="D2808" t="inlineStr">
        <is>
          <t>電鍍鏡面 髮帶貓,11 Pro Max</t>
        </is>
      </c>
      <c r="E2808" t="inlineStr">
        <is>
          <t>204896073427</t>
        </is>
      </c>
      <c r="F2808">
        <f>IMAGE("https://cf.shopee.tw/file/tw-11134207-7qul5-lkc6ern0xu7s54_tn")</f>
        <v/>
      </c>
    </row>
    <row r="2809">
      <c r="A2809" t="inlineStr">
        <is>
          <t>23751073074</t>
        </is>
      </c>
      <c r="B2809" t="inlineStr">
        <is>
          <t>隔日到貨🔥 iPhone 鏡面 手機殼 17 16 15 14 pro 13 12 11 15pro 保護殼 軟殼 蘋果</t>
        </is>
      </c>
      <c r="C2809">
        <f>IMAGE("https://cf.shopee.tw/file/tw-11134207-7ras8-m1n2dhjmgeu531_tn")</f>
        <v/>
      </c>
      <c r="D2809" t="inlineStr">
        <is>
          <t>電鍍鏡面 髮帶貓,12 / 12 Pro</t>
        </is>
      </c>
      <c r="E2809" t="inlineStr">
        <is>
          <t>214499602151</t>
        </is>
      </c>
      <c r="F2809">
        <f>IMAGE("https://cf.shopee.tw/file/tw-11134207-7qul5-lkc6ern0xu7s54_tn")</f>
        <v/>
      </c>
    </row>
    <row r="2810">
      <c r="A2810" t="inlineStr">
        <is>
          <t>23751073074</t>
        </is>
      </c>
      <c r="B2810" t="inlineStr">
        <is>
          <t>隔日到貨🔥 iPhone 鏡面 手機殼 17 16 15 14 pro 13 12 11 15pro 保護殼 軟殼 蘋果</t>
        </is>
      </c>
      <c r="C2810">
        <f>IMAGE("https://cf.shopee.tw/file/tw-11134207-7ras8-m1n2dhjmgeu531_tn")</f>
        <v/>
      </c>
      <c r="D2810" t="inlineStr">
        <is>
          <t>電鍍鏡面 髮帶貓,12 Pro Max</t>
        </is>
      </c>
      <c r="E2810" t="inlineStr">
        <is>
          <t>118977507288</t>
        </is>
      </c>
      <c r="F2810">
        <f>IMAGE("https://cf.shopee.tw/file/tw-11134207-7qul5-lkc6ern0xu7s54_tn")</f>
        <v/>
      </c>
    </row>
    <row r="2811">
      <c r="A2811" t="inlineStr">
        <is>
          <t>23751073074</t>
        </is>
      </c>
      <c r="B2811" t="inlineStr">
        <is>
          <t>隔日到貨🔥 iPhone 鏡面 手機殼 17 16 15 14 pro 13 12 11 15pro 保護殼 軟殼 蘋果</t>
        </is>
      </c>
      <c r="C2811">
        <f>IMAGE("https://cf.shopee.tw/file/tw-11134207-7ras8-m1n2dhjmgeu531_tn")</f>
        <v/>
      </c>
      <c r="D2811" t="inlineStr">
        <is>
          <t>電鍍鏡面 髮帶貓,13/14</t>
        </is>
      </c>
      <c r="E2811" t="inlineStr">
        <is>
          <t>118977507289</t>
        </is>
      </c>
      <c r="F2811">
        <f>IMAGE("https://cf.shopee.tw/file/tw-11134207-7qul5-lkc6ern0xu7s54_tn")</f>
        <v/>
      </c>
    </row>
    <row r="2812">
      <c r="A2812" t="inlineStr">
        <is>
          <t>23751073074</t>
        </is>
      </c>
      <c r="B2812" t="inlineStr">
        <is>
          <t>隔日到貨🔥 iPhone 鏡面 手機殼 17 16 15 14 pro 13 12 11 15pro 保護殼 軟殼 蘋果</t>
        </is>
      </c>
      <c r="C2812">
        <f>IMAGE("https://cf.shopee.tw/file/tw-11134207-7ras8-m1n2dhjmgeu531_tn")</f>
        <v/>
      </c>
      <c r="D2812" t="inlineStr">
        <is>
          <t>電鍍鏡面 髮帶貓,13 Pro</t>
        </is>
      </c>
      <c r="E2812" t="inlineStr">
        <is>
          <t>118977507294</t>
        </is>
      </c>
      <c r="F2812">
        <f>IMAGE("https://cf.shopee.tw/file/tw-11134207-7qul5-lkc6ern0xu7s54_tn")</f>
        <v/>
      </c>
    </row>
    <row r="2813">
      <c r="A2813" t="inlineStr">
        <is>
          <t>23751073074</t>
        </is>
      </c>
      <c r="B2813" t="inlineStr">
        <is>
          <t>隔日到貨🔥 iPhone 鏡面 手機殼 17 16 15 14 pro 13 12 11 15pro 保護殼 軟殼 蘋果</t>
        </is>
      </c>
      <c r="C2813">
        <f>IMAGE("https://cf.shopee.tw/file/tw-11134207-7ras8-m1n2dhjmgeu531_tn")</f>
        <v/>
      </c>
      <c r="D2813" t="inlineStr">
        <is>
          <t>電鍍鏡面 髮帶貓,13 Pro Max</t>
        </is>
      </c>
      <c r="E2813" t="inlineStr"/>
      <c r="F2813">
        <f>IMAGE("https://cf.shopee.tw/file/tw-11134207-7qul5-lkc6ern0xu7s54_tn")</f>
        <v/>
      </c>
    </row>
    <row r="2814">
      <c r="A2814" t="inlineStr">
        <is>
          <t>23751073074</t>
        </is>
      </c>
      <c r="B2814" t="inlineStr">
        <is>
          <t>隔日到貨🔥 iPhone 鏡面 手機殼 17 16 15 14 pro 13 12 11 15pro 保護殼 軟殼 蘋果</t>
        </is>
      </c>
      <c r="C2814">
        <f>IMAGE("https://cf.shopee.tw/file/tw-11134207-7ras8-m1n2dhjmgeu531_tn")</f>
        <v/>
      </c>
      <c r="D2814" t="inlineStr">
        <is>
          <t>電鍍鏡面 髮帶貓,14 Pro</t>
        </is>
      </c>
      <c r="E2814" t="inlineStr">
        <is>
          <t>118977507292</t>
        </is>
      </c>
      <c r="F2814">
        <f>IMAGE("https://cf.shopee.tw/file/tw-11134207-7qul5-lkc6ern0xu7s54_tn")</f>
        <v/>
      </c>
    </row>
    <row r="2815">
      <c r="A2815" t="inlineStr">
        <is>
          <t>23751073074</t>
        </is>
      </c>
      <c r="B2815" t="inlineStr">
        <is>
          <t>隔日到貨🔥 iPhone 鏡面 手機殼 17 16 15 14 pro 13 12 11 15pro 保護殼 軟殼 蘋果</t>
        </is>
      </c>
      <c r="C2815">
        <f>IMAGE("https://cf.shopee.tw/file/tw-11134207-7ras8-m1n2dhjmgeu531_tn")</f>
        <v/>
      </c>
      <c r="D2815" t="inlineStr">
        <is>
          <t>電鍍鏡面 髮帶貓,14 Pro Max</t>
        </is>
      </c>
      <c r="E2815" t="inlineStr"/>
      <c r="F2815">
        <f>IMAGE("https://cf.shopee.tw/file/tw-11134207-7qul5-lkc6ern0xu7s54_tn")</f>
        <v/>
      </c>
    </row>
    <row r="2816">
      <c r="A2816" t="inlineStr">
        <is>
          <t>23751073074</t>
        </is>
      </c>
      <c r="B2816" t="inlineStr">
        <is>
          <t>隔日到貨🔥 iPhone 鏡面 手機殼 17 16 15 14 pro 13 12 11 15pro 保護殼 軟殼 蘋果</t>
        </is>
      </c>
      <c r="C2816">
        <f>IMAGE("https://cf.shopee.tw/file/tw-11134207-7ras8-m1n2dhjmgeu531_tn")</f>
        <v/>
      </c>
      <c r="D2816" t="inlineStr">
        <is>
          <t>電鍍鏡面 髮帶貓,15</t>
        </is>
      </c>
      <c r="E2816" t="inlineStr">
        <is>
          <t>187085183559</t>
        </is>
      </c>
      <c r="F2816">
        <f>IMAGE("https://cf.shopee.tw/file/tw-11134207-7qul5-lkc6ern0xu7s54_tn")</f>
        <v/>
      </c>
    </row>
    <row r="2817">
      <c r="A2817" t="inlineStr">
        <is>
          <t>23751073074</t>
        </is>
      </c>
      <c r="B2817" t="inlineStr">
        <is>
          <t>隔日到貨🔥 iPhone 鏡面 手機殼 17 16 15 14 pro 13 12 11 15pro 保護殼 軟殼 蘋果</t>
        </is>
      </c>
      <c r="C2817">
        <f>IMAGE("https://cf.shopee.tw/file/tw-11134207-7ras8-m1n2dhjmgeu531_tn")</f>
        <v/>
      </c>
      <c r="D2817" t="inlineStr">
        <is>
          <t>電鍍鏡面 髮帶貓,15 Pro</t>
        </is>
      </c>
      <c r="E2817" t="inlineStr">
        <is>
          <t>187085183560</t>
        </is>
      </c>
      <c r="F2817">
        <f>IMAGE("https://cf.shopee.tw/file/tw-11134207-7qul5-lkc6ern0xu7s54_tn")</f>
        <v/>
      </c>
    </row>
    <row r="2818">
      <c r="A2818" t="inlineStr">
        <is>
          <t>23751073074</t>
        </is>
      </c>
      <c r="B2818" t="inlineStr">
        <is>
          <t>隔日到貨🔥 iPhone 鏡面 手機殼 17 16 15 14 pro 13 12 11 15pro 保護殼 軟殼 蘋果</t>
        </is>
      </c>
      <c r="C2818">
        <f>IMAGE("https://cf.shopee.tw/file/tw-11134207-7ras8-m1n2dhjmgeu531_tn")</f>
        <v/>
      </c>
      <c r="D2818" t="inlineStr">
        <is>
          <t>電鍍鏡面 髮帶貓,14 Plus / 15 Plus</t>
        </is>
      </c>
      <c r="E2818" t="inlineStr"/>
      <c r="F2818">
        <f>IMAGE("https://cf.shopee.tw/file/tw-11134207-7qul5-lkc6ern0xu7s54_tn")</f>
        <v/>
      </c>
    </row>
    <row r="2819">
      <c r="A2819" t="inlineStr">
        <is>
          <t>23751073074</t>
        </is>
      </c>
      <c r="B2819" t="inlineStr">
        <is>
          <t>隔日到貨🔥 iPhone 鏡面 手機殼 17 16 15 14 pro 13 12 11 15pro 保護殼 軟殼 蘋果</t>
        </is>
      </c>
      <c r="C2819">
        <f>IMAGE("https://cf.shopee.tw/file/tw-11134207-7ras8-m1n2dhjmgeu531_tn")</f>
        <v/>
      </c>
      <c r="D2819" t="inlineStr">
        <is>
          <t>電鍍鏡面 髮帶貓,15 Pro Max</t>
        </is>
      </c>
      <c r="E2819" t="inlineStr">
        <is>
          <t>187085183562</t>
        </is>
      </c>
      <c r="F2819">
        <f>IMAGE("https://cf.shopee.tw/file/tw-11134207-7qul5-lkc6ern0xu7s54_tn")</f>
        <v/>
      </c>
    </row>
    <row r="2820">
      <c r="A2820" t="inlineStr">
        <is>
          <t>23751073074</t>
        </is>
      </c>
      <c r="B2820" t="inlineStr">
        <is>
          <t>隔日到貨🔥 iPhone 鏡面 手機殼 17 16 15 14 pro 13 12 11 15pro 保護殼 軟殼 蘋果</t>
        </is>
      </c>
      <c r="C2820">
        <f>IMAGE("https://cf.shopee.tw/file/tw-11134207-7ras8-m1n2dhjmgeu531_tn")</f>
        <v/>
      </c>
      <c r="D2820" t="inlineStr">
        <is>
          <t>電鍍鏡面 髮帶貓,16</t>
        </is>
      </c>
      <c r="E2820" t="inlineStr"/>
      <c r="F2820">
        <f>IMAGE("https://cf.shopee.tw/file/tw-11134207-7qul5-lkc6ern0xu7s54_tn")</f>
        <v/>
      </c>
    </row>
    <row r="2821">
      <c r="A2821" t="inlineStr">
        <is>
          <t>23751073074</t>
        </is>
      </c>
      <c r="B2821" t="inlineStr">
        <is>
          <t>隔日到貨🔥 iPhone 鏡面 手機殼 17 16 15 14 pro 13 12 11 15pro 保護殼 軟殼 蘋果</t>
        </is>
      </c>
      <c r="C2821">
        <f>IMAGE("https://cf.shopee.tw/file/tw-11134207-7ras8-m1n2dhjmgeu531_tn")</f>
        <v/>
      </c>
      <c r="D2821" t="inlineStr">
        <is>
          <t>電鍍鏡面 髮帶貓,16 Pro</t>
        </is>
      </c>
      <c r="E2821" t="inlineStr">
        <is>
          <t>197816469847</t>
        </is>
      </c>
      <c r="F2821">
        <f>IMAGE("https://cf.shopee.tw/file/tw-11134207-7qul5-lkc6ern0xu7s54_tn")</f>
        <v/>
      </c>
    </row>
    <row r="2822">
      <c r="A2822" t="inlineStr">
        <is>
          <t>23751073074</t>
        </is>
      </c>
      <c r="B2822" t="inlineStr">
        <is>
          <t>隔日到貨🔥 iPhone 鏡面 手機殼 17 16 15 14 pro 13 12 11 15pro 保護殼 軟殼 蘋果</t>
        </is>
      </c>
      <c r="C2822">
        <f>IMAGE("https://cf.shopee.tw/file/tw-11134207-7ras8-m1n2dhjmgeu531_tn")</f>
        <v/>
      </c>
      <c r="D2822" t="inlineStr">
        <is>
          <t>電鍍鏡面 髮帶貓,16 Plus</t>
        </is>
      </c>
      <c r="E2822" t="inlineStr">
        <is>
          <t>197816469848</t>
        </is>
      </c>
      <c r="F2822">
        <f>IMAGE("https://cf.shopee.tw/file/tw-11134207-7qul5-lkc6ern0xu7s54_tn")</f>
        <v/>
      </c>
    </row>
    <row r="2823">
      <c r="A2823" t="inlineStr">
        <is>
          <t>23751073074</t>
        </is>
      </c>
      <c r="B2823" t="inlineStr">
        <is>
          <t>隔日到貨🔥 iPhone 鏡面 手機殼 17 16 15 14 pro 13 12 11 15pro 保護殼 軟殼 蘋果</t>
        </is>
      </c>
      <c r="C2823">
        <f>IMAGE("https://cf.shopee.tw/file/tw-11134207-7ras8-m1n2dhjmgeu531_tn")</f>
        <v/>
      </c>
      <c r="D2823" t="inlineStr">
        <is>
          <t>電鍍鏡面 髮帶貓,16 Pro Max</t>
        </is>
      </c>
      <c r="E2823" t="inlineStr"/>
      <c r="F2823">
        <f>IMAGE("https://cf.shopee.tw/file/tw-11134207-7qul5-lkc6ern0xu7s54_tn")</f>
        <v/>
      </c>
    </row>
    <row r="2824">
      <c r="A2824" t="inlineStr">
        <is>
          <t>23751073074</t>
        </is>
      </c>
      <c r="B2824" t="inlineStr">
        <is>
          <t>隔日到貨🔥 iPhone 鏡面 手機殼 17 16 15 14 pro 13 12 11 15pro 保護殼 軟殼 蘋果</t>
        </is>
      </c>
      <c r="C2824">
        <f>IMAGE("https://cf.shopee.tw/file/tw-11134207-7ras8-m1n2dhjmgeu531_tn")</f>
        <v/>
      </c>
      <c r="D2824" t="inlineStr">
        <is>
          <t>電鍍鏡面 髮帶貓,17</t>
        </is>
      </c>
      <c r="E2824" t="inlineStr"/>
      <c r="F2824">
        <f>IMAGE("https://cf.shopee.tw/file/tw-11134207-7qul5-lkc6ern0xu7s54_tn")</f>
        <v/>
      </c>
    </row>
    <row r="2825">
      <c r="A2825" t="inlineStr">
        <is>
          <t>23751073074</t>
        </is>
      </c>
      <c r="B2825" t="inlineStr">
        <is>
          <t>隔日到貨🔥 iPhone 鏡面 手機殼 17 16 15 14 pro 13 12 11 15pro 保護殼 軟殼 蘋果</t>
        </is>
      </c>
      <c r="C2825">
        <f>IMAGE("https://cf.shopee.tw/file/tw-11134207-7ras8-m1n2dhjmgeu531_tn")</f>
        <v/>
      </c>
      <c r="D2825" t="inlineStr">
        <is>
          <t>電鍍鏡面 髮帶貓,17 Pro</t>
        </is>
      </c>
      <c r="E2825" t="inlineStr">
        <is>
          <t>139461209004</t>
        </is>
      </c>
      <c r="F2825">
        <f>IMAGE("https://cf.shopee.tw/file/tw-11134207-7qul5-lkc6ern0xu7s54_tn")</f>
        <v/>
      </c>
    </row>
    <row r="2826">
      <c r="A2826" t="inlineStr">
        <is>
          <t>23751073074</t>
        </is>
      </c>
      <c r="B2826" t="inlineStr">
        <is>
          <t>隔日到貨🔥 iPhone 鏡面 手機殼 17 16 15 14 pro 13 12 11 15pro 保護殼 軟殼 蘋果</t>
        </is>
      </c>
      <c r="C2826">
        <f>IMAGE("https://cf.shopee.tw/file/tw-11134207-7ras8-m1n2dhjmgeu531_tn")</f>
        <v/>
      </c>
      <c r="D2826" t="inlineStr">
        <is>
          <t>電鍍鏡面 髮帶貓,17 Pro Max</t>
        </is>
      </c>
      <c r="E2826" t="inlineStr">
        <is>
          <t>139461209005</t>
        </is>
      </c>
      <c r="F2826">
        <f>IMAGE("https://cf.shopee.tw/file/tw-11134207-7qul5-lkc6ern0xu7s54_tn")</f>
        <v/>
      </c>
    </row>
    <row r="2827">
      <c r="A2827" t="inlineStr">
        <is>
          <t>23751073074</t>
        </is>
      </c>
      <c r="B2827" t="inlineStr">
        <is>
          <t>隔日到貨🔥 iPhone 鏡面 手機殼 17 16 15 14 pro 13 12 11 15pro 保護殼 軟殼 蘋果</t>
        </is>
      </c>
      <c r="C2827">
        <f>IMAGE("https://cf.shopee.tw/file/tw-11134207-7ras8-m1n2dhjmgeu531_tn")</f>
        <v/>
      </c>
      <c r="D2827" t="inlineStr">
        <is>
          <t>電鍍鏡面 髮帶貓,17 Air</t>
        </is>
      </c>
      <c r="E2827" t="inlineStr"/>
      <c r="F2827">
        <f>IMAGE("https://cf.shopee.tw/file/tw-11134207-7qul5-lkc6ern0xu7s54_tn")</f>
        <v/>
      </c>
    </row>
    <row r="2828">
      <c r="A2828" t="inlineStr">
        <is>
          <t>23751073074</t>
        </is>
      </c>
      <c r="B2828" t="inlineStr">
        <is>
          <t>隔日到貨🔥 iPhone 鏡面 手機殼 17 16 15 14 pro 13 12 11 15pro 保護殼 軟殼 蘋果</t>
        </is>
      </c>
      <c r="C2828">
        <f>IMAGE("https://cf.shopee.tw/file/tw-11134207-7ras8-m1n2dhjmgeu531_tn")</f>
        <v/>
      </c>
      <c r="D2828" t="inlineStr">
        <is>
          <t>電鍍鏡面 躺平狗狗,11</t>
        </is>
      </c>
      <c r="E2828" t="inlineStr">
        <is>
          <t>226909587846</t>
        </is>
      </c>
      <c r="F2828">
        <f>IMAGE("https://cf.shopee.tw/file/tw-11134207-7rasd-m1n2ox4s3vuz91_tn")</f>
        <v/>
      </c>
    </row>
    <row r="2829">
      <c r="A2829" t="inlineStr">
        <is>
          <t>23751073074</t>
        </is>
      </c>
      <c r="B2829" t="inlineStr">
        <is>
          <t>隔日到貨🔥 iPhone 鏡面 手機殼 17 16 15 14 pro 13 12 11 15pro 保護殼 軟殼 蘋果</t>
        </is>
      </c>
      <c r="C2829">
        <f>IMAGE("https://cf.shopee.tw/file/tw-11134207-7ras8-m1n2dhjmgeu531_tn")</f>
        <v/>
      </c>
      <c r="D2829" t="inlineStr">
        <is>
          <t>電鍍鏡面 躺平狗狗,11 Pro Max</t>
        </is>
      </c>
      <c r="E2829" t="inlineStr"/>
      <c r="F2829">
        <f>IMAGE("https://cf.shopee.tw/file/tw-11134207-7rasd-m1n2ox4s3vuz91_tn")</f>
        <v/>
      </c>
    </row>
    <row r="2830">
      <c r="A2830" t="inlineStr">
        <is>
          <t>23751073074</t>
        </is>
      </c>
      <c r="B2830" t="inlineStr">
        <is>
          <t>隔日到貨🔥 iPhone 鏡面 手機殼 17 16 15 14 pro 13 12 11 15pro 保護殼 軟殼 蘋果</t>
        </is>
      </c>
      <c r="C2830">
        <f>IMAGE("https://cf.shopee.tw/file/tw-11134207-7ras8-m1n2dhjmgeu531_tn")</f>
        <v/>
      </c>
      <c r="D2830" t="inlineStr">
        <is>
          <t>電鍍鏡面 躺平狗狗,12 / 12 Pro</t>
        </is>
      </c>
      <c r="E2830" t="inlineStr">
        <is>
          <t>226909587848</t>
        </is>
      </c>
      <c r="F2830">
        <f>IMAGE("https://cf.shopee.tw/file/tw-11134207-7rasd-m1n2ox4s3vuz91_tn")</f>
        <v/>
      </c>
    </row>
    <row r="2831">
      <c r="A2831" t="inlineStr">
        <is>
          <t>23751073074</t>
        </is>
      </c>
      <c r="B2831" t="inlineStr">
        <is>
          <t>隔日到貨🔥 iPhone 鏡面 手機殼 17 16 15 14 pro 13 12 11 15pro 保護殼 軟殼 蘋果</t>
        </is>
      </c>
      <c r="C2831">
        <f>IMAGE("https://cf.shopee.tw/file/tw-11134207-7ras8-m1n2dhjmgeu531_tn")</f>
        <v/>
      </c>
      <c r="D2831" t="inlineStr">
        <is>
          <t>電鍍鏡面 躺平狗狗,12 Pro Max</t>
        </is>
      </c>
      <c r="E2831" t="inlineStr"/>
      <c r="F2831">
        <f>IMAGE("https://cf.shopee.tw/file/tw-11134207-7rasd-m1n2ox4s3vuz91_tn")</f>
        <v/>
      </c>
    </row>
    <row r="2832">
      <c r="A2832" t="inlineStr">
        <is>
          <t>23751073074</t>
        </is>
      </c>
      <c r="B2832" t="inlineStr">
        <is>
          <t>隔日到貨🔥 iPhone 鏡面 手機殼 17 16 15 14 pro 13 12 11 15pro 保護殼 軟殼 蘋果</t>
        </is>
      </c>
      <c r="C2832">
        <f>IMAGE("https://cf.shopee.tw/file/tw-11134207-7ras8-m1n2dhjmgeu531_tn")</f>
        <v/>
      </c>
      <c r="D2832" t="inlineStr">
        <is>
          <t>電鍍鏡面 躺平狗狗,13/14</t>
        </is>
      </c>
      <c r="E2832" t="inlineStr">
        <is>
          <t>226909587850</t>
        </is>
      </c>
      <c r="F2832">
        <f>IMAGE("https://cf.shopee.tw/file/tw-11134207-7rasd-m1n2ox4s3vuz91_tn")</f>
        <v/>
      </c>
    </row>
    <row r="2833">
      <c r="A2833" t="inlineStr">
        <is>
          <t>23751073074</t>
        </is>
      </c>
      <c r="B2833" t="inlineStr">
        <is>
          <t>隔日到貨🔥 iPhone 鏡面 手機殼 17 16 15 14 pro 13 12 11 15pro 保護殼 軟殼 蘋果</t>
        </is>
      </c>
      <c r="C2833">
        <f>IMAGE("https://cf.shopee.tw/file/tw-11134207-7ras8-m1n2dhjmgeu531_tn")</f>
        <v/>
      </c>
      <c r="D2833" t="inlineStr">
        <is>
          <t>電鍍鏡面 躺平狗狗,13 Pro</t>
        </is>
      </c>
      <c r="E2833" t="inlineStr"/>
      <c r="F2833">
        <f>IMAGE("https://cf.shopee.tw/file/tw-11134207-7rasd-m1n2ox4s3vuz91_tn")</f>
        <v/>
      </c>
    </row>
    <row r="2834">
      <c r="A2834" t="inlineStr">
        <is>
          <t>23751073074</t>
        </is>
      </c>
      <c r="B2834" t="inlineStr">
        <is>
          <t>隔日到貨🔥 iPhone 鏡面 手機殼 17 16 15 14 pro 13 12 11 15pro 保護殼 軟殼 蘋果</t>
        </is>
      </c>
      <c r="C2834">
        <f>IMAGE("https://cf.shopee.tw/file/tw-11134207-7ras8-m1n2dhjmgeu531_tn")</f>
        <v/>
      </c>
      <c r="D2834" t="inlineStr">
        <is>
          <t>電鍍鏡面 躺平狗狗,13 Pro Max</t>
        </is>
      </c>
      <c r="E2834" t="inlineStr">
        <is>
          <t>226909587852</t>
        </is>
      </c>
      <c r="F2834">
        <f>IMAGE("https://cf.shopee.tw/file/tw-11134207-7rasd-m1n2ox4s3vuz91_tn")</f>
        <v/>
      </c>
    </row>
    <row r="2835">
      <c r="A2835" t="inlineStr">
        <is>
          <t>23751073074</t>
        </is>
      </c>
      <c r="B2835" t="inlineStr">
        <is>
          <t>隔日到貨🔥 iPhone 鏡面 手機殼 17 16 15 14 pro 13 12 11 15pro 保護殼 軟殼 蘋果</t>
        </is>
      </c>
      <c r="C2835">
        <f>IMAGE("https://cf.shopee.tw/file/tw-11134207-7ras8-m1n2dhjmgeu531_tn")</f>
        <v/>
      </c>
      <c r="D2835" t="inlineStr">
        <is>
          <t>電鍍鏡面 躺平狗狗,14 Pro</t>
        </is>
      </c>
      <c r="E2835" t="inlineStr">
        <is>
          <t>226909587853</t>
        </is>
      </c>
      <c r="F2835">
        <f>IMAGE("https://cf.shopee.tw/file/tw-11134207-7rasd-m1n2ox4s3vuz91_tn")</f>
        <v/>
      </c>
    </row>
    <row r="2836">
      <c r="A2836" t="inlineStr">
        <is>
          <t>23751073074</t>
        </is>
      </c>
      <c r="B2836" t="inlineStr">
        <is>
          <t>隔日到貨🔥 iPhone 鏡面 手機殼 17 16 15 14 pro 13 12 11 15pro 保護殼 軟殼 蘋果</t>
        </is>
      </c>
      <c r="C2836">
        <f>IMAGE("https://cf.shopee.tw/file/tw-11134207-7ras8-m1n2dhjmgeu531_tn")</f>
        <v/>
      </c>
      <c r="D2836" t="inlineStr">
        <is>
          <t>電鍍鏡面 躺平狗狗,14 Pro Max</t>
        </is>
      </c>
      <c r="E2836" t="inlineStr">
        <is>
          <t>226909587854</t>
        </is>
      </c>
      <c r="F2836">
        <f>IMAGE("https://cf.shopee.tw/file/tw-11134207-7rasd-m1n2ox4s3vuz91_tn")</f>
        <v/>
      </c>
    </row>
    <row r="2837">
      <c r="A2837" t="inlineStr">
        <is>
          <t>23751073074</t>
        </is>
      </c>
      <c r="B2837" t="inlineStr">
        <is>
          <t>隔日到貨🔥 iPhone 鏡面 手機殼 17 16 15 14 pro 13 12 11 15pro 保護殼 軟殼 蘋果</t>
        </is>
      </c>
      <c r="C2837">
        <f>IMAGE("https://cf.shopee.tw/file/tw-11134207-7ras8-m1n2dhjmgeu531_tn")</f>
        <v/>
      </c>
      <c r="D2837" t="inlineStr">
        <is>
          <t>電鍍鏡面 躺平狗狗,15</t>
        </is>
      </c>
      <c r="E2837" t="inlineStr">
        <is>
          <t>226909587855</t>
        </is>
      </c>
      <c r="F2837">
        <f>IMAGE("https://cf.shopee.tw/file/tw-11134207-7rasd-m1n2ox4s3vuz91_tn")</f>
        <v/>
      </c>
    </row>
    <row r="2838">
      <c r="A2838" t="inlineStr">
        <is>
          <t>23751073074</t>
        </is>
      </c>
      <c r="B2838" t="inlineStr">
        <is>
          <t>隔日到貨🔥 iPhone 鏡面 手機殼 17 16 15 14 pro 13 12 11 15pro 保護殼 軟殼 蘋果</t>
        </is>
      </c>
      <c r="C2838">
        <f>IMAGE("https://cf.shopee.tw/file/tw-11134207-7ras8-m1n2dhjmgeu531_tn")</f>
        <v/>
      </c>
      <c r="D2838" t="inlineStr">
        <is>
          <t>電鍍鏡面 躺平狗狗,15 Pro</t>
        </is>
      </c>
      <c r="E2838" t="inlineStr">
        <is>
          <t>226909587856</t>
        </is>
      </c>
      <c r="F2838">
        <f>IMAGE("https://cf.shopee.tw/file/tw-11134207-7rasd-m1n2ox4s3vuz91_tn")</f>
        <v/>
      </c>
    </row>
    <row r="2839">
      <c r="A2839" t="inlineStr">
        <is>
          <t>23751073074</t>
        </is>
      </c>
      <c r="B2839" t="inlineStr">
        <is>
          <t>隔日到貨🔥 iPhone 鏡面 手機殼 17 16 15 14 pro 13 12 11 15pro 保護殼 軟殼 蘋果</t>
        </is>
      </c>
      <c r="C2839">
        <f>IMAGE("https://cf.shopee.tw/file/tw-11134207-7ras8-m1n2dhjmgeu531_tn")</f>
        <v/>
      </c>
      <c r="D2839" t="inlineStr">
        <is>
          <t>電鍍鏡面 躺平狗狗,14 Plus / 15 Plus</t>
        </is>
      </c>
      <c r="E2839" t="inlineStr">
        <is>
          <t>226909587857</t>
        </is>
      </c>
      <c r="F2839">
        <f>IMAGE("https://cf.shopee.tw/file/tw-11134207-7rasd-m1n2ox4s3vuz91_tn")</f>
        <v/>
      </c>
    </row>
    <row r="2840">
      <c r="A2840" t="inlineStr">
        <is>
          <t>23751073074</t>
        </is>
      </c>
      <c r="B2840" t="inlineStr">
        <is>
          <t>隔日到貨🔥 iPhone 鏡面 手機殼 17 16 15 14 pro 13 12 11 15pro 保護殼 軟殼 蘋果</t>
        </is>
      </c>
      <c r="C2840">
        <f>IMAGE("https://cf.shopee.tw/file/tw-11134207-7ras8-m1n2dhjmgeu531_tn")</f>
        <v/>
      </c>
      <c r="D2840" t="inlineStr">
        <is>
          <t>電鍍鏡面 躺平狗狗,15 Pro Max</t>
        </is>
      </c>
      <c r="E2840" t="inlineStr"/>
      <c r="F2840">
        <f>IMAGE("https://cf.shopee.tw/file/tw-11134207-7rasd-m1n2ox4s3vuz91_tn")</f>
        <v/>
      </c>
    </row>
    <row r="2841">
      <c r="A2841" t="inlineStr">
        <is>
          <t>23751073074</t>
        </is>
      </c>
      <c r="B2841" t="inlineStr">
        <is>
          <t>隔日到貨🔥 iPhone 鏡面 手機殼 17 16 15 14 pro 13 12 11 15pro 保護殼 軟殼 蘋果</t>
        </is>
      </c>
      <c r="C2841">
        <f>IMAGE("https://cf.shopee.tw/file/tw-11134207-7ras8-m1n2dhjmgeu531_tn")</f>
        <v/>
      </c>
      <c r="D2841" t="inlineStr">
        <is>
          <t>電鍍鏡面 躺平狗狗,16</t>
        </is>
      </c>
      <c r="E2841" t="inlineStr"/>
      <c r="F2841">
        <f>IMAGE("https://cf.shopee.tw/file/tw-11134207-7rasd-m1n2ox4s3vuz91_tn")</f>
        <v/>
      </c>
    </row>
    <row r="2842">
      <c r="A2842" t="inlineStr">
        <is>
          <t>23751073074</t>
        </is>
      </c>
      <c r="B2842" t="inlineStr">
        <is>
          <t>隔日到貨🔥 iPhone 鏡面 手機殼 17 16 15 14 pro 13 12 11 15pro 保護殼 軟殼 蘋果</t>
        </is>
      </c>
      <c r="C2842">
        <f>IMAGE("https://cf.shopee.tw/file/tw-11134207-7ras8-m1n2dhjmgeu531_tn")</f>
        <v/>
      </c>
      <c r="D2842" t="inlineStr">
        <is>
          <t>電鍍鏡面 躺平狗狗,16 Pro</t>
        </is>
      </c>
      <c r="E2842" t="inlineStr">
        <is>
          <t>226909587860</t>
        </is>
      </c>
      <c r="F2842">
        <f>IMAGE("https://cf.shopee.tw/file/tw-11134207-7rasd-m1n2ox4s3vuz91_tn")</f>
        <v/>
      </c>
    </row>
    <row r="2843">
      <c r="A2843" t="inlineStr">
        <is>
          <t>23751073074</t>
        </is>
      </c>
      <c r="B2843" t="inlineStr">
        <is>
          <t>隔日到貨🔥 iPhone 鏡面 手機殼 17 16 15 14 pro 13 12 11 15pro 保護殼 軟殼 蘋果</t>
        </is>
      </c>
      <c r="C2843">
        <f>IMAGE("https://cf.shopee.tw/file/tw-11134207-7ras8-m1n2dhjmgeu531_tn")</f>
        <v/>
      </c>
      <c r="D2843" t="inlineStr">
        <is>
          <t>電鍍鏡面 躺平狗狗,16 Plus</t>
        </is>
      </c>
      <c r="E2843" t="inlineStr"/>
      <c r="F2843">
        <f>IMAGE("https://cf.shopee.tw/file/tw-11134207-7rasd-m1n2ox4s3vuz91_tn")</f>
        <v/>
      </c>
    </row>
    <row r="2844">
      <c r="A2844" t="inlineStr">
        <is>
          <t>23751073074</t>
        </is>
      </c>
      <c r="B2844" t="inlineStr">
        <is>
          <t>隔日到貨🔥 iPhone 鏡面 手機殼 17 16 15 14 pro 13 12 11 15pro 保護殼 軟殼 蘋果</t>
        </is>
      </c>
      <c r="C2844">
        <f>IMAGE("https://cf.shopee.tw/file/tw-11134207-7ras8-m1n2dhjmgeu531_tn")</f>
        <v/>
      </c>
      <c r="D2844" t="inlineStr">
        <is>
          <t>電鍍鏡面 躺平狗狗,16 Pro Max</t>
        </is>
      </c>
      <c r="E2844" t="inlineStr"/>
      <c r="F2844">
        <f>IMAGE("https://cf.shopee.tw/file/tw-11134207-7rasd-m1n2ox4s3vuz91_tn")</f>
        <v/>
      </c>
    </row>
    <row r="2845">
      <c r="A2845" t="inlineStr">
        <is>
          <t>23751073074</t>
        </is>
      </c>
      <c r="B2845" t="inlineStr">
        <is>
          <t>隔日到貨🔥 iPhone 鏡面 手機殼 17 16 15 14 pro 13 12 11 15pro 保護殼 軟殼 蘋果</t>
        </is>
      </c>
      <c r="C2845">
        <f>IMAGE("https://cf.shopee.tw/file/tw-11134207-7ras8-m1n2dhjmgeu531_tn")</f>
        <v/>
      </c>
      <c r="D2845" t="inlineStr">
        <is>
          <t>電鍍鏡面 躺平狗狗,17</t>
        </is>
      </c>
      <c r="E2845" t="inlineStr">
        <is>
          <t>139461209007</t>
        </is>
      </c>
      <c r="F2845">
        <f>IMAGE("https://cf.shopee.tw/file/tw-11134207-7rasd-m1n2ox4s3vuz91_tn")</f>
        <v/>
      </c>
    </row>
    <row r="2846">
      <c r="A2846" t="inlineStr">
        <is>
          <t>23751073074</t>
        </is>
      </c>
      <c r="B2846" t="inlineStr">
        <is>
          <t>隔日到貨🔥 iPhone 鏡面 手機殼 17 16 15 14 pro 13 12 11 15pro 保護殼 軟殼 蘋果</t>
        </is>
      </c>
      <c r="C2846">
        <f>IMAGE("https://cf.shopee.tw/file/tw-11134207-7ras8-m1n2dhjmgeu531_tn")</f>
        <v/>
      </c>
      <c r="D2846" t="inlineStr">
        <is>
          <t>電鍍鏡面 躺平狗狗,17 Pro</t>
        </is>
      </c>
      <c r="E2846" t="inlineStr">
        <is>
          <t>139461209008</t>
        </is>
      </c>
      <c r="F2846">
        <f>IMAGE("https://cf.shopee.tw/file/tw-11134207-7rasd-m1n2ox4s3vuz91_tn")</f>
        <v/>
      </c>
    </row>
    <row r="2847">
      <c r="A2847" t="inlineStr">
        <is>
          <t>23751073074</t>
        </is>
      </c>
      <c r="B2847" t="inlineStr">
        <is>
          <t>隔日到貨🔥 iPhone 鏡面 手機殼 17 16 15 14 pro 13 12 11 15pro 保護殼 軟殼 蘋果</t>
        </is>
      </c>
      <c r="C2847">
        <f>IMAGE("https://cf.shopee.tw/file/tw-11134207-7ras8-m1n2dhjmgeu531_tn")</f>
        <v/>
      </c>
      <c r="D2847" t="inlineStr">
        <is>
          <t>電鍍鏡面 躺平狗狗,17 Pro Max</t>
        </is>
      </c>
      <c r="E2847" t="inlineStr"/>
      <c r="F2847">
        <f>IMAGE("https://cf.shopee.tw/file/tw-11134207-7rasd-m1n2ox4s3vuz91_tn")</f>
        <v/>
      </c>
    </row>
    <row r="2848">
      <c r="A2848" t="inlineStr">
        <is>
          <t>23751073074</t>
        </is>
      </c>
      <c r="B2848" t="inlineStr">
        <is>
          <t>隔日到貨🔥 iPhone 鏡面 手機殼 17 16 15 14 pro 13 12 11 15pro 保護殼 軟殼 蘋果</t>
        </is>
      </c>
      <c r="C2848">
        <f>IMAGE("https://cf.shopee.tw/file/tw-11134207-7ras8-m1n2dhjmgeu531_tn")</f>
        <v/>
      </c>
      <c r="D2848" t="inlineStr">
        <is>
          <t>電鍍鏡面 躺平狗狗,17 Air</t>
        </is>
      </c>
      <c r="E2848" t="inlineStr"/>
      <c r="F2848">
        <f>IMAGE("https://cf.shopee.tw/file/tw-11134207-7rasd-m1n2ox4s3vuz91_tn")</f>
        <v/>
      </c>
    </row>
    <row r="2849">
      <c r="A2849" t="inlineStr">
        <is>
          <t>23751073074</t>
        </is>
      </c>
      <c r="B2849" t="inlineStr">
        <is>
          <t>隔日到貨🔥 iPhone 鏡面 手機殼 17 16 15 14 pro 13 12 11 15pro 保護殼 軟殼 蘋果</t>
        </is>
      </c>
      <c r="C2849">
        <f>IMAGE("https://cf.shopee.tw/file/tw-11134207-7ras8-m1n2dhjmgeu531_tn")</f>
        <v/>
      </c>
      <c r="D2849" t="inlineStr">
        <is>
          <t>電鍍鏡面 鍵盤狗狗,11</t>
        </is>
      </c>
      <c r="E2849" t="inlineStr"/>
      <c r="F2849">
        <f>IMAGE("https://cf.shopee.tw/file/tw-11134207-7rash-m1n2oz9cztp9d3_tn")</f>
        <v/>
      </c>
    </row>
    <row r="2850">
      <c r="A2850" t="inlineStr">
        <is>
          <t>23751073074</t>
        </is>
      </c>
      <c r="B2850" t="inlineStr">
        <is>
          <t>隔日到貨🔥 iPhone 鏡面 手機殼 17 16 15 14 pro 13 12 11 15pro 保護殼 軟殼 蘋果</t>
        </is>
      </c>
      <c r="C2850">
        <f>IMAGE("https://cf.shopee.tw/file/tw-11134207-7ras8-m1n2dhjmgeu531_tn")</f>
        <v/>
      </c>
      <c r="D2850" t="inlineStr">
        <is>
          <t>電鍍鏡面 鍵盤狗狗,11 Pro Max</t>
        </is>
      </c>
      <c r="E2850" t="inlineStr">
        <is>
          <t>226909587864</t>
        </is>
      </c>
      <c r="F2850">
        <f>IMAGE("https://cf.shopee.tw/file/tw-11134207-7rash-m1n2oz9cztp9d3_tn")</f>
        <v/>
      </c>
    </row>
    <row r="2851">
      <c r="A2851" t="inlineStr">
        <is>
          <t>23751073074</t>
        </is>
      </c>
      <c r="B2851" t="inlineStr">
        <is>
          <t>隔日到貨🔥 iPhone 鏡面 手機殼 17 16 15 14 pro 13 12 11 15pro 保護殼 軟殼 蘋果</t>
        </is>
      </c>
      <c r="C2851">
        <f>IMAGE("https://cf.shopee.tw/file/tw-11134207-7ras8-m1n2dhjmgeu531_tn")</f>
        <v/>
      </c>
      <c r="D2851" t="inlineStr">
        <is>
          <t>電鍍鏡面 鍵盤狗狗,12 / 12 Pro</t>
        </is>
      </c>
      <c r="E2851" t="inlineStr">
        <is>
          <t>226909587865</t>
        </is>
      </c>
      <c r="F2851">
        <f>IMAGE("https://cf.shopee.tw/file/tw-11134207-7rash-m1n2oz9cztp9d3_tn")</f>
        <v/>
      </c>
    </row>
    <row r="2852">
      <c r="A2852" t="inlineStr">
        <is>
          <t>23751073074</t>
        </is>
      </c>
      <c r="B2852" t="inlineStr">
        <is>
          <t>隔日到貨🔥 iPhone 鏡面 手機殼 17 16 15 14 pro 13 12 11 15pro 保護殼 軟殼 蘋果</t>
        </is>
      </c>
      <c r="C2852">
        <f>IMAGE("https://cf.shopee.tw/file/tw-11134207-7ras8-m1n2dhjmgeu531_tn")</f>
        <v/>
      </c>
      <c r="D2852" t="inlineStr">
        <is>
          <t>電鍍鏡面 鍵盤狗狗,12 Pro Max</t>
        </is>
      </c>
      <c r="E2852" t="inlineStr"/>
      <c r="F2852">
        <f>IMAGE("https://cf.shopee.tw/file/tw-11134207-7rash-m1n2oz9cztp9d3_tn")</f>
        <v/>
      </c>
    </row>
    <row r="2853">
      <c r="A2853" t="inlineStr">
        <is>
          <t>23751073074</t>
        </is>
      </c>
      <c r="B2853" t="inlineStr">
        <is>
          <t>隔日到貨🔥 iPhone 鏡面 手機殼 17 16 15 14 pro 13 12 11 15pro 保護殼 軟殼 蘋果</t>
        </is>
      </c>
      <c r="C2853">
        <f>IMAGE("https://cf.shopee.tw/file/tw-11134207-7ras8-m1n2dhjmgeu531_tn")</f>
        <v/>
      </c>
      <c r="D2853" t="inlineStr">
        <is>
          <t>電鍍鏡面 鍵盤狗狗,13/14</t>
        </is>
      </c>
      <c r="E2853" t="inlineStr"/>
      <c r="F2853">
        <f>IMAGE("https://cf.shopee.tw/file/tw-11134207-7rash-m1n2oz9cztp9d3_tn")</f>
        <v/>
      </c>
    </row>
    <row r="2854">
      <c r="A2854" t="inlineStr">
        <is>
          <t>23751073074</t>
        </is>
      </c>
      <c r="B2854" t="inlineStr">
        <is>
          <t>隔日到貨🔥 iPhone 鏡面 手機殼 17 16 15 14 pro 13 12 11 15pro 保護殼 軟殼 蘋果</t>
        </is>
      </c>
      <c r="C2854">
        <f>IMAGE("https://cf.shopee.tw/file/tw-11134207-7ras8-m1n2dhjmgeu531_tn")</f>
        <v/>
      </c>
      <c r="D2854" t="inlineStr">
        <is>
          <t>電鍍鏡面 鍵盤狗狗,13 Pro</t>
        </is>
      </c>
      <c r="E2854" t="inlineStr"/>
      <c r="F2854">
        <f>IMAGE("https://cf.shopee.tw/file/tw-11134207-7rash-m1n2oz9cztp9d3_tn")</f>
        <v/>
      </c>
    </row>
    <row r="2855">
      <c r="A2855" t="inlineStr">
        <is>
          <t>23751073074</t>
        </is>
      </c>
      <c r="B2855" t="inlineStr">
        <is>
          <t>隔日到貨🔥 iPhone 鏡面 手機殼 17 16 15 14 pro 13 12 11 15pro 保護殼 軟殼 蘋果</t>
        </is>
      </c>
      <c r="C2855">
        <f>IMAGE("https://cf.shopee.tw/file/tw-11134207-7ras8-m1n2dhjmgeu531_tn")</f>
        <v/>
      </c>
      <c r="D2855" t="inlineStr">
        <is>
          <t>電鍍鏡面 鍵盤狗狗,13 Pro Max</t>
        </is>
      </c>
      <c r="E2855" t="inlineStr"/>
      <c r="F2855">
        <f>IMAGE("https://cf.shopee.tw/file/tw-11134207-7rash-m1n2oz9cztp9d3_tn")</f>
        <v/>
      </c>
    </row>
    <row r="2856">
      <c r="A2856" t="inlineStr">
        <is>
          <t>23751073074</t>
        </is>
      </c>
      <c r="B2856" t="inlineStr">
        <is>
          <t>隔日到貨🔥 iPhone 鏡面 手機殼 17 16 15 14 pro 13 12 11 15pro 保護殼 軟殼 蘋果</t>
        </is>
      </c>
      <c r="C2856">
        <f>IMAGE("https://cf.shopee.tw/file/tw-11134207-7ras8-m1n2dhjmgeu531_tn")</f>
        <v/>
      </c>
      <c r="D2856" t="inlineStr">
        <is>
          <t>電鍍鏡面 鍵盤狗狗,14 Pro</t>
        </is>
      </c>
      <c r="E2856" t="inlineStr"/>
      <c r="F2856">
        <f>IMAGE("https://cf.shopee.tw/file/tw-11134207-7rash-m1n2oz9cztp9d3_tn")</f>
        <v/>
      </c>
    </row>
    <row r="2857">
      <c r="A2857" t="inlineStr">
        <is>
          <t>23751073074</t>
        </is>
      </c>
      <c r="B2857" t="inlineStr">
        <is>
          <t>隔日到貨🔥 iPhone 鏡面 手機殼 17 16 15 14 pro 13 12 11 15pro 保護殼 軟殼 蘋果</t>
        </is>
      </c>
      <c r="C2857">
        <f>IMAGE("https://cf.shopee.tw/file/tw-11134207-7ras8-m1n2dhjmgeu531_tn")</f>
        <v/>
      </c>
      <c r="D2857" t="inlineStr">
        <is>
          <t>電鍍鏡面 鍵盤狗狗,14 Pro Max</t>
        </is>
      </c>
      <c r="E2857" t="inlineStr"/>
      <c r="F2857">
        <f>IMAGE("https://cf.shopee.tw/file/tw-11134207-7rash-m1n2oz9cztp9d3_tn")</f>
        <v/>
      </c>
    </row>
    <row r="2858">
      <c r="A2858" t="inlineStr">
        <is>
          <t>23751073074</t>
        </is>
      </c>
      <c r="B2858" t="inlineStr">
        <is>
          <t>隔日到貨🔥 iPhone 鏡面 手機殼 17 16 15 14 pro 13 12 11 15pro 保護殼 軟殼 蘋果</t>
        </is>
      </c>
      <c r="C2858">
        <f>IMAGE("https://cf.shopee.tw/file/tw-11134207-7ras8-m1n2dhjmgeu531_tn")</f>
        <v/>
      </c>
      <c r="D2858" t="inlineStr">
        <is>
          <t>電鍍鏡面 鍵盤狗狗,15</t>
        </is>
      </c>
      <c r="E2858" t="inlineStr">
        <is>
          <t>226909587872</t>
        </is>
      </c>
      <c r="F2858">
        <f>IMAGE("https://cf.shopee.tw/file/tw-11134207-7rash-m1n2oz9cztp9d3_tn")</f>
        <v/>
      </c>
    </row>
    <row r="2859">
      <c r="A2859" t="inlineStr">
        <is>
          <t>23751073074</t>
        </is>
      </c>
      <c r="B2859" t="inlineStr">
        <is>
          <t>隔日到貨🔥 iPhone 鏡面 手機殼 17 16 15 14 pro 13 12 11 15pro 保護殼 軟殼 蘋果</t>
        </is>
      </c>
      <c r="C2859">
        <f>IMAGE("https://cf.shopee.tw/file/tw-11134207-7ras8-m1n2dhjmgeu531_tn")</f>
        <v/>
      </c>
      <c r="D2859" t="inlineStr">
        <is>
          <t>電鍍鏡面 鍵盤狗狗,15 Pro</t>
        </is>
      </c>
      <c r="E2859" t="inlineStr"/>
      <c r="F2859">
        <f>IMAGE("https://cf.shopee.tw/file/tw-11134207-7rash-m1n2oz9cztp9d3_tn")</f>
        <v/>
      </c>
    </row>
    <row r="2860">
      <c r="A2860" t="inlineStr">
        <is>
          <t>23751073074</t>
        </is>
      </c>
      <c r="B2860" t="inlineStr">
        <is>
          <t>隔日到貨🔥 iPhone 鏡面 手機殼 17 16 15 14 pro 13 12 11 15pro 保護殼 軟殼 蘋果</t>
        </is>
      </c>
      <c r="C2860">
        <f>IMAGE("https://cf.shopee.tw/file/tw-11134207-7ras8-m1n2dhjmgeu531_tn")</f>
        <v/>
      </c>
      <c r="D2860" t="inlineStr">
        <is>
          <t>電鍍鏡面 鍵盤狗狗,14 Plus / 15 Plus</t>
        </is>
      </c>
      <c r="E2860" t="inlineStr">
        <is>
          <t>226909587874</t>
        </is>
      </c>
      <c r="F2860">
        <f>IMAGE("https://cf.shopee.tw/file/tw-11134207-7rash-m1n2oz9cztp9d3_tn")</f>
        <v/>
      </c>
    </row>
    <row r="2861">
      <c r="A2861" t="inlineStr">
        <is>
          <t>23751073074</t>
        </is>
      </c>
      <c r="B2861" t="inlineStr">
        <is>
          <t>隔日到貨🔥 iPhone 鏡面 手機殼 17 16 15 14 pro 13 12 11 15pro 保護殼 軟殼 蘋果</t>
        </is>
      </c>
      <c r="C2861">
        <f>IMAGE("https://cf.shopee.tw/file/tw-11134207-7ras8-m1n2dhjmgeu531_tn")</f>
        <v/>
      </c>
      <c r="D2861" t="inlineStr">
        <is>
          <t>電鍍鏡面 鍵盤狗狗,15 Pro Max</t>
        </is>
      </c>
      <c r="E2861" t="inlineStr"/>
      <c r="F2861">
        <f>IMAGE("https://cf.shopee.tw/file/tw-11134207-7rash-m1n2oz9cztp9d3_tn")</f>
        <v/>
      </c>
    </row>
    <row r="2862">
      <c r="A2862" t="inlineStr">
        <is>
          <t>23751073074</t>
        </is>
      </c>
      <c r="B2862" t="inlineStr">
        <is>
          <t>隔日到貨🔥 iPhone 鏡面 手機殼 17 16 15 14 pro 13 12 11 15pro 保護殼 軟殼 蘋果</t>
        </is>
      </c>
      <c r="C2862">
        <f>IMAGE("https://cf.shopee.tw/file/tw-11134207-7ras8-m1n2dhjmgeu531_tn")</f>
        <v/>
      </c>
      <c r="D2862" t="inlineStr">
        <is>
          <t>電鍍鏡面 鍵盤狗狗,16</t>
        </is>
      </c>
      <c r="E2862" t="inlineStr"/>
      <c r="F2862">
        <f>IMAGE("https://cf.shopee.tw/file/tw-11134207-7rash-m1n2oz9cztp9d3_tn")</f>
        <v/>
      </c>
    </row>
    <row r="2863">
      <c r="A2863" t="inlineStr">
        <is>
          <t>23751073074</t>
        </is>
      </c>
      <c r="B2863" t="inlineStr">
        <is>
          <t>隔日到貨🔥 iPhone 鏡面 手機殼 17 16 15 14 pro 13 12 11 15pro 保護殼 軟殼 蘋果</t>
        </is>
      </c>
      <c r="C2863">
        <f>IMAGE("https://cf.shopee.tw/file/tw-11134207-7ras8-m1n2dhjmgeu531_tn")</f>
        <v/>
      </c>
      <c r="D2863" t="inlineStr">
        <is>
          <t>電鍍鏡面 鍵盤狗狗,16 Pro</t>
        </is>
      </c>
      <c r="E2863" t="inlineStr"/>
      <c r="F2863">
        <f>IMAGE("https://cf.shopee.tw/file/tw-11134207-7rash-m1n2oz9cztp9d3_tn")</f>
        <v/>
      </c>
    </row>
    <row r="2864">
      <c r="A2864" t="inlineStr">
        <is>
          <t>23751073074</t>
        </is>
      </c>
      <c r="B2864" t="inlineStr">
        <is>
          <t>隔日到貨🔥 iPhone 鏡面 手機殼 17 16 15 14 pro 13 12 11 15pro 保護殼 軟殼 蘋果</t>
        </is>
      </c>
      <c r="C2864">
        <f>IMAGE("https://cf.shopee.tw/file/tw-11134207-7ras8-m1n2dhjmgeu531_tn")</f>
        <v/>
      </c>
      <c r="D2864" t="inlineStr">
        <is>
          <t>電鍍鏡面 鍵盤狗狗,16 Plus</t>
        </is>
      </c>
      <c r="E2864" t="inlineStr">
        <is>
          <t>226909587878</t>
        </is>
      </c>
      <c r="F2864">
        <f>IMAGE("https://cf.shopee.tw/file/tw-11134207-7rash-m1n2oz9cztp9d3_tn")</f>
        <v/>
      </c>
    </row>
    <row r="2865">
      <c r="A2865" t="inlineStr">
        <is>
          <t>23751073074</t>
        </is>
      </c>
      <c r="B2865" t="inlineStr">
        <is>
          <t>隔日到貨🔥 iPhone 鏡面 手機殼 17 16 15 14 pro 13 12 11 15pro 保護殼 軟殼 蘋果</t>
        </is>
      </c>
      <c r="C2865">
        <f>IMAGE("https://cf.shopee.tw/file/tw-11134207-7ras8-m1n2dhjmgeu531_tn")</f>
        <v/>
      </c>
      <c r="D2865" t="inlineStr">
        <is>
          <t>電鍍鏡面 鍵盤狗狗,16 Pro Max</t>
        </is>
      </c>
      <c r="E2865" t="inlineStr"/>
      <c r="F2865">
        <f>IMAGE("https://cf.shopee.tw/file/tw-11134207-7rash-m1n2oz9cztp9d3_tn")</f>
        <v/>
      </c>
    </row>
    <row r="2866">
      <c r="A2866" t="inlineStr">
        <is>
          <t>23751073074</t>
        </is>
      </c>
      <c r="B2866" t="inlineStr">
        <is>
          <t>隔日到貨🔥 iPhone 鏡面 手機殼 17 16 15 14 pro 13 12 11 15pro 保護殼 軟殼 蘋果</t>
        </is>
      </c>
      <c r="C2866">
        <f>IMAGE("https://cf.shopee.tw/file/tw-11134207-7ras8-m1n2dhjmgeu531_tn")</f>
        <v/>
      </c>
      <c r="D2866" t="inlineStr">
        <is>
          <t>電鍍鏡面 鍵盤狗狗,17</t>
        </is>
      </c>
      <c r="E2866" t="inlineStr"/>
      <c r="F2866">
        <f>IMAGE("https://cf.shopee.tw/file/tw-11134207-7rash-m1n2oz9cztp9d3_tn")</f>
        <v/>
      </c>
    </row>
    <row r="2867">
      <c r="A2867" t="inlineStr">
        <is>
          <t>23751073074</t>
        </is>
      </c>
      <c r="B2867" t="inlineStr">
        <is>
          <t>隔日到貨🔥 iPhone 鏡面 手機殼 17 16 15 14 pro 13 12 11 15pro 保護殼 軟殼 蘋果</t>
        </is>
      </c>
      <c r="C2867">
        <f>IMAGE("https://cf.shopee.tw/file/tw-11134207-7ras8-m1n2dhjmgeu531_tn")</f>
        <v/>
      </c>
      <c r="D2867" t="inlineStr">
        <is>
          <t>電鍍鏡面 鍵盤狗狗,17 Pro</t>
        </is>
      </c>
      <c r="E2867" t="inlineStr">
        <is>
          <t>139461209012</t>
        </is>
      </c>
      <c r="F2867">
        <f>IMAGE("https://cf.shopee.tw/file/tw-11134207-7rash-m1n2oz9cztp9d3_tn")</f>
        <v/>
      </c>
    </row>
    <row r="2868">
      <c r="A2868" t="inlineStr">
        <is>
          <t>23751073074</t>
        </is>
      </c>
      <c r="B2868" t="inlineStr">
        <is>
          <t>隔日到貨🔥 iPhone 鏡面 手機殼 17 16 15 14 pro 13 12 11 15pro 保護殼 軟殼 蘋果</t>
        </is>
      </c>
      <c r="C2868">
        <f>IMAGE("https://cf.shopee.tw/file/tw-11134207-7ras8-m1n2dhjmgeu531_tn")</f>
        <v/>
      </c>
      <c r="D2868" t="inlineStr">
        <is>
          <t>電鍍鏡面 鍵盤狗狗,17 Pro Max</t>
        </is>
      </c>
      <c r="E2868" t="inlineStr">
        <is>
          <t>139461209013</t>
        </is>
      </c>
      <c r="F2868">
        <f>IMAGE("https://cf.shopee.tw/file/tw-11134207-7rash-m1n2oz9cztp9d3_tn")</f>
        <v/>
      </c>
    </row>
    <row r="2869">
      <c r="A2869" t="inlineStr">
        <is>
          <t>23751073074</t>
        </is>
      </c>
      <c r="B2869" t="inlineStr">
        <is>
          <t>隔日到貨🔥 iPhone 鏡面 手機殼 17 16 15 14 pro 13 12 11 15pro 保護殼 軟殼 蘋果</t>
        </is>
      </c>
      <c r="C2869">
        <f>IMAGE("https://cf.shopee.tw/file/tw-11134207-7ras8-m1n2dhjmgeu531_tn")</f>
        <v/>
      </c>
      <c r="D2869" t="inlineStr">
        <is>
          <t>電鍍鏡面 鍵盤狗狗,17 Air</t>
        </is>
      </c>
      <c r="E2869" t="inlineStr"/>
      <c r="F2869">
        <f>IMAGE("https://cf.shopee.tw/file/tw-11134207-7rash-m1n2oz9cztp9d3_tn")</f>
        <v/>
      </c>
    </row>
    <row r="2870">
      <c r="A2870" t="inlineStr">
        <is>
          <t>24609229503</t>
        </is>
      </c>
      <c r="B2870" t="inlineStr">
        <is>
          <t>隔日到貨🔥 iPhone 16 手機殼 花朵 支架 15 14 pro 13 12 11 小花 保護殼 軟殼 蘋果</t>
        </is>
      </c>
      <c r="C2870">
        <f>IMAGE("https://cf.shopee.tw/file/tw-11134207-7r98y-lqnj8v14p5ugc7_tn")</f>
        <v/>
      </c>
      <c r="D2870" t="inlineStr">
        <is>
          <t>藍白小花(單殼),11 pro</t>
        </is>
      </c>
      <c r="E2870" t="inlineStr"/>
      <c r="F2870">
        <f>IMAGE("https://cf.shopee.tw/file/tw-11134207-7r98v-lqnjpx6b44jm3c_tn")</f>
        <v/>
      </c>
    </row>
    <row r="2871">
      <c r="A2871" t="inlineStr">
        <is>
          <t>24609229503</t>
        </is>
      </c>
      <c r="B2871" t="inlineStr">
        <is>
          <t>隔日到貨🔥 iPhone 16 手機殼 花朵 支架 15 14 pro 13 12 11 小花 保護殼 軟殼 蘋果</t>
        </is>
      </c>
      <c r="C2871">
        <f>IMAGE("https://cf.shopee.tw/file/tw-11134207-7r98y-lqnj8v14p5ugc7_tn")</f>
        <v/>
      </c>
      <c r="D2871" t="inlineStr">
        <is>
          <t>藍白小花(單殼),11</t>
        </is>
      </c>
      <c r="E2871" t="inlineStr">
        <is>
          <t>176311729637</t>
        </is>
      </c>
      <c r="F2871">
        <f>IMAGE("https://cf.shopee.tw/file/tw-11134207-7r98v-lqnjpx6b44jm3c_tn")</f>
        <v/>
      </c>
    </row>
    <row r="2872">
      <c r="A2872" t="inlineStr">
        <is>
          <t>24609229503</t>
        </is>
      </c>
      <c r="B2872" t="inlineStr">
        <is>
          <t>隔日到貨🔥 iPhone 16 手機殼 花朵 支架 15 14 pro 13 12 11 小花 保護殼 軟殼 蘋果</t>
        </is>
      </c>
      <c r="C2872">
        <f>IMAGE("https://cf.shopee.tw/file/tw-11134207-7r98y-lqnj8v14p5ugc7_tn")</f>
        <v/>
      </c>
      <c r="D2872" t="inlineStr">
        <is>
          <t>藍白小花(單殼),11 pro Max</t>
        </is>
      </c>
      <c r="E2872" t="inlineStr"/>
      <c r="F2872">
        <f>IMAGE("https://cf.shopee.tw/file/tw-11134207-7r98v-lqnjpx6b44jm3c_tn")</f>
        <v/>
      </c>
    </row>
    <row r="2873">
      <c r="A2873" t="inlineStr">
        <is>
          <t>24609229503</t>
        </is>
      </c>
      <c r="B2873" t="inlineStr">
        <is>
          <t>隔日到貨🔥 iPhone 16 手機殼 花朵 支架 15 14 pro 13 12 11 小花 保護殼 軟殼 蘋果</t>
        </is>
      </c>
      <c r="C2873">
        <f>IMAGE("https://cf.shopee.tw/file/tw-11134207-7r98y-lqnj8v14p5ugc7_tn")</f>
        <v/>
      </c>
      <c r="D2873" t="inlineStr">
        <is>
          <t>藍白小花(單殼),12</t>
        </is>
      </c>
      <c r="E2873" t="inlineStr">
        <is>
          <t>176311729640</t>
        </is>
      </c>
      <c r="F2873">
        <f>IMAGE("https://cf.shopee.tw/file/tw-11134207-7r98v-lqnjpx6b44jm3c_tn")</f>
        <v/>
      </c>
    </row>
    <row r="2874">
      <c r="A2874" t="inlineStr">
        <is>
          <t>24609229503</t>
        </is>
      </c>
      <c r="B2874" t="inlineStr">
        <is>
          <t>隔日到貨🔥 iPhone 16 手機殼 花朵 支架 15 14 pro 13 12 11 小花 保護殼 軟殼 蘋果</t>
        </is>
      </c>
      <c r="C2874">
        <f>IMAGE("https://cf.shopee.tw/file/tw-11134207-7r98y-lqnj8v14p5ugc7_tn")</f>
        <v/>
      </c>
      <c r="D2874" t="inlineStr">
        <is>
          <t>藍白小花(單殼),12 pro</t>
        </is>
      </c>
      <c r="E2874" t="inlineStr">
        <is>
          <t>176311729641</t>
        </is>
      </c>
      <c r="F2874">
        <f>IMAGE("https://cf.shopee.tw/file/tw-11134207-7r98v-lqnjpx6b44jm3c_tn")</f>
        <v/>
      </c>
    </row>
    <row r="2875">
      <c r="A2875" t="inlineStr">
        <is>
          <t>24609229503</t>
        </is>
      </c>
      <c r="B2875" t="inlineStr">
        <is>
          <t>隔日到貨🔥 iPhone 16 手機殼 花朵 支架 15 14 pro 13 12 11 小花 保護殼 軟殼 蘋果</t>
        </is>
      </c>
      <c r="C2875">
        <f>IMAGE("https://cf.shopee.tw/file/tw-11134207-7r98y-lqnj8v14p5ugc7_tn")</f>
        <v/>
      </c>
      <c r="D2875" t="inlineStr">
        <is>
          <t>藍白小花(單殼),12 pro Max</t>
        </is>
      </c>
      <c r="E2875" t="inlineStr"/>
      <c r="F2875">
        <f>IMAGE("https://cf.shopee.tw/file/tw-11134207-7r98v-lqnjpx6b44jm3c_tn")</f>
        <v/>
      </c>
    </row>
    <row r="2876">
      <c r="A2876" t="inlineStr">
        <is>
          <t>24609229503</t>
        </is>
      </c>
      <c r="B2876" t="inlineStr">
        <is>
          <t>隔日到貨🔥 iPhone 16 手機殼 花朵 支架 15 14 pro 13 12 11 小花 保護殼 軟殼 蘋果</t>
        </is>
      </c>
      <c r="C2876">
        <f>IMAGE("https://cf.shopee.tw/file/tw-11134207-7r98y-lqnj8v14p5ugc7_tn")</f>
        <v/>
      </c>
      <c r="D2876" t="inlineStr">
        <is>
          <t>藍白小花(單殼),13</t>
        </is>
      </c>
      <c r="E2876" t="inlineStr">
        <is>
          <t>176311729643</t>
        </is>
      </c>
      <c r="F2876">
        <f>IMAGE("https://cf.shopee.tw/file/tw-11134207-7r98v-lqnjpx6b44jm3c_tn")</f>
        <v/>
      </c>
    </row>
    <row r="2877">
      <c r="A2877" t="inlineStr">
        <is>
          <t>24609229503</t>
        </is>
      </c>
      <c r="B2877" t="inlineStr">
        <is>
          <t>隔日到貨🔥 iPhone 16 手機殼 花朵 支架 15 14 pro 13 12 11 小花 保護殼 軟殼 蘋果</t>
        </is>
      </c>
      <c r="C2877">
        <f>IMAGE("https://cf.shopee.tw/file/tw-11134207-7r98y-lqnj8v14p5ugc7_tn")</f>
        <v/>
      </c>
      <c r="D2877" t="inlineStr">
        <is>
          <t>藍白小花(單殼),13 pro</t>
        </is>
      </c>
      <c r="E2877" t="inlineStr">
        <is>
          <t>176311729644</t>
        </is>
      </c>
      <c r="F2877">
        <f>IMAGE("https://cf.shopee.tw/file/tw-11134207-7r98v-lqnjpx6b44jm3c_tn")</f>
        <v/>
      </c>
    </row>
    <row r="2878">
      <c r="A2878" t="inlineStr">
        <is>
          <t>24609229503</t>
        </is>
      </c>
      <c r="B2878" t="inlineStr">
        <is>
          <t>隔日到貨🔥 iPhone 16 手機殼 花朵 支架 15 14 pro 13 12 11 小花 保護殼 軟殼 蘋果</t>
        </is>
      </c>
      <c r="C2878">
        <f>IMAGE("https://cf.shopee.tw/file/tw-11134207-7r98y-lqnj8v14p5ugc7_tn")</f>
        <v/>
      </c>
      <c r="D2878" t="inlineStr">
        <is>
          <t>藍白小花(單殼),13 pro Max</t>
        </is>
      </c>
      <c r="E2878" t="inlineStr">
        <is>
          <t>176311729645</t>
        </is>
      </c>
      <c r="F2878">
        <f>IMAGE("https://cf.shopee.tw/file/tw-11134207-7r98v-lqnjpx6b44jm3c_tn")</f>
        <v/>
      </c>
    </row>
    <row r="2879">
      <c r="A2879" t="inlineStr">
        <is>
          <t>24609229503</t>
        </is>
      </c>
      <c r="B2879" t="inlineStr">
        <is>
          <t>隔日到貨🔥 iPhone 16 手機殼 花朵 支架 15 14 pro 13 12 11 小花 保護殼 軟殼 蘋果</t>
        </is>
      </c>
      <c r="C2879">
        <f>IMAGE("https://cf.shopee.tw/file/tw-11134207-7r98y-lqnj8v14p5ugc7_tn")</f>
        <v/>
      </c>
      <c r="D2879" t="inlineStr">
        <is>
          <t>藍白小花(單殼),14</t>
        </is>
      </c>
      <c r="E2879" t="inlineStr">
        <is>
          <t>178039784442</t>
        </is>
      </c>
      <c r="F2879">
        <f>IMAGE("https://cf.shopee.tw/file/tw-11134207-7r98v-lqnjpx6b44jm3c_tn")</f>
        <v/>
      </c>
    </row>
    <row r="2880">
      <c r="A2880" t="inlineStr">
        <is>
          <t>24609229503</t>
        </is>
      </c>
      <c r="B2880" t="inlineStr">
        <is>
          <t>隔日到貨🔥 iPhone 16 手機殼 花朵 支架 15 14 pro 13 12 11 小花 保護殼 軟殼 蘋果</t>
        </is>
      </c>
      <c r="C2880">
        <f>IMAGE("https://cf.shopee.tw/file/tw-11134207-7r98y-lqnj8v14p5ugc7_tn")</f>
        <v/>
      </c>
      <c r="D2880" t="inlineStr">
        <is>
          <t>藍白小花(單殼),14 pro</t>
        </is>
      </c>
      <c r="E2880" t="inlineStr">
        <is>
          <t>178039784443</t>
        </is>
      </c>
      <c r="F2880">
        <f>IMAGE("https://cf.shopee.tw/file/tw-11134207-7r98v-lqnjpx6b44jm3c_tn")</f>
        <v/>
      </c>
    </row>
    <row r="2881">
      <c r="A2881" t="inlineStr">
        <is>
          <t>24609229503</t>
        </is>
      </c>
      <c r="B2881" t="inlineStr">
        <is>
          <t>隔日到貨🔥 iPhone 16 手機殼 花朵 支架 15 14 pro 13 12 11 小花 保護殼 軟殼 蘋果</t>
        </is>
      </c>
      <c r="C2881">
        <f>IMAGE("https://cf.shopee.tw/file/tw-11134207-7r98y-lqnj8v14p5ugc7_tn")</f>
        <v/>
      </c>
      <c r="D2881" t="inlineStr">
        <is>
          <t>藍白小花(單殼),14 pro Max</t>
        </is>
      </c>
      <c r="E2881" t="inlineStr">
        <is>
          <t>178039784444</t>
        </is>
      </c>
      <c r="F2881">
        <f>IMAGE("https://cf.shopee.tw/file/tw-11134207-7r98v-lqnjpx6b44jm3c_tn")</f>
        <v/>
      </c>
    </row>
    <row r="2882">
      <c r="A2882" t="inlineStr">
        <is>
          <t>24609229503</t>
        </is>
      </c>
      <c r="B2882" t="inlineStr">
        <is>
          <t>隔日到貨🔥 iPhone 16 手機殼 花朵 支架 15 14 pro 13 12 11 小花 保護殼 軟殼 蘋果</t>
        </is>
      </c>
      <c r="C2882">
        <f>IMAGE("https://cf.shopee.tw/file/tw-11134207-7r98y-lqnj8v14p5ugc7_tn")</f>
        <v/>
      </c>
      <c r="D2882" t="inlineStr">
        <is>
          <t>藍白小花(單殼),14 Plus</t>
        </is>
      </c>
      <c r="E2882" t="inlineStr">
        <is>
          <t>178039784445</t>
        </is>
      </c>
      <c r="F2882">
        <f>IMAGE("https://cf.shopee.tw/file/tw-11134207-7r98v-lqnjpx6b44jm3c_tn")</f>
        <v/>
      </c>
    </row>
    <row r="2883">
      <c r="A2883" t="inlineStr">
        <is>
          <t>24609229503</t>
        </is>
      </c>
      <c r="B2883" t="inlineStr">
        <is>
          <t>隔日到貨🔥 iPhone 16 手機殼 花朵 支架 15 14 pro 13 12 11 小花 保護殼 軟殼 蘋果</t>
        </is>
      </c>
      <c r="C2883">
        <f>IMAGE("https://cf.shopee.tw/file/tw-11134207-7r98y-lqnj8v14p5ugc7_tn")</f>
        <v/>
      </c>
      <c r="D2883" t="inlineStr">
        <is>
          <t>藍白小花(單殼),15</t>
        </is>
      </c>
      <c r="E2883" t="inlineStr">
        <is>
          <t>178039784446</t>
        </is>
      </c>
      <c r="F2883">
        <f>IMAGE("https://cf.shopee.tw/file/tw-11134207-7r98v-lqnjpx6b44jm3c_tn")</f>
        <v/>
      </c>
    </row>
    <row r="2884">
      <c r="A2884" t="inlineStr">
        <is>
          <t>24609229503</t>
        </is>
      </c>
      <c r="B2884" t="inlineStr">
        <is>
          <t>隔日到貨🔥 iPhone 16 手機殼 花朵 支架 15 14 pro 13 12 11 小花 保護殼 軟殼 蘋果</t>
        </is>
      </c>
      <c r="C2884">
        <f>IMAGE("https://cf.shopee.tw/file/tw-11134207-7r98y-lqnj8v14p5ugc7_tn")</f>
        <v/>
      </c>
      <c r="D2884" t="inlineStr">
        <is>
          <t>藍白小花(單殼),15 pro</t>
        </is>
      </c>
      <c r="E2884" t="inlineStr"/>
      <c r="F2884">
        <f>IMAGE("https://cf.shopee.tw/file/tw-11134207-7r98v-lqnjpx6b44jm3c_tn")</f>
        <v/>
      </c>
    </row>
    <row r="2885">
      <c r="A2885" t="inlineStr">
        <is>
          <t>24609229503</t>
        </is>
      </c>
      <c r="B2885" t="inlineStr">
        <is>
          <t>隔日到貨🔥 iPhone 16 手機殼 花朵 支架 15 14 pro 13 12 11 小花 保護殼 軟殼 蘋果</t>
        </is>
      </c>
      <c r="C2885">
        <f>IMAGE("https://cf.shopee.tw/file/tw-11134207-7r98y-lqnj8v14p5ugc7_tn")</f>
        <v/>
      </c>
      <c r="D2885" t="inlineStr">
        <is>
          <t>藍白小花(單殼),15 pro Max</t>
        </is>
      </c>
      <c r="E2885" t="inlineStr">
        <is>
          <t>178039784448</t>
        </is>
      </c>
      <c r="F2885">
        <f>IMAGE("https://cf.shopee.tw/file/tw-11134207-7r98v-lqnjpx6b44jm3c_tn")</f>
        <v/>
      </c>
    </row>
    <row r="2886">
      <c r="A2886" t="inlineStr">
        <is>
          <t>24609229503</t>
        </is>
      </c>
      <c r="B2886" t="inlineStr">
        <is>
          <t>隔日到貨🔥 iPhone 16 手機殼 花朵 支架 15 14 pro 13 12 11 小花 保護殼 軟殼 蘋果</t>
        </is>
      </c>
      <c r="C2886">
        <f>IMAGE("https://cf.shopee.tw/file/tw-11134207-7r98y-lqnj8v14p5ugc7_tn")</f>
        <v/>
      </c>
      <c r="D2886" t="inlineStr">
        <is>
          <t>藍白小花(單殼),15 Plus</t>
        </is>
      </c>
      <c r="E2886" t="inlineStr">
        <is>
          <t>178039784449</t>
        </is>
      </c>
      <c r="F2886">
        <f>IMAGE("https://cf.shopee.tw/file/tw-11134207-7r98v-lqnjpx6b44jm3c_tn")</f>
        <v/>
      </c>
    </row>
    <row r="2887">
      <c r="A2887" t="inlineStr">
        <is>
          <t>24609229503</t>
        </is>
      </c>
      <c r="B2887" t="inlineStr">
        <is>
          <t>隔日到貨🔥 iPhone 16 手機殼 花朵 支架 15 14 pro 13 12 11 小花 保護殼 軟殼 蘋果</t>
        </is>
      </c>
      <c r="C2887">
        <f>IMAGE("https://cf.shopee.tw/file/tw-11134207-7r98y-lqnj8v14p5ugc7_tn")</f>
        <v/>
      </c>
      <c r="D2887" t="inlineStr">
        <is>
          <t>藍白小花(單殼),16</t>
        </is>
      </c>
      <c r="E2887" t="inlineStr">
        <is>
          <t>241751595063</t>
        </is>
      </c>
      <c r="F2887">
        <f>IMAGE("https://cf.shopee.tw/file/tw-11134207-7r98v-lqnjpx6b44jm3c_tn")</f>
        <v/>
      </c>
    </row>
    <row r="2888">
      <c r="A2888" t="inlineStr">
        <is>
          <t>24609229503</t>
        </is>
      </c>
      <c r="B2888" t="inlineStr">
        <is>
          <t>隔日到貨🔥 iPhone 16 手機殼 花朵 支架 15 14 pro 13 12 11 小花 保護殼 軟殼 蘋果</t>
        </is>
      </c>
      <c r="C2888">
        <f>IMAGE("https://cf.shopee.tw/file/tw-11134207-7r98y-lqnj8v14p5ugc7_tn")</f>
        <v/>
      </c>
      <c r="D2888" t="inlineStr">
        <is>
          <t>藍白小花(單殼),16 pro</t>
        </is>
      </c>
      <c r="E2888" t="inlineStr">
        <is>
          <t>241751595064</t>
        </is>
      </c>
      <c r="F2888">
        <f>IMAGE("https://cf.shopee.tw/file/tw-11134207-7r98v-lqnjpx6b44jm3c_tn")</f>
        <v/>
      </c>
    </row>
    <row r="2889">
      <c r="A2889" t="inlineStr">
        <is>
          <t>24609229503</t>
        </is>
      </c>
      <c r="B2889" t="inlineStr">
        <is>
          <t>隔日到貨🔥 iPhone 16 手機殼 花朵 支架 15 14 pro 13 12 11 小花 保護殼 軟殼 蘋果</t>
        </is>
      </c>
      <c r="C2889">
        <f>IMAGE("https://cf.shopee.tw/file/tw-11134207-7r98y-lqnj8v14p5ugc7_tn")</f>
        <v/>
      </c>
      <c r="D2889" t="inlineStr">
        <is>
          <t>藍白小花(單殼),16 pro Max</t>
        </is>
      </c>
      <c r="E2889" t="inlineStr">
        <is>
          <t>241751595065</t>
        </is>
      </c>
      <c r="F2889">
        <f>IMAGE("https://cf.shopee.tw/file/tw-11134207-7r98v-lqnjpx6b44jm3c_tn")</f>
        <v/>
      </c>
    </row>
    <row r="2890">
      <c r="A2890" t="inlineStr">
        <is>
          <t>24609229503</t>
        </is>
      </c>
      <c r="B2890" t="inlineStr">
        <is>
          <t>隔日到貨🔥 iPhone 16 手機殼 花朵 支架 15 14 pro 13 12 11 小花 保護殼 軟殼 蘋果</t>
        </is>
      </c>
      <c r="C2890">
        <f>IMAGE("https://cf.shopee.tw/file/tw-11134207-7r98y-lqnj8v14p5ugc7_tn")</f>
        <v/>
      </c>
      <c r="D2890" t="inlineStr">
        <is>
          <t>藍白小花(單殼),16 Plus</t>
        </is>
      </c>
      <c r="E2890" t="inlineStr"/>
      <c r="F2890">
        <f>IMAGE("https://cf.shopee.tw/file/tw-11134207-7r98v-lqnjpx6b44jm3c_tn")</f>
        <v/>
      </c>
    </row>
    <row r="2891">
      <c r="A2891" t="inlineStr">
        <is>
          <t>24609229503</t>
        </is>
      </c>
      <c r="B2891" t="inlineStr">
        <is>
          <t>隔日到貨🔥 iPhone 16 手機殼 花朵 支架 15 14 pro 13 12 11 小花 保護殼 軟殼 蘋果</t>
        </is>
      </c>
      <c r="C2891">
        <f>IMAGE("https://cf.shopee.tw/file/tw-11134207-7r98y-lqnj8v14p5ugc7_tn")</f>
        <v/>
      </c>
      <c r="D2891" t="inlineStr">
        <is>
          <t>藍白小花(單殼),加購黃花支架</t>
        </is>
      </c>
      <c r="E2891" t="inlineStr">
        <is>
          <t>241231606858</t>
        </is>
      </c>
      <c r="F2891">
        <f>IMAGE("https://cf.shopee.tw/file/tw-11134207-7r98v-lqnjpx6b44jm3c_tn")</f>
        <v/>
      </c>
    </row>
    <row r="2892">
      <c r="A2892" t="inlineStr">
        <is>
          <t>17400827463</t>
        </is>
      </c>
      <c r="B2892" t="inlineStr">
        <is>
          <t>隔日到貨🔥 化妝包 毛絨化妝包 B9 超大容量 收納包 便攜 洗漱包 鉛筆盒 刺繡 包包 日韓 少女</t>
        </is>
      </c>
      <c r="C2892">
        <f>IMAGE("https://cf.shopee.tw/file/52cf2a8e8998694c4b8ba2d7fb6541de_tn")</f>
        <v/>
      </c>
      <c r="D2892" t="inlineStr">
        <is>
          <t>背帶褲考拉</t>
        </is>
      </c>
      <c r="E2892" t="inlineStr">
        <is>
          <t>152399972988</t>
        </is>
      </c>
      <c r="F2892">
        <f>IMAGE("https://cf.shopee.tw/file/0e7c9004b54293248c8393a3feb12a28_tn")</f>
        <v/>
      </c>
    </row>
    <row r="2893">
      <c r="A2893" t="inlineStr">
        <is>
          <t>17400827463</t>
        </is>
      </c>
      <c r="B2893" t="inlineStr">
        <is>
          <t>隔日到貨🔥 化妝包 毛絨化妝包 B9 超大容量 收納包 便攜 洗漱包 鉛筆盒 刺繡 包包 日韓 少女</t>
        </is>
      </c>
      <c r="C2893">
        <f>IMAGE("https://cf.shopee.tw/file/52cf2a8e8998694c4b8ba2d7fb6541de_tn")</f>
        <v/>
      </c>
      <c r="D2893" t="inlineStr">
        <is>
          <t>曲奇小狗</t>
        </is>
      </c>
      <c r="E2893" t="inlineStr">
        <is>
          <t>152399972985</t>
        </is>
      </c>
      <c r="F2893">
        <f>IMAGE("https://cf.shopee.tw/file/1a29059d0564aa9835740424980dc7a9_tn")</f>
        <v/>
      </c>
    </row>
    <row r="2894">
      <c r="A2894" t="inlineStr">
        <is>
          <t>17400827463</t>
        </is>
      </c>
      <c r="B2894" t="inlineStr">
        <is>
          <t>隔日到貨🔥 化妝包 毛絨化妝包 B9 超大容量 收納包 便攜 洗漱包 鉛筆盒 刺繡 包包 日韓 少女</t>
        </is>
      </c>
      <c r="C2894">
        <f>IMAGE("https://cf.shopee.tw/file/52cf2a8e8998694c4b8ba2d7fb6541de_tn")</f>
        <v/>
      </c>
      <c r="D2894" t="inlineStr">
        <is>
          <t>粉色愛心兔</t>
        </is>
      </c>
      <c r="E2894" t="inlineStr">
        <is>
          <t>152399972986</t>
        </is>
      </c>
      <c r="F2894">
        <f>IMAGE("https://cf.shopee.tw/file/379fbf413e4ec7483f360f174cfe65c4_tn")</f>
        <v/>
      </c>
    </row>
    <row r="2895">
      <c r="A2895" t="inlineStr">
        <is>
          <t>17400827463</t>
        </is>
      </c>
      <c r="B2895" t="inlineStr">
        <is>
          <t>隔日到貨🔥 化妝包 毛絨化妝包 B9 超大容量 收納包 便攜 洗漱包 鉛筆盒 刺繡 包包 日韓 少女</t>
        </is>
      </c>
      <c r="C2895">
        <f>IMAGE("https://cf.shopee.tw/file/52cf2a8e8998694c4b8ba2d7fb6541de_tn")</f>
        <v/>
      </c>
      <c r="D2895" t="inlineStr">
        <is>
          <t>米白擁抱小熊</t>
        </is>
      </c>
      <c r="E2895" t="inlineStr">
        <is>
          <t>152399972987</t>
        </is>
      </c>
      <c r="F2895">
        <f>IMAGE("https://cf.shopee.tw/file/0b81c3e586d6b4e8117326065aa173df_tn")</f>
        <v/>
      </c>
    </row>
    <row r="2896">
      <c r="A2896" t="inlineStr">
        <is>
          <t>25167644827</t>
        </is>
      </c>
      <c r="B2896" t="inlineStr">
        <is>
          <t>隔日到貨🔥 iPhone 透明 手機殼 17 16 15 14 pro 13 12 11 XS XR 保護殼 軟殼 蘋果</t>
        </is>
      </c>
      <c r="C2896">
        <f>IMAGE("https://cf.shopee.tw/file/tw-11134207-7r98r-lsmosccmyqj671_tn")</f>
        <v/>
      </c>
      <c r="D2896" t="inlineStr">
        <is>
          <t>啾啾萌狗,X / XS</t>
        </is>
      </c>
      <c r="E2896" t="inlineStr">
        <is>
          <t>245440727510</t>
        </is>
      </c>
      <c r="F2896">
        <f>IMAGE("https://cf.shopee.tw/file/tw-11134207-7r98w-lsmosccn053m99_tn")</f>
        <v/>
      </c>
    </row>
    <row r="2897">
      <c r="A2897" t="inlineStr">
        <is>
          <t>25167644827</t>
        </is>
      </c>
      <c r="B2897" t="inlineStr">
        <is>
          <t>隔日到貨🔥 iPhone 透明 手機殼 17 16 15 14 pro 13 12 11 XS XR 保護殼 軟殼 蘋果</t>
        </is>
      </c>
      <c r="C2897">
        <f>IMAGE("https://cf.shopee.tw/file/tw-11134207-7r98r-lsmosccmyqj671_tn")</f>
        <v/>
      </c>
      <c r="D2897" t="inlineStr">
        <is>
          <t>啾啾萌狗,XR</t>
        </is>
      </c>
      <c r="E2897" t="inlineStr"/>
      <c r="F2897">
        <f>IMAGE("https://cf.shopee.tw/file/tw-11134207-7r98w-lsmosccn053m99_tn")</f>
        <v/>
      </c>
    </row>
    <row r="2898">
      <c r="A2898" t="inlineStr">
        <is>
          <t>25167644827</t>
        </is>
      </c>
      <c r="B2898" t="inlineStr">
        <is>
          <t>隔日到貨🔥 iPhone 透明 手機殼 17 16 15 14 pro 13 12 11 XS XR 保護殼 軟殼 蘋果</t>
        </is>
      </c>
      <c r="C2898">
        <f>IMAGE("https://cf.shopee.tw/file/tw-11134207-7r98r-lsmosccmyqj671_tn")</f>
        <v/>
      </c>
      <c r="D2898" t="inlineStr">
        <is>
          <t>啾啾萌狗,14 Plus</t>
        </is>
      </c>
      <c r="E2898" t="inlineStr">
        <is>
          <t>245440727522</t>
        </is>
      </c>
      <c r="F2898">
        <f>IMAGE("https://cf.shopee.tw/file/tw-11134207-7r98w-lsmosccn053m99_tn")</f>
        <v/>
      </c>
    </row>
    <row r="2899">
      <c r="A2899" t="inlineStr">
        <is>
          <t>25167644827</t>
        </is>
      </c>
      <c r="B2899" t="inlineStr">
        <is>
          <t>隔日到貨🔥 iPhone 透明 手機殼 17 16 15 14 pro 13 12 11 XS XR 保護殼 軟殼 蘋果</t>
        </is>
      </c>
      <c r="C2899">
        <f>IMAGE("https://cf.shopee.tw/file/tw-11134207-7r98r-lsmosccmyqj671_tn")</f>
        <v/>
      </c>
      <c r="D2899" t="inlineStr">
        <is>
          <t>啾啾萌狗,15</t>
        </is>
      </c>
      <c r="E2899" t="inlineStr">
        <is>
          <t>245440727523</t>
        </is>
      </c>
      <c r="F2899">
        <f>IMAGE("https://cf.shopee.tw/file/tw-11134207-7r98w-lsmosccn053m99_tn")</f>
        <v/>
      </c>
    </row>
    <row r="2900">
      <c r="A2900" t="inlineStr">
        <is>
          <t>25167644827</t>
        </is>
      </c>
      <c r="B2900" t="inlineStr">
        <is>
          <t>隔日到貨🔥 iPhone 透明 手機殼 17 16 15 14 pro 13 12 11 XS XR 保護殼 軟殼 蘋果</t>
        </is>
      </c>
      <c r="C2900">
        <f>IMAGE("https://cf.shopee.tw/file/tw-11134207-7r98r-lsmosccmyqj671_tn")</f>
        <v/>
      </c>
      <c r="D2900" t="inlineStr">
        <is>
          <t>啾啾萌狗,XS Max</t>
        </is>
      </c>
      <c r="E2900" t="inlineStr">
        <is>
          <t>245440727512</t>
        </is>
      </c>
      <c r="F2900">
        <f>IMAGE("https://cf.shopee.tw/file/tw-11134207-7r98w-lsmosccn053m99_tn")</f>
        <v/>
      </c>
    </row>
    <row r="2901">
      <c r="A2901" t="inlineStr">
        <is>
          <t>25167644827</t>
        </is>
      </c>
      <c r="B2901" t="inlineStr">
        <is>
          <t>隔日到貨🔥 iPhone 透明 手機殼 17 16 15 14 pro 13 12 11 XS XR 保護殼 軟殼 蘋果</t>
        </is>
      </c>
      <c r="C2901">
        <f>IMAGE("https://cf.shopee.tw/file/tw-11134207-7r98r-lsmosccmyqj671_tn")</f>
        <v/>
      </c>
      <c r="D2901" t="inlineStr">
        <is>
          <t>啾啾萌狗,11</t>
        </is>
      </c>
      <c r="E2901" t="inlineStr">
        <is>
          <t>245440727513</t>
        </is>
      </c>
      <c r="F2901">
        <f>IMAGE("https://cf.shopee.tw/file/tw-11134207-7r98w-lsmosccn053m99_tn")</f>
        <v/>
      </c>
    </row>
    <row r="2902">
      <c r="A2902" t="inlineStr">
        <is>
          <t>25167644827</t>
        </is>
      </c>
      <c r="B2902" t="inlineStr">
        <is>
          <t>隔日到貨🔥 iPhone 透明 手機殼 17 16 15 14 pro 13 12 11 XS XR 保護殼 軟殼 蘋果</t>
        </is>
      </c>
      <c r="C2902">
        <f>IMAGE("https://cf.shopee.tw/file/tw-11134207-7r98r-lsmosccmyqj671_tn")</f>
        <v/>
      </c>
      <c r="D2902" t="inlineStr">
        <is>
          <t>啾啾萌狗,11 Pro Max</t>
        </is>
      </c>
      <c r="E2902" t="inlineStr">
        <is>
          <t>245440727514</t>
        </is>
      </c>
      <c r="F2902">
        <f>IMAGE("https://cf.shopee.tw/file/tw-11134207-7r98w-lsmosccn053m99_tn")</f>
        <v/>
      </c>
    </row>
    <row r="2903">
      <c r="A2903" t="inlineStr">
        <is>
          <t>25167644827</t>
        </is>
      </c>
      <c r="B2903" t="inlineStr">
        <is>
          <t>隔日到貨🔥 iPhone 透明 手機殼 17 16 15 14 pro 13 12 11 XS XR 保護殼 軟殼 蘋果</t>
        </is>
      </c>
      <c r="C2903">
        <f>IMAGE("https://cf.shopee.tw/file/tw-11134207-7r98r-lsmosccmyqj671_tn")</f>
        <v/>
      </c>
      <c r="D2903" t="inlineStr">
        <is>
          <t>啾啾萌狗,12 /12 Pro</t>
        </is>
      </c>
      <c r="E2903" t="inlineStr">
        <is>
          <t>245440727515</t>
        </is>
      </c>
      <c r="F2903">
        <f>IMAGE("https://cf.shopee.tw/file/tw-11134207-7r98w-lsmosccn053m99_tn")</f>
        <v/>
      </c>
    </row>
    <row r="2904">
      <c r="A2904" t="inlineStr">
        <is>
          <t>25167644827</t>
        </is>
      </c>
      <c r="B2904" t="inlineStr">
        <is>
          <t>隔日到貨🔥 iPhone 透明 手機殼 17 16 15 14 pro 13 12 11 XS XR 保護殼 軟殼 蘋果</t>
        </is>
      </c>
      <c r="C2904">
        <f>IMAGE("https://cf.shopee.tw/file/tw-11134207-7r98r-lsmosccmyqj671_tn")</f>
        <v/>
      </c>
      <c r="D2904" t="inlineStr">
        <is>
          <t>啾啾萌狗,12 Pro Max</t>
        </is>
      </c>
      <c r="E2904" t="inlineStr">
        <is>
          <t>245440727516</t>
        </is>
      </c>
      <c r="F2904">
        <f>IMAGE("https://cf.shopee.tw/file/tw-11134207-7r98w-lsmosccn053m99_tn")</f>
        <v/>
      </c>
    </row>
    <row r="2905">
      <c r="A2905" t="inlineStr">
        <is>
          <t>25167644827</t>
        </is>
      </c>
      <c r="B2905" t="inlineStr">
        <is>
          <t>隔日到貨🔥 iPhone 透明 手機殼 17 16 15 14 pro 13 12 11 XS XR 保護殼 軟殼 蘋果</t>
        </is>
      </c>
      <c r="C2905">
        <f>IMAGE("https://cf.shopee.tw/file/tw-11134207-7r98r-lsmosccmyqj671_tn")</f>
        <v/>
      </c>
      <c r="D2905" t="inlineStr">
        <is>
          <t>啾啾萌狗,13</t>
        </is>
      </c>
      <c r="E2905" t="inlineStr">
        <is>
          <t>245434215215</t>
        </is>
      </c>
      <c r="F2905">
        <f>IMAGE("https://cf.shopee.tw/file/tw-11134207-7r98w-lsmosccn053m99_tn")</f>
        <v/>
      </c>
    </row>
    <row r="2906">
      <c r="A2906" t="inlineStr">
        <is>
          <t>25167644827</t>
        </is>
      </c>
      <c r="B2906" t="inlineStr">
        <is>
          <t>隔日到貨🔥 iPhone 透明 手機殼 17 16 15 14 pro 13 12 11 XS XR 保護殼 軟殼 蘋果</t>
        </is>
      </c>
      <c r="C2906">
        <f>IMAGE("https://cf.shopee.tw/file/tw-11134207-7r98r-lsmosccmyqj671_tn")</f>
        <v/>
      </c>
      <c r="D2906" t="inlineStr">
        <is>
          <t>啾啾萌狗,13 Pro</t>
        </is>
      </c>
      <c r="E2906" t="inlineStr">
        <is>
          <t>245440727517</t>
        </is>
      </c>
      <c r="F2906">
        <f>IMAGE("https://cf.shopee.tw/file/tw-11134207-7r98w-lsmosccn053m99_tn")</f>
        <v/>
      </c>
    </row>
    <row r="2907">
      <c r="A2907" t="inlineStr">
        <is>
          <t>25167644827</t>
        </is>
      </c>
      <c r="B2907" t="inlineStr">
        <is>
          <t>隔日到貨🔥 iPhone 透明 手機殼 17 16 15 14 pro 13 12 11 XS XR 保護殼 軟殼 蘋果</t>
        </is>
      </c>
      <c r="C2907">
        <f>IMAGE("https://cf.shopee.tw/file/tw-11134207-7r98r-lsmosccmyqj671_tn")</f>
        <v/>
      </c>
      <c r="D2907" t="inlineStr">
        <is>
          <t>啾啾萌狗,13 Pro Max</t>
        </is>
      </c>
      <c r="E2907" t="inlineStr">
        <is>
          <t>245440727518</t>
        </is>
      </c>
      <c r="F2907">
        <f>IMAGE("https://cf.shopee.tw/file/tw-11134207-7r98w-lsmosccn053m99_tn")</f>
        <v/>
      </c>
    </row>
    <row r="2908">
      <c r="A2908" t="inlineStr">
        <is>
          <t>25167644827</t>
        </is>
      </c>
      <c r="B2908" t="inlineStr">
        <is>
          <t>隔日到貨🔥 iPhone 透明 手機殼 17 16 15 14 pro 13 12 11 XS XR 保護殼 軟殼 蘋果</t>
        </is>
      </c>
      <c r="C2908">
        <f>IMAGE("https://cf.shopee.tw/file/tw-11134207-7r98r-lsmosccmyqj671_tn")</f>
        <v/>
      </c>
      <c r="D2908" t="inlineStr">
        <is>
          <t>啾啾萌狗,14</t>
        </is>
      </c>
      <c r="E2908" t="inlineStr">
        <is>
          <t>245440727519</t>
        </is>
      </c>
      <c r="F2908">
        <f>IMAGE("https://cf.shopee.tw/file/tw-11134207-7r98w-lsmosccn053m99_tn")</f>
        <v/>
      </c>
    </row>
    <row r="2909">
      <c r="A2909" t="inlineStr">
        <is>
          <t>25167644827</t>
        </is>
      </c>
      <c r="B2909" t="inlineStr">
        <is>
          <t>隔日到貨🔥 iPhone 透明 手機殼 17 16 15 14 pro 13 12 11 XS XR 保護殼 軟殼 蘋果</t>
        </is>
      </c>
      <c r="C2909">
        <f>IMAGE("https://cf.shopee.tw/file/tw-11134207-7r98r-lsmosccmyqj671_tn")</f>
        <v/>
      </c>
      <c r="D2909" t="inlineStr">
        <is>
          <t>啾啾萌狗,14 Pro</t>
        </is>
      </c>
      <c r="E2909" t="inlineStr">
        <is>
          <t>245440727520</t>
        </is>
      </c>
      <c r="F2909">
        <f>IMAGE("https://cf.shopee.tw/file/tw-11134207-7r98w-lsmosccn053m99_tn")</f>
        <v/>
      </c>
    </row>
    <row r="2910">
      <c r="A2910" t="inlineStr">
        <is>
          <t>25167644827</t>
        </is>
      </c>
      <c r="B2910" t="inlineStr">
        <is>
          <t>隔日到貨🔥 iPhone 透明 手機殼 17 16 15 14 pro 13 12 11 XS XR 保護殼 軟殼 蘋果</t>
        </is>
      </c>
      <c r="C2910">
        <f>IMAGE("https://cf.shopee.tw/file/tw-11134207-7r98r-lsmosccmyqj671_tn")</f>
        <v/>
      </c>
      <c r="D2910" t="inlineStr">
        <is>
          <t>啾啾萌狗,14 Pro Max</t>
        </is>
      </c>
      <c r="E2910" t="inlineStr">
        <is>
          <t>245440727521</t>
        </is>
      </c>
      <c r="F2910">
        <f>IMAGE("https://cf.shopee.tw/file/tw-11134207-7r98w-lsmosccn053m99_tn")</f>
        <v/>
      </c>
    </row>
    <row r="2911">
      <c r="A2911" t="inlineStr">
        <is>
          <t>25167644827</t>
        </is>
      </c>
      <c r="B2911" t="inlineStr">
        <is>
          <t>隔日到貨🔥 iPhone 透明 手機殼 17 16 15 14 pro 13 12 11 XS XR 保護殼 軟殼 蘋果</t>
        </is>
      </c>
      <c r="C2911">
        <f>IMAGE("https://cf.shopee.tw/file/tw-11134207-7r98r-lsmosccmyqj671_tn")</f>
        <v/>
      </c>
      <c r="D2911" t="inlineStr">
        <is>
          <t>啾啾萌狗,15 Pro</t>
        </is>
      </c>
      <c r="E2911" t="inlineStr">
        <is>
          <t>245440727524</t>
        </is>
      </c>
      <c r="F2911">
        <f>IMAGE("https://cf.shopee.tw/file/tw-11134207-7r98w-lsmosccn053m99_tn")</f>
        <v/>
      </c>
    </row>
    <row r="2912">
      <c r="A2912" t="inlineStr">
        <is>
          <t>25167644827</t>
        </is>
      </c>
      <c r="B2912" t="inlineStr">
        <is>
          <t>隔日到貨🔥 iPhone 透明 手機殼 17 16 15 14 pro 13 12 11 XS XR 保護殼 軟殼 蘋果</t>
        </is>
      </c>
      <c r="C2912">
        <f>IMAGE("https://cf.shopee.tw/file/tw-11134207-7r98r-lsmosccmyqj671_tn")</f>
        <v/>
      </c>
      <c r="D2912" t="inlineStr">
        <is>
          <t>啾啾萌狗,15 Pro Max</t>
        </is>
      </c>
      <c r="E2912" t="inlineStr">
        <is>
          <t>245440727525</t>
        </is>
      </c>
      <c r="F2912">
        <f>IMAGE("https://cf.shopee.tw/file/tw-11134207-7r98w-lsmosccn053m99_tn")</f>
        <v/>
      </c>
    </row>
    <row r="2913">
      <c r="A2913" t="inlineStr">
        <is>
          <t>25167644827</t>
        </is>
      </c>
      <c r="B2913" t="inlineStr">
        <is>
          <t>隔日到貨🔥 iPhone 透明 手機殼 17 16 15 14 pro 13 12 11 XS XR 保護殼 軟殼 蘋果</t>
        </is>
      </c>
      <c r="C2913">
        <f>IMAGE("https://cf.shopee.tw/file/tw-11134207-7r98r-lsmosccmyqj671_tn")</f>
        <v/>
      </c>
      <c r="D2913" t="inlineStr">
        <is>
          <t>啾啾萌狗,15 Plus</t>
        </is>
      </c>
      <c r="E2913" t="inlineStr">
        <is>
          <t>245440727526</t>
        </is>
      </c>
      <c r="F2913">
        <f>IMAGE("https://cf.shopee.tw/file/tw-11134207-7r98w-lsmosccn053m99_tn")</f>
        <v/>
      </c>
    </row>
    <row r="2914">
      <c r="A2914" t="inlineStr">
        <is>
          <t>25167644827</t>
        </is>
      </c>
      <c r="B2914" t="inlineStr">
        <is>
          <t>隔日到貨🔥 iPhone 透明 手機殼 17 16 15 14 pro 13 12 11 XS XR 保護殼 軟殼 蘋果</t>
        </is>
      </c>
      <c r="C2914">
        <f>IMAGE("https://cf.shopee.tw/file/tw-11134207-7r98r-lsmosccmyqj671_tn")</f>
        <v/>
      </c>
      <c r="D2914" t="inlineStr">
        <is>
          <t>啾啾萌狗,16</t>
        </is>
      </c>
      <c r="E2914" t="inlineStr">
        <is>
          <t>198207848561</t>
        </is>
      </c>
      <c r="F2914">
        <f>IMAGE("https://cf.shopee.tw/file/tw-11134207-7r98w-lsmosccn053m99_tn")</f>
        <v/>
      </c>
    </row>
    <row r="2915">
      <c r="A2915" t="inlineStr">
        <is>
          <t>25167644827</t>
        </is>
      </c>
      <c r="B2915" t="inlineStr">
        <is>
          <t>隔日到貨🔥 iPhone 透明 手機殼 17 16 15 14 pro 13 12 11 XS XR 保護殼 軟殼 蘋果</t>
        </is>
      </c>
      <c r="C2915">
        <f>IMAGE("https://cf.shopee.tw/file/tw-11134207-7r98r-lsmosccmyqj671_tn")</f>
        <v/>
      </c>
      <c r="D2915" t="inlineStr">
        <is>
          <t>啾啾萌狗,16 Pro</t>
        </is>
      </c>
      <c r="E2915" t="inlineStr">
        <is>
          <t>198207848562</t>
        </is>
      </c>
      <c r="F2915">
        <f>IMAGE("https://cf.shopee.tw/file/tw-11134207-7r98w-lsmosccn053m99_tn")</f>
        <v/>
      </c>
    </row>
    <row r="2916">
      <c r="A2916" t="inlineStr">
        <is>
          <t>25167644827</t>
        </is>
      </c>
      <c r="B2916" t="inlineStr">
        <is>
          <t>隔日到貨🔥 iPhone 透明 手機殼 17 16 15 14 pro 13 12 11 XS XR 保護殼 軟殼 蘋果</t>
        </is>
      </c>
      <c r="C2916">
        <f>IMAGE("https://cf.shopee.tw/file/tw-11134207-7r98r-lsmosccmyqj671_tn")</f>
        <v/>
      </c>
      <c r="D2916" t="inlineStr">
        <is>
          <t>啾啾萌狗,16 Pro Max</t>
        </is>
      </c>
      <c r="E2916" t="inlineStr">
        <is>
          <t>198207848563</t>
        </is>
      </c>
      <c r="F2916">
        <f>IMAGE("https://cf.shopee.tw/file/tw-11134207-7r98w-lsmosccn053m99_tn")</f>
        <v/>
      </c>
    </row>
    <row r="2917">
      <c r="A2917" t="inlineStr">
        <is>
          <t>25167644827</t>
        </is>
      </c>
      <c r="B2917" t="inlineStr">
        <is>
          <t>隔日到貨🔥 iPhone 透明 手機殼 17 16 15 14 pro 13 12 11 XS XR 保護殼 軟殼 蘋果</t>
        </is>
      </c>
      <c r="C2917">
        <f>IMAGE("https://cf.shopee.tw/file/tw-11134207-7r98r-lsmosccmyqj671_tn")</f>
        <v/>
      </c>
      <c r="D2917" t="inlineStr">
        <is>
          <t>啾啾萌狗,16 Plus</t>
        </is>
      </c>
      <c r="E2917" t="inlineStr">
        <is>
          <t>198207848564</t>
        </is>
      </c>
      <c r="F2917">
        <f>IMAGE("https://cf.shopee.tw/file/tw-11134207-7r98w-lsmosccn053m99_tn")</f>
        <v/>
      </c>
    </row>
    <row r="2918">
      <c r="A2918" t="inlineStr">
        <is>
          <t>25167644827</t>
        </is>
      </c>
      <c r="B2918" t="inlineStr">
        <is>
          <t>隔日到貨🔥 iPhone 透明 手機殼 17 16 15 14 pro 13 12 11 XS XR 保護殼 軟殼 蘋果</t>
        </is>
      </c>
      <c r="C2918">
        <f>IMAGE("https://cf.shopee.tw/file/tw-11134207-7r98r-lsmosccmyqj671_tn")</f>
        <v/>
      </c>
      <c r="D2918" t="inlineStr">
        <is>
          <t>啾啾萌狗,17</t>
        </is>
      </c>
      <c r="E2918" t="inlineStr">
        <is>
          <t>405088788197</t>
        </is>
      </c>
      <c r="F2918">
        <f>IMAGE("https://cf.shopee.tw/file/tw-11134207-7r98w-lsmosccn053m99_tn")</f>
        <v/>
      </c>
    </row>
    <row r="2919">
      <c r="A2919" t="inlineStr">
        <is>
          <t>25167644827</t>
        </is>
      </c>
      <c r="B2919" t="inlineStr">
        <is>
          <t>隔日到貨🔥 iPhone 透明 手機殼 17 16 15 14 pro 13 12 11 XS XR 保護殼 軟殼 蘋果</t>
        </is>
      </c>
      <c r="C2919">
        <f>IMAGE("https://cf.shopee.tw/file/tw-11134207-7r98r-lsmosccmyqj671_tn")</f>
        <v/>
      </c>
      <c r="D2919" t="inlineStr">
        <is>
          <t>啾啾萌狗,17 Pro</t>
        </is>
      </c>
      <c r="E2919" t="inlineStr"/>
      <c r="F2919">
        <f>IMAGE("https://cf.shopee.tw/file/tw-11134207-7r98w-lsmosccn053m99_tn")</f>
        <v/>
      </c>
    </row>
    <row r="2920">
      <c r="A2920" t="inlineStr">
        <is>
          <t>25167644827</t>
        </is>
      </c>
      <c r="B2920" t="inlineStr">
        <is>
          <t>隔日到貨🔥 iPhone 透明 手機殼 17 16 15 14 pro 13 12 11 XS XR 保護殼 軟殼 蘋果</t>
        </is>
      </c>
      <c r="C2920">
        <f>IMAGE("https://cf.shopee.tw/file/tw-11134207-7r98r-lsmosccmyqj671_tn")</f>
        <v/>
      </c>
      <c r="D2920" t="inlineStr">
        <is>
          <t>啾啾萌狗,17 Pro Max</t>
        </is>
      </c>
      <c r="E2920" t="inlineStr">
        <is>
          <t>385088790635</t>
        </is>
      </c>
      <c r="F2920">
        <f>IMAGE("https://cf.shopee.tw/file/tw-11134207-7r98w-lsmosccn053m99_tn")</f>
        <v/>
      </c>
    </row>
    <row r="2921">
      <c r="A2921" t="inlineStr">
        <is>
          <t>21353269785</t>
        </is>
      </c>
      <c r="B2921" t="inlineStr">
        <is>
          <t>隔日到貨🔥 iPhone 手機殼 16 15 14 13 12 11 pro XS XR SE X 保護殼 軟殼 蘋果</t>
        </is>
      </c>
      <c r="C2921">
        <f>IMAGE("https://cf.shopee.tw/file/b0e7f0d5291a958ccb2b9d6cbc2e6f85_tn")</f>
        <v/>
      </c>
      <c r="D2921" t="inlineStr">
        <is>
          <t>呆萌鴨子,X / XS</t>
        </is>
      </c>
      <c r="E2921" t="inlineStr">
        <is>
          <t>126898927370</t>
        </is>
      </c>
      <c r="F2921">
        <f>IMAGE("https://cf.shopee.tw/file/sg-11134201-22100-31i2j1v7fgiv32_tn")</f>
        <v/>
      </c>
    </row>
    <row r="2922">
      <c r="A2922" t="inlineStr">
        <is>
          <t>21353269785</t>
        </is>
      </c>
      <c r="B2922" t="inlineStr">
        <is>
          <t>隔日到貨🔥 iPhone 手機殼 16 15 14 13 12 11 pro XS XR SE X 保護殼 軟殼 蘋果</t>
        </is>
      </c>
      <c r="C2922">
        <f>IMAGE("https://cf.shopee.tw/file/b0e7f0d5291a958ccb2b9d6cbc2e6f85_tn")</f>
        <v/>
      </c>
      <c r="D2922" t="inlineStr">
        <is>
          <t>呆萌鴨子,15 Plus</t>
        </is>
      </c>
      <c r="E2922" t="inlineStr">
        <is>
          <t>204585510238</t>
        </is>
      </c>
      <c r="F2922">
        <f>IMAGE("https://cf.shopee.tw/file/sg-11134201-22100-31i2j1v7fgiv32_tn")</f>
        <v/>
      </c>
    </row>
    <row r="2923">
      <c r="A2923" t="inlineStr">
        <is>
          <t>21353269785</t>
        </is>
      </c>
      <c r="B2923" t="inlineStr">
        <is>
          <t>隔日到貨🔥 iPhone 手機殼 16 15 14 13 12 11 pro XS XR SE X 保護殼 軟殼 蘋果</t>
        </is>
      </c>
      <c r="C2923">
        <f>IMAGE("https://cf.shopee.tw/file/b0e7f0d5291a958ccb2b9d6cbc2e6f85_tn")</f>
        <v/>
      </c>
      <c r="D2923" t="inlineStr">
        <is>
          <t>呆萌鴨子,16 Pro</t>
        </is>
      </c>
      <c r="E2923" t="inlineStr">
        <is>
          <t>241986660194</t>
        </is>
      </c>
      <c r="F2923">
        <f>IMAGE("https://cf.shopee.tw/file/sg-11134201-22100-31i2j1v7fgiv32_tn")</f>
        <v/>
      </c>
    </row>
    <row r="2924">
      <c r="A2924" t="inlineStr">
        <is>
          <t>21353269785</t>
        </is>
      </c>
      <c r="B2924" t="inlineStr">
        <is>
          <t>隔日到貨🔥 iPhone 手機殼 16 15 14 13 12 11 pro XS XR SE X 保護殼 軟殼 蘋果</t>
        </is>
      </c>
      <c r="C2924">
        <f>IMAGE("https://cf.shopee.tw/file/b0e7f0d5291a958ccb2b9d6cbc2e6f85_tn")</f>
        <v/>
      </c>
      <c r="D2924" t="inlineStr">
        <is>
          <t>呆萌鴨子,7 / 8 / SE2 / SE3</t>
        </is>
      </c>
      <c r="E2924" t="inlineStr">
        <is>
          <t>202676288409</t>
        </is>
      </c>
      <c r="F2924">
        <f>IMAGE("https://cf.shopee.tw/file/sg-11134201-22100-31i2j1v7fgiv32_tn")</f>
        <v/>
      </c>
    </row>
    <row r="2925">
      <c r="A2925" t="inlineStr">
        <is>
          <t>21353269785</t>
        </is>
      </c>
      <c r="B2925" t="inlineStr">
        <is>
          <t>隔日到貨🔥 iPhone 手機殼 16 15 14 13 12 11 pro XS XR SE X 保護殼 軟殼 蘋果</t>
        </is>
      </c>
      <c r="C2925">
        <f>IMAGE("https://cf.shopee.tw/file/b0e7f0d5291a958ccb2b9d6cbc2e6f85_tn")</f>
        <v/>
      </c>
      <c r="D2925" t="inlineStr">
        <is>
          <t>呆萌鴨子,7Plus / 8Plus</t>
        </is>
      </c>
      <c r="E2925" t="inlineStr">
        <is>
          <t>126898927369</t>
        </is>
      </c>
      <c r="F2925">
        <f>IMAGE("https://cf.shopee.tw/file/sg-11134201-22100-31i2j1v7fgiv32_tn")</f>
        <v/>
      </c>
    </row>
    <row r="2926">
      <c r="A2926" t="inlineStr">
        <is>
          <t>21353269785</t>
        </is>
      </c>
      <c r="B2926" t="inlineStr">
        <is>
          <t>隔日到貨🔥 iPhone 手機殼 16 15 14 13 12 11 pro XS XR SE X 保護殼 軟殼 蘋果</t>
        </is>
      </c>
      <c r="C2926">
        <f>IMAGE("https://cf.shopee.tw/file/b0e7f0d5291a958ccb2b9d6cbc2e6f85_tn")</f>
        <v/>
      </c>
      <c r="D2926" t="inlineStr">
        <is>
          <t>呆萌鴨子,XR</t>
        </is>
      </c>
      <c r="E2926" t="inlineStr">
        <is>
          <t>126898927378</t>
        </is>
      </c>
      <c r="F2926">
        <f>IMAGE("https://cf.shopee.tw/file/sg-11134201-22100-31i2j1v7fgiv32_tn")</f>
        <v/>
      </c>
    </row>
    <row r="2927">
      <c r="A2927" t="inlineStr">
        <is>
          <t>21353269785</t>
        </is>
      </c>
      <c r="B2927" t="inlineStr">
        <is>
          <t>隔日到貨🔥 iPhone 手機殼 16 15 14 13 12 11 pro XS XR SE X 保護殼 軟殼 蘋果</t>
        </is>
      </c>
      <c r="C2927">
        <f>IMAGE("https://cf.shopee.tw/file/b0e7f0d5291a958ccb2b9d6cbc2e6f85_tn")</f>
        <v/>
      </c>
      <c r="D2927" t="inlineStr">
        <is>
          <t>呆萌鴨子,XS Max</t>
        </is>
      </c>
      <c r="E2927" t="inlineStr">
        <is>
          <t>126898927366</t>
        </is>
      </c>
      <c r="F2927">
        <f>IMAGE("https://cf.shopee.tw/file/sg-11134201-22100-31i2j1v7fgiv32_tn")</f>
        <v/>
      </c>
    </row>
    <row r="2928">
      <c r="A2928" t="inlineStr">
        <is>
          <t>21353269785</t>
        </is>
      </c>
      <c r="B2928" t="inlineStr">
        <is>
          <t>隔日到貨🔥 iPhone 手機殼 16 15 14 13 12 11 pro XS XR SE X 保護殼 軟殼 蘋果</t>
        </is>
      </c>
      <c r="C2928">
        <f>IMAGE("https://cf.shopee.tw/file/b0e7f0d5291a958ccb2b9d6cbc2e6f85_tn")</f>
        <v/>
      </c>
      <c r="D2928" t="inlineStr">
        <is>
          <t>呆萌鴨子,11</t>
        </is>
      </c>
      <c r="E2928" t="inlineStr">
        <is>
          <t>126898927367</t>
        </is>
      </c>
      <c r="F2928">
        <f>IMAGE("https://cf.shopee.tw/file/sg-11134201-22100-31i2j1v7fgiv32_tn")</f>
        <v/>
      </c>
    </row>
    <row r="2929">
      <c r="A2929" t="inlineStr">
        <is>
          <t>21353269785</t>
        </is>
      </c>
      <c r="B2929" t="inlineStr">
        <is>
          <t>隔日到貨🔥 iPhone 手機殼 16 15 14 13 12 11 pro XS XR SE X 保護殼 軟殼 蘋果</t>
        </is>
      </c>
      <c r="C2929">
        <f>IMAGE("https://cf.shopee.tw/file/b0e7f0d5291a958ccb2b9d6cbc2e6f85_tn")</f>
        <v/>
      </c>
      <c r="D2929" t="inlineStr">
        <is>
          <t>呆萌鴨子,11 pro</t>
        </is>
      </c>
      <c r="E2929" t="inlineStr">
        <is>
          <t>126898927371</t>
        </is>
      </c>
      <c r="F2929">
        <f>IMAGE("https://cf.shopee.tw/file/sg-11134201-22100-31i2j1v7fgiv32_tn")</f>
        <v/>
      </c>
    </row>
    <row r="2930">
      <c r="A2930" t="inlineStr">
        <is>
          <t>21353269785</t>
        </is>
      </c>
      <c r="B2930" t="inlineStr">
        <is>
          <t>隔日到貨🔥 iPhone 手機殼 16 15 14 13 12 11 pro XS XR SE X 保護殼 軟殼 蘋果</t>
        </is>
      </c>
      <c r="C2930">
        <f>IMAGE("https://cf.shopee.tw/file/b0e7f0d5291a958ccb2b9d6cbc2e6f85_tn")</f>
        <v/>
      </c>
      <c r="D2930" t="inlineStr">
        <is>
          <t>呆萌鴨子,11 pro Max</t>
        </is>
      </c>
      <c r="E2930" t="inlineStr">
        <is>
          <t>126898927382</t>
        </is>
      </c>
      <c r="F2930">
        <f>IMAGE("https://cf.shopee.tw/file/sg-11134201-22100-31i2j1v7fgiv32_tn")</f>
        <v/>
      </c>
    </row>
    <row r="2931">
      <c r="A2931" t="inlineStr">
        <is>
          <t>21353269785</t>
        </is>
      </c>
      <c r="B2931" t="inlineStr">
        <is>
          <t>隔日到貨🔥 iPhone 手機殼 16 15 14 13 12 11 pro XS XR SE X 保護殼 軟殼 蘋果</t>
        </is>
      </c>
      <c r="C2931">
        <f>IMAGE("https://cf.shopee.tw/file/b0e7f0d5291a958ccb2b9d6cbc2e6f85_tn")</f>
        <v/>
      </c>
      <c r="D2931" t="inlineStr">
        <is>
          <t>呆萌鴨子,12</t>
        </is>
      </c>
      <c r="E2931" t="inlineStr">
        <is>
          <t>126898927374</t>
        </is>
      </c>
      <c r="F2931">
        <f>IMAGE("https://cf.shopee.tw/file/sg-11134201-22100-31i2j1v7fgiv32_tn")</f>
        <v/>
      </c>
    </row>
    <row r="2932">
      <c r="A2932" t="inlineStr">
        <is>
          <t>21353269785</t>
        </is>
      </c>
      <c r="B2932" t="inlineStr">
        <is>
          <t>隔日到貨🔥 iPhone 手機殼 16 15 14 13 12 11 pro XS XR SE X 保護殼 軟殼 蘋果</t>
        </is>
      </c>
      <c r="C2932">
        <f>IMAGE("https://cf.shopee.tw/file/b0e7f0d5291a958ccb2b9d6cbc2e6f85_tn")</f>
        <v/>
      </c>
      <c r="D2932" t="inlineStr">
        <is>
          <t>呆萌鴨子,12 pro</t>
        </is>
      </c>
      <c r="E2932" t="inlineStr">
        <is>
          <t>126898927372</t>
        </is>
      </c>
      <c r="F2932">
        <f>IMAGE("https://cf.shopee.tw/file/sg-11134201-22100-31i2j1v7fgiv32_tn")</f>
        <v/>
      </c>
    </row>
    <row r="2933">
      <c r="A2933" t="inlineStr">
        <is>
          <t>21353269785</t>
        </is>
      </c>
      <c r="B2933" t="inlineStr">
        <is>
          <t>隔日到貨🔥 iPhone 手機殼 16 15 14 13 12 11 pro XS XR SE X 保護殼 軟殼 蘋果</t>
        </is>
      </c>
      <c r="C2933">
        <f>IMAGE("https://cf.shopee.tw/file/b0e7f0d5291a958ccb2b9d6cbc2e6f85_tn")</f>
        <v/>
      </c>
      <c r="D2933" t="inlineStr">
        <is>
          <t>呆萌鴨子,12 pro Max</t>
        </is>
      </c>
      <c r="E2933" t="inlineStr">
        <is>
          <t>126898927375</t>
        </is>
      </c>
      <c r="F2933">
        <f>IMAGE("https://cf.shopee.tw/file/sg-11134201-22100-31i2j1v7fgiv32_tn")</f>
        <v/>
      </c>
    </row>
    <row r="2934">
      <c r="A2934" t="inlineStr">
        <is>
          <t>21353269785</t>
        </is>
      </c>
      <c r="B2934" t="inlineStr">
        <is>
          <t>隔日到貨🔥 iPhone 手機殼 16 15 14 13 12 11 pro XS XR SE X 保護殼 軟殼 蘋果</t>
        </is>
      </c>
      <c r="C2934">
        <f>IMAGE("https://cf.shopee.tw/file/b0e7f0d5291a958ccb2b9d6cbc2e6f85_tn")</f>
        <v/>
      </c>
      <c r="D2934" t="inlineStr">
        <is>
          <t>呆萌鴨子,13</t>
        </is>
      </c>
      <c r="E2934" t="inlineStr">
        <is>
          <t>126898927379</t>
        </is>
      </c>
      <c r="F2934">
        <f>IMAGE("https://cf.shopee.tw/file/sg-11134201-22100-31i2j1v7fgiv32_tn")</f>
        <v/>
      </c>
    </row>
    <row r="2935">
      <c r="A2935" t="inlineStr">
        <is>
          <t>21353269785</t>
        </is>
      </c>
      <c r="B2935" t="inlineStr">
        <is>
          <t>隔日到貨🔥 iPhone 手機殼 16 15 14 13 12 11 pro XS XR SE X 保護殼 軟殼 蘋果</t>
        </is>
      </c>
      <c r="C2935">
        <f>IMAGE("https://cf.shopee.tw/file/b0e7f0d5291a958ccb2b9d6cbc2e6f85_tn")</f>
        <v/>
      </c>
      <c r="D2935" t="inlineStr">
        <is>
          <t>呆萌鴨子,13 pro</t>
        </is>
      </c>
      <c r="E2935" t="inlineStr">
        <is>
          <t>126898927376</t>
        </is>
      </c>
      <c r="F2935">
        <f>IMAGE("https://cf.shopee.tw/file/sg-11134201-22100-31i2j1v7fgiv32_tn")</f>
        <v/>
      </c>
    </row>
    <row r="2936">
      <c r="A2936" t="inlineStr">
        <is>
          <t>21353269785</t>
        </is>
      </c>
      <c r="B2936" t="inlineStr">
        <is>
          <t>隔日到貨🔥 iPhone 手機殼 16 15 14 13 12 11 pro XS XR SE X 保護殼 軟殼 蘋果</t>
        </is>
      </c>
      <c r="C2936">
        <f>IMAGE("https://cf.shopee.tw/file/b0e7f0d5291a958ccb2b9d6cbc2e6f85_tn")</f>
        <v/>
      </c>
      <c r="D2936" t="inlineStr">
        <is>
          <t>呆萌鴨子,13 pro Max</t>
        </is>
      </c>
      <c r="E2936" t="inlineStr"/>
      <c r="F2936">
        <f>IMAGE("https://cf.shopee.tw/file/sg-11134201-22100-31i2j1v7fgiv32_tn")</f>
        <v/>
      </c>
    </row>
    <row r="2937">
      <c r="A2937" t="inlineStr">
        <is>
          <t>21353269785</t>
        </is>
      </c>
      <c r="B2937" t="inlineStr">
        <is>
          <t>隔日到貨🔥 iPhone 手機殼 16 15 14 13 12 11 pro XS XR SE X 保護殼 軟殼 蘋果</t>
        </is>
      </c>
      <c r="C2937">
        <f>IMAGE("https://cf.shopee.tw/file/b0e7f0d5291a958ccb2b9d6cbc2e6f85_tn")</f>
        <v/>
      </c>
      <c r="D2937" t="inlineStr">
        <is>
          <t>呆萌鴨子,13 mini</t>
        </is>
      </c>
      <c r="E2937" t="inlineStr">
        <is>
          <t>175859190510</t>
        </is>
      </c>
      <c r="F2937">
        <f>IMAGE("https://cf.shopee.tw/file/sg-11134201-22100-31i2j1v7fgiv32_tn")</f>
        <v/>
      </c>
    </row>
    <row r="2938">
      <c r="A2938" t="inlineStr">
        <is>
          <t>21353269785</t>
        </is>
      </c>
      <c r="B2938" t="inlineStr">
        <is>
          <t>隔日到貨🔥 iPhone 手機殼 16 15 14 13 12 11 pro XS XR SE X 保護殼 軟殼 蘋果</t>
        </is>
      </c>
      <c r="C2938">
        <f>IMAGE("https://cf.shopee.tw/file/b0e7f0d5291a958ccb2b9d6cbc2e6f85_tn")</f>
        <v/>
      </c>
      <c r="D2938" t="inlineStr">
        <is>
          <t>呆萌鴨子,14</t>
        </is>
      </c>
      <c r="E2938" t="inlineStr"/>
      <c r="F2938">
        <f>IMAGE("https://cf.shopee.tw/file/sg-11134201-22100-31i2j1v7fgiv32_tn")</f>
        <v/>
      </c>
    </row>
    <row r="2939">
      <c r="A2939" t="inlineStr">
        <is>
          <t>21353269785</t>
        </is>
      </c>
      <c r="B2939" t="inlineStr">
        <is>
          <t>隔日到貨🔥 iPhone 手機殼 16 15 14 13 12 11 pro XS XR SE X 保護殼 軟殼 蘋果</t>
        </is>
      </c>
      <c r="C2939">
        <f>IMAGE("https://cf.shopee.tw/file/b0e7f0d5291a958ccb2b9d6cbc2e6f85_tn")</f>
        <v/>
      </c>
      <c r="D2939" t="inlineStr">
        <is>
          <t>呆萌鴨子,14 Plus</t>
        </is>
      </c>
      <c r="E2939" t="inlineStr"/>
      <c r="F2939">
        <f>IMAGE("https://cf.shopee.tw/file/sg-11134201-22100-31i2j1v7fgiv32_tn")</f>
        <v/>
      </c>
    </row>
    <row r="2940">
      <c r="A2940" t="inlineStr">
        <is>
          <t>21353269785</t>
        </is>
      </c>
      <c r="B2940" t="inlineStr">
        <is>
          <t>隔日到貨🔥 iPhone 手機殼 16 15 14 13 12 11 pro XS XR SE X 保護殼 軟殼 蘋果</t>
        </is>
      </c>
      <c r="C2940">
        <f>IMAGE("https://cf.shopee.tw/file/b0e7f0d5291a958ccb2b9d6cbc2e6f85_tn")</f>
        <v/>
      </c>
      <c r="D2940" t="inlineStr">
        <is>
          <t>呆萌鴨子,14 pro</t>
        </is>
      </c>
      <c r="E2940" t="inlineStr">
        <is>
          <t>126898927381</t>
        </is>
      </c>
      <c r="F2940">
        <f>IMAGE("https://cf.shopee.tw/file/sg-11134201-22100-31i2j1v7fgiv32_tn")</f>
        <v/>
      </c>
    </row>
    <row r="2941">
      <c r="A2941" t="inlineStr">
        <is>
          <t>21353269785</t>
        </is>
      </c>
      <c r="B2941" t="inlineStr">
        <is>
          <t>隔日到貨🔥 iPhone 手機殼 16 15 14 13 12 11 pro XS XR SE X 保護殼 軟殼 蘋果</t>
        </is>
      </c>
      <c r="C2941">
        <f>IMAGE("https://cf.shopee.tw/file/b0e7f0d5291a958ccb2b9d6cbc2e6f85_tn")</f>
        <v/>
      </c>
      <c r="D2941" t="inlineStr">
        <is>
          <t>呆萌鴨子,14 pro Max</t>
        </is>
      </c>
      <c r="E2941" t="inlineStr">
        <is>
          <t>126898927377</t>
        </is>
      </c>
      <c r="F2941">
        <f>IMAGE("https://cf.shopee.tw/file/sg-11134201-22100-31i2j1v7fgiv32_tn")</f>
        <v/>
      </c>
    </row>
    <row r="2942">
      <c r="A2942" t="inlineStr">
        <is>
          <t>21353269785</t>
        </is>
      </c>
      <c r="B2942" t="inlineStr">
        <is>
          <t>隔日到貨🔥 iPhone 手機殼 16 15 14 13 12 11 pro XS XR SE X 保護殼 軟殼 蘋果</t>
        </is>
      </c>
      <c r="C2942">
        <f>IMAGE("https://cf.shopee.tw/file/b0e7f0d5291a958ccb2b9d6cbc2e6f85_tn")</f>
        <v/>
      </c>
      <c r="D2942" t="inlineStr">
        <is>
          <t>呆萌鴨子,15</t>
        </is>
      </c>
      <c r="E2942" t="inlineStr">
        <is>
          <t>204585510240</t>
        </is>
      </c>
      <c r="F2942">
        <f>IMAGE("https://cf.shopee.tw/file/sg-11134201-22100-31i2j1v7fgiv32_tn")</f>
        <v/>
      </c>
    </row>
    <row r="2943">
      <c r="A2943" t="inlineStr">
        <is>
          <t>21353269785</t>
        </is>
      </c>
      <c r="B2943" t="inlineStr">
        <is>
          <t>隔日到貨🔥 iPhone 手機殼 16 15 14 13 12 11 pro XS XR SE X 保護殼 軟殼 蘋果</t>
        </is>
      </c>
      <c r="C2943">
        <f>IMAGE("https://cf.shopee.tw/file/b0e7f0d5291a958ccb2b9d6cbc2e6f85_tn")</f>
        <v/>
      </c>
      <c r="D2943" t="inlineStr">
        <is>
          <t>呆萌鴨子,15 pro</t>
        </is>
      </c>
      <c r="E2943" t="inlineStr">
        <is>
          <t>204585510241</t>
        </is>
      </c>
      <c r="F2943">
        <f>IMAGE("https://cf.shopee.tw/file/sg-11134201-22100-31i2j1v7fgiv32_tn")</f>
        <v/>
      </c>
    </row>
    <row r="2944">
      <c r="A2944" t="inlineStr">
        <is>
          <t>21353269785</t>
        </is>
      </c>
      <c r="B2944" t="inlineStr">
        <is>
          <t>隔日到貨🔥 iPhone 手機殼 16 15 14 13 12 11 pro XS XR SE X 保護殼 軟殼 蘋果</t>
        </is>
      </c>
      <c r="C2944">
        <f>IMAGE("https://cf.shopee.tw/file/b0e7f0d5291a958ccb2b9d6cbc2e6f85_tn")</f>
        <v/>
      </c>
      <c r="D2944" t="inlineStr">
        <is>
          <t>呆萌鴨子,15 pro Max</t>
        </is>
      </c>
      <c r="E2944" t="inlineStr">
        <is>
          <t>204585510239</t>
        </is>
      </c>
      <c r="F2944">
        <f>IMAGE("https://cf.shopee.tw/file/sg-11134201-22100-31i2j1v7fgiv32_tn")</f>
        <v/>
      </c>
    </row>
    <row r="2945">
      <c r="A2945" t="inlineStr">
        <is>
          <t>21353269785</t>
        </is>
      </c>
      <c r="B2945" t="inlineStr">
        <is>
          <t>隔日到貨🔥 iPhone 手機殼 16 15 14 13 12 11 pro XS XR SE X 保護殼 軟殼 蘋果</t>
        </is>
      </c>
      <c r="C2945">
        <f>IMAGE("https://cf.shopee.tw/file/b0e7f0d5291a958ccb2b9d6cbc2e6f85_tn")</f>
        <v/>
      </c>
      <c r="D2945" t="inlineStr">
        <is>
          <t>呆萌鴨子,16</t>
        </is>
      </c>
      <c r="E2945" t="inlineStr">
        <is>
          <t>241986660193</t>
        </is>
      </c>
      <c r="F2945">
        <f>IMAGE("https://cf.shopee.tw/file/sg-11134201-22100-31i2j1v7fgiv32_tn")</f>
        <v/>
      </c>
    </row>
    <row r="2946">
      <c r="A2946" t="inlineStr">
        <is>
          <t>21353269785</t>
        </is>
      </c>
      <c r="B2946" t="inlineStr">
        <is>
          <t>隔日到貨🔥 iPhone 手機殼 16 15 14 13 12 11 pro XS XR SE X 保護殼 軟殼 蘋果</t>
        </is>
      </c>
      <c r="C2946">
        <f>IMAGE("https://cf.shopee.tw/file/b0e7f0d5291a958ccb2b9d6cbc2e6f85_tn")</f>
        <v/>
      </c>
      <c r="D2946" t="inlineStr">
        <is>
          <t>呆萌鴨子,16 Plus</t>
        </is>
      </c>
      <c r="E2946" t="inlineStr"/>
      <c r="F2946">
        <f>IMAGE("https://cf.shopee.tw/file/sg-11134201-22100-31i2j1v7fgiv32_tn")</f>
        <v/>
      </c>
    </row>
    <row r="2947">
      <c r="A2947" t="inlineStr">
        <is>
          <t>21353269785</t>
        </is>
      </c>
      <c r="B2947" t="inlineStr">
        <is>
          <t>隔日到貨🔥 iPhone 手機殼 16 15 14 13 12 11 pro XS XR SE X 保護殼 軟殼 蘋果</t>
        </is>
      </c>
      <c r="C2947">
        <f>IMAGE("https://cf.shopee.tw/file/b0e7f0d5291a958ccb2b9d6cbc2e6f85_tn")</f>
        <v/>
      </c>
      <c r="D2947" t="inlineStr">
        <is>
          <t>呆萌鴨子,16 Pro Max</t>
        </is>
      </c>
      <c r="E2947" t="inlineStr">
        <is>
          <t>241986660196</t>
        </is>
      </c>
      <c r="F2947">
        <f>IMAGE("https://cf.shopee.tw/file/sg-11134201-22100-31i2j1v7fgiv32_tn")</f>
        <v/>
      </c>
    </row>
    <row r="2948">
      <c r="A2948" t="inlineStr">
        <is>
          <t>21353269785</t>
        </is>
      </c>
      <c r="B2948" t="inlineStr">
        <is>
          <t>隔日到貨🔥 iPhone 手機殼 16 15 14 13 12 11 pro XS XR SE X 保護殼 軟殼 蘋果</t>
        </is>
      </c>
      <c r="C2948">
        <f>IMAGE("https://cf.shopee.tw/file/b0e7f0d5291a958ccb2b9d6cbc2e6f85_tn")</f>
        <v/>
      </c>
      <c r="D2948" t="inlineStr">
        <is>
          <t>呆萌鴨子,17</t>
        </is>
      </c>
      <c r="E2948" t="inlineStr">
        <is>
          <t>345093191999</t>
        </is>
      </c>
      <c r="F2948">
        <f>IMAGE("https://cf.shopee.tw/file/sg-11134201-22100-31i2j1v7fgiv32_tn")</f>
        <v/>
      </c>
    </row>
    <row r="2949">
      <c r="A2949" t="inlineStr">
        <is>
          <t>21353269785</t>
        </is>
      </c>
      <c r="B2949" t="inlineStr">
        <is>
          <t>隔日到貨🔥 iPhone 手機殼 16 15 14 13 12 11 pro XS XR SE X 保護殼 軟殼 蘋果</t>
        </is>
      </c>
      <c r="C2949">
        <f>IMAGE("https://cf.shopee.tw/file/b0e7f0d5291a958ccb2b9d6cbc2e6f85_tn")</f>
        <v/>
      </c>
      <c r="D2949" t="inlineStr">
        <is>
          <t>呆萌鴨子,17 Pro</t>
        </is>
      </c>
      <c r="E2949" t="inlineStr">
        <is>
          <t>345093192000</t>
        </is>
      </c>
      <c r="F2949">
        <f>IMAGE("https://cf.shopee.tw/file/sg-11134201-22100-31i2j1v7fgiv32_tn")</f>
        <v/>
      </c>
    </row>
    <row r="2950">
      <c r="A2950" t="inlineStr">
        <is>
          <t>21353269785</t>
        </is>
      </c>
      <c r="B2950" t="inlineStr">
        <is>
          <t>隔日到貨🔥 iPhone 手機殼 16 15 14 13 12 11 pro XS XR SE X 保護殼 軟殼 蘋果</t>
        </is>
      </c>
      <c r="C2950">
        <f>IMAGE("https://cf.shopee.tw/file/b0e7f0d5291a958ccb2b9d6cbc2e6f85_tn")</f>
        <v/>
      </c>
      <c r="D2950" t="inlineStr">
        <is>
          <t>呆萌鴨子,17 Pro Max</t>
        </is>
      </c>
      <c r="E2950" t="inlineStr"/>
      <c r="F2950">
        <f>IMAGE("https://cf.shopee.tw/file/sg-11134201-22100-31i2j1v7fgiv32_tn")</f>
        <v/>
      </c>
    </row>
    <row r="2951">
      <c r="A2951" t="inlineStr">
        <is>
          <t>21353269785</t>
        </is>
      </c>
      <c r="B2951" t="inlineStr">
        <is>
          <t>隔日到貨🔥 iPhone 手機殼 16 15 14 13 12 11 pro XS XR SE X 保護殼 軟殼 蘋果</t>
        </is>
      </c>
      <c r="C2951">
        <f>IMAGE("https://cf.shopee.tw/file/b0e7f0d5291a958ccb2b9d6cbc2e6f85_tn")</f>
        <v/>
      </c>
      <c r="D2951" t="inlineStr">
        <is>
          <t>呆萌鴨子,17 Air</t>
        </is>
      </c>
      <c r="E2951" t="inlineStr"/>
      <c r="F2951">
        <f>IMAGE("https://cf.shopee.tw/file/sg-11134201-22100-31i2j1v7fgiv32_tn")</f>
        <v/>
      </c>
    </row>
    <row r="2952">
      <c r="A2952" t="inlineStr">
        <is>
          <t>17983473905</t>
        </is>
      </c>
      <c r="B2952" t="inlineStr">
        <is>
          <t>隔日到貨🔥 iPhone 手機殼 16 15 14 pro 13 12 11 XS XR SE X 保護殼 軟殼 蘋果</t>
        </is>
      </c>
      <c r="C2952">
        <f>IMAGE("https://cf.shopee.tw/file/040234a95e3a15b85d43381666443b07_tn")</f>
        <v/>
      </c>
      <c r="D2952" t="inlineStr">
        <is>
          <t>黃底貓,11</t>
        </is>
      </c>
      <c r="E2952" t="inlineStr">
        <is>
          <t>181999816341</t>
        </is>
      </c>
      <c r="F2952">
        <f>IMAGE("https://cf.shopee.tw/file/040234a95e3a15b85d43381666443b07_tn")</f>
        <v/>
      </c>
    </row>
    <row r="2953">
      <c r="A2953" t="inlineStr">
        <is>
          <t>17983473905</t>
        </is>
      </c>
      <c r="B2953" t="inlineStr">
        <is>
          <t>隔日到貨🔥 iPhone 手機殼 16 15 14 pro 13 12 11 XS XR SE X 保護殼 軟殼 蘋果</t>
        </is>
      </c>
      <c r="C2953">
        <f>IMAGE("https://cf.shopee.tw/file/040234a95e3a15b85d43381666443b07_tn")</f>
        <v/>
      </c>
      <c r="D2953" t="inlineStr">
        <is>
          <t>黃底貓,7 / 8 / SE2 / SE3</t>
        </is>
      </c>
      <c r="E2953" t="inlineStr">
        <is>
          <t>174234432730</t>
        </is>
      </c>
      <c r="F2953">
        <f>IMAGE("https://cf.shopee.tw/file/040234a95e3a15b85d43381666443b07_tn")</f>
        <v/>
      </c>
    </row>
    <row r="2954">
      <c r="A2954" t="inlineStr">
        <is>
          <t>17983473905</t>
        </is>
      </c>
      <c r="B2954" t="inlineStr">
        <is>
          <t>隔日到貨🔥 iPhone 手機殼 16 15 14 pro 13 12 11 XS XR SE X 保護殼 軟殼 蘋果</t>
        </is>
      </c>
      <c r="C2954">
        <f>IMAGE("https://cf.shopee.tw/file/040234a95e3a15b85d43381666443b07_tn")</f>
        <v/>
      </c>
      <c r="D2954" t="inlineStr">
        <is>
          <t>黃底貓,7plus / 8plus</t>
        </is>
      </c>
      <c r="E2954" t="inlineStr">
        <is>
          <t>181999816338</t>
        </is>
      </c>
      <c r="F2954">
        <f>IMAGE("https://cf.shopee.tw/file/040234a95e3a15b85d43381666443b07_tn")</f>
        <v/>
      </c>
    </row>
    <row r="2955">
      <c r="A2955" t="inlineStr">
        <is>
          <t>17983473905</t>
        </is>
      </c>
      <c r="B2955" t="inlineStr">
        <is>
          <t>隔日到貨🔥 iPhone 手機殼 16 15 14 pro 13 12 11 XS XR SE X 保護殼 軟殼 蘋果</t>
        </is>
      </c>
      <c r="C2955">
        <f>IMAGE("https://cf.shopee.tw/file/040234a95e3a15b85d43381666443b07_tn")</f>
        <v/>
      </c>
      <c r="D2955" t="inlineStr">
        <is>
          <t>黃底貓,X / XS</t>
        </is>
      </c>
      <c r="E2955" t="inlineStr">
        <is>
          <t>174234432726</t>
        </is>
      </c>
      <c r="F2955">
        <f>IMAGE("https://cf.shopee.tw/file/040234a95e3a15b85d43381666443b07_tn")</f>
        <v/>
      </c>
    </row>
    <row r="2956">
      <c r="A2956" t="inlineStr">
        <is>
          <t>17983473905</t>
        </is>
      </c>
      <c r="B2956" t="inlineStr">
        <is>
          <t>隔日到貨🔥 iPhone 手機殼 16 15 14 pro 13 12 11 XS XR SE X 保護殼 軟殼 蘋果</t>
        </is>
      </c>
      <c r="C2956">
        <f>IMAGE("https://cf.shopee.tw/file/040234a95e3a15b85d43381666443b07_tn")</f>
        <v/>
      </c>
      <c r="D2956" t="inlineStr">
        <is>
          <t>黃底貓,XR</t>
        </is>
      </c>
      <c r="E2956" t="inlineStr">
        <is>
          <t>181999816340</t>
        </is>
      </c>
      <c r="F2956">
        <f>IMAGE("https://cf.shopee.tw/file/040234a95e3a15b85d43381666443b07_tn")</f>
        <v/>
      </c>
    </row>
    <row r="2957">
      <c r="A2957" t="inlineStr">
        <is>
          <t>17983473905</t>
        </is>
      </c>
      <c r="B2957" t="inlineStr">
        <is>
          <t>隔日到貨🔥 iPhone 手機殼 16 15 14 pro 13 12 11 XS XR SE X 保護殼 軟殼 蘋果</t>
        </is>
      </c>
      <c r="C2957">
        <f>IMAGE("https://cf.shopee.tw/file/040234a95e3a15b85d43381666443b07_tn")</f>
        <v/>
      </c>
      <c r="D2957" t="inlineStr">
        <is>
          <t>黃底貓,XS Max</t>
        </is>
      </c>
      <c r="E2957" t="inlineStr">
        <is>
          <t>181999816339</t>
        </is>
      </c>
      <c r="F2957">
        <f>IMAGE("https://cf.shopee.tw/file/040234a95e3a15b85d43381666443b07_tn")</f>
        <v/>
      </c>
    </row>
    <row r="2958">
      <c r="A2958" t="inlineStr">
        <is>
          <t>17983473905</t>
        </is>
      </c>
      <c r="B2958" t="inlineStr">
        <is>
          <t>隔日到貨🔥 iPhone 手機殼 16 15 14 pro 13 12 11 XS XR SE X 保護殼 軟殼 蘋果</t>
        </is>
      </c>
      <c r="C2958">
        <f>IMAGE("https://cf.shopee.tw/file/040234a95e3a15b85d43381666443b07_tn")</f>
        <v/>
      </c>
      <c r="D2958" t="inlineStr">
        <is>
          <t>黃底貓,11 pro</t>
        </is>
      </c>
      <c r="E2958" t="inlineStr">
        <is>
          <t>174234432731</t>
        </is>
      </c>
      <c r="F2958">
        <f>IMAGE("https://cf.shopee.tw/file/040234a95e3a15b85d43381666443b07_tn")</f>
        <v/>
      </c>
    </row>
    <row r="2959">
      <c r="A2959" t="inlineStr">
        <is>
          <t>17983473905</t>
        </is>
      </c>
      <c r="B2959" t="inlineStr">
        <is>
          <t>隔日到貨🔥 iPhone 手機殼 16 15 14 pro 13 12 11 XS XR SE X 保護殼 軟殼 蘋果</t>
        </is>
      </c>
      <c r="C2959">
        <f>IMAGE("https://cf.shopee.tw/file/040234a95e3a15b85d43381666443b07_tn")</f>
        <v/>
      </c>
      <c r="D2959" t="inlineStr">
        <is>
          <t>黃底貓,12</t>
        </is>
      </c>
      <c r="E2959" t="inlineStr">
        <is>
          <t>181999816336</t>
        </is>
      </c>
      <c r="F2959">
        <f>IMAGE("https://cf.shopee.tw/file/040234a95e3a15b85d43381666443b07_tn")</f>
        <v/>
      </c>
    </row>
    <row r="2960">
      <c r="A2960" t="inlineStr">
        <is>
          <t>17983473905</t>
        </is>
      </c>
      <c r="B2960" t="inlineStr">
        <is>
          <t>隔日到貨🔥 iPhone 手機殼 16 15 14 pro 13 12 11 XS XR SE X 保護殼 軟殼 蘋果</t>
        </is>
      </c>
      <c r="C2960">
        <f>IMAGE("https://cf.shopee.tw/file/040234a95e3a15b85d43381666443b07_tn")</f>
        <v/>
      </c>
      <c r="D2960" t="inlineStr">
        <is>
          <t>黃底貓,12 pro</t>
        </is>
      </c>
      <c r="E2960" t="inlineStr">
        <is>
          <t>174234432727</t>
        </is>
      </c>
      <c r="F2960">
        <f>IMAGE("https://cf.shopee.tw/file/040234a95e3a15b85d43381666443b07_tn")</f>
        <v/>
      </c>
    </row>
    <row r="2961">
      <c r="A2961" t="inlineStr">
        <is>
          <t>17983473905</t>
        </is>
      </c>
      <c r="B2961" t="inlineStr">
        <is>
          <t>隔日到貨🔥 iPhone 手機殼 16 15 14 pro 13 12 11 XS XR SE X 保護殼 軟殼 蘋果</t>
        </is>
      </c>
      <c r="C2961">
        <f>IMAGE("https://cf.shopee.tw/file/040234a95e3a15b85d43381666443b07_tn")</f>
        <v/>
      </c>
      <c r="D2961" t="inlineStr">
        <is>
          <t>黃底貓,12 pro Max</t>
        </is>
      </c>
      <c r="E2961" t="inlineStr">
        <is>
          <t>181999816342</t>
        </is>
      </c>
      <c r="F2961">
        <f>IMAGE("https://cf.shopee.tw/file/040234a95e3a15b85d43381666443b07_tn")</f>
        <v/>
      </c>
    </row>
    <row r="2962">
      <c r="A2962" t="inlineStr">
        <is>
          <t>17983473905</t>
        </is>
      </c>
      <c r="B2962" t="inlineStr">
        <is>
          <t>隔日到貨🔥 iPhone 手機殼 16 15 14 pro 13 12 11 XS XR SE X 保護殼 軟殼 蘋果</t>
        </is>
      </c>
      <c r="C2962">
        <f>IMAGE("https://cf.shopee.tw/file/040234a95e3a15b85d43381666443b07_tn")</f>
        <v/>
      </c>
      <c r="D2962" t="inlineStr">
        <is>
          <t>黃底貓,13</t>
        </is>
      </c>
      <c r="E2962" t="inlineStr">
        <is>
          <t>181999816337</t>
        </is>
      </c>
      <c r="F2962">
        <f>IMAGE("https://cf.shopee.tw/file/040234a95e3a15b85d43381666443b07_tn")</f>
        <v/>
      </c>
    </row>
    <row r="2963">
      <c r="A2963" t="inlineStr">
        <is>
          <t>17983473905</t>
        </is>
      </c>
      <c r="B2963" t="inlineStr">
        <is>
          <t>隔日到貨🔥 iPhone 手機殼 16 15 14 pro 13 12 11 XS XR SE X 保護殼 軟殼 蘋果</t>
        </is>
      </c>
      <c r="C2963">
        <f>IMAGE("https://cf.shopee.tw/file/040234a95e3a15b85d43381666443b07_tn")</f>
        <v/>
      </c>
      <c r="D2963" t="inlineStr">
        <is>
          <t>黃底貓,13 pro</t>
        </is>
      </c>
      <c r="E2963" t="inlineStr">
        <is>
          <t>174234432728</t>
        </is>
      </c>
      <c r="F2963">
        <f>IMAGE("https://cf.shopee.tw/file/040234a95e3a15b85d43381666443b07_tn")</f>
        <v/>
      </c>
    </row>
    <row r="2964">
      <c r="A2964" t="inlineStr">
        <is>
          <t>17983473905</t>
        </is>
      </c>
      <c r="B2964" t="inlineStr">
        <is>
          <t>隔日到貨🔥 iPhone 手機殼 16 15 14 pro 13 12 11 XS XR SE X 保護殼 軟殼 蘋果</t>
        </is>
      </c>
      <c r="C2964">
        <f>IMAGE("https://cf.shopee.tw/file/040234a95e3a15b85d43381666443b07_tn")</f>
        <v/>
      </c>
      <c r="D2964" t="inlineStr">
        <is>
          <t>黃底貓,13 pro Max</t>
        </is>
      </c>
      <c r="E2964" t="inlineStr">
        <is>
          <t>174234432729</t>
        </is>
      </c>
      <c r="F2964">
        <f>IMAGE("https://cf.shopee.tw/file/040234a95e3a15b85d43381666443b07_tn")</f>
        <v/>
      </c>
    </row>
    <row r="2965">
      <c r="A2965" t="inlineStr">
        <is>
          <t>17983473905</t>
        </is>
      </c>
      <c r="B2965" t="inlineStr">
        <is>
          <t>隔日到貨🔥 iPhone 手機殼 16 15 14 pro 13 12 11 XS XR SE X 保護殼 軟殼 蘋果</t>
        </is>
      </c>
      <c r="C2965">
        <f>IMAGE("https://cf.shopee.tw/file/040234a95e3a15b85d43381666443b07_tn")</f>
        <v/>
      </c>
      <c r="D2965" t="inlineStr">
        <is>
          <t>黃底貓,13 mini</t>
        </is>
      </c>
      <c r="E2965" t="inlineStr">
        <is>
          <t>235143373456</t>
        </is>
      </c>
      <c r="F2965">
        <f>IMAGE("https://cf.shopee.tw/file/040234a95e3a15b85d43381666443b07_tn")</f>
        <v/>
      </c>
    </row>
    <row r="2966">
      <c r="A2966" t="inlineStr">
        <is>
          <t>17983473905</t>
        </is>
      </c>
      <c r="B2966" t="inlineStr">
        <is>
          <t>隔日到貨🔥 iPhone 手機殼 16 15 14 pro 13 12 11 XS XR SE X 保護殼 軟殼 蘋果</t>
        </is>
      </c>
      <c r="C2966">
        <f>IMAGE("https://cf.shopee.tw/file/040234a95e3a15b85d43381666443b07_tn")</f>
        <v/>
      </c>
      <c r="D2966" t="inlineStr">
        <is>
          <t>黃底貓,14</t>
        </is>
      </c>
      <c r="E2966" t="inlineStr">
        <is>
          <t>192365033469</t>
        </is>
      </c>
      <c r="F2966">
        <f>IMAGE("https://cf.shopee.tw/file/040234a95e3a15b85d43381666443b07_tn")</f>
        <v/>
      </c>
    </row>
    <row r="2967">
      <c r="A2967" t="inlineStr">
        <is>
          <t>17983473905</t>
        </is>
      </c>
      <c r="B2967" t="inlineStr">
        <is>
          <t>隔日到貨🔥 iPhone 手機殼 16 15 14 pro 13 12 11 XS XR SE X 保護殼 軟殼 蘋果</t>
        </is>
      </c>
      <c r="C2967">
        <f>IMAGE("https://cf.shopee.tw/file/040234a95e3a15b85d43381666443b07_tn")</f>
        <v/>
      </c>
      <c r="D2967" t="inlineStr">
        <is>
          <t>黃底貓,14 pro</t>
        </is>
      </c>
      <c r="E2967" t="inlineStr">
        <is>
          <t>192365033468</t>
        </is>
      </c>
      <c r="F2967">
        <f>IMAGE("https://cf.shopee.tw/file/040234a95e3a15b85d43381666443b07_tn")</f>
        <v/>
      </c>
    </row>
    <row r="2968">
      <c r="A2968" t="inlineStr">
        <is>
          <t>17983473905</t>
        </is>
      </c>
      <c r="B2968" t="inlineStr">
        <is>
          <t>隔日到貨🔥 iPhone 手機殼 16 15 14 pro 13 12 11 XS XR SE X 保護殼 軟殼 蘋果</t>
        </is>
      </c>
      <c r="C2968">
        <f>IMAGE("https://cf.shopee.tw/file/040234a95e3a15b85d43381666443b07_tn")</f>
        <v/>
      </c>
      <c r="D2968" t="inlineStr">
        <is>
          <t>黃底貓,14 pro Max</t>
        </is>
      </c>
      <c r="E2968" t="inlineStr"/>
      <c r="F2968">
        <f>IMAGE("https://cf.shopee.tw/file/040234a95e3a15b85d43381666443b07_tn")</f>
        <v/>
      </c>
    </row>
    <row r="2969">
      <c r="A2969" t="inlineStr">
        <is>
          <t>17983473905</t>
        </is>
      </c>
      <c r="B2969" t="inlineStr">
        <is>
          <t>隔日到貨🔥 iPhone 手機殼 16 15 14 pro 13 12 11 XS XR SE X 保護殼 軟殼 蘋果</t>
        </is>
      </c>
      <c r="C2969">
        <f>IMAGE("https://cf.shopee.tw/file/040234a95e3a15b85d43381666443b07_tn")</f>
        <v/>
      </c>
      <c r="D2969" t="inlineStr">
        <is>
          <t>黃底貓,14 Plus</t>
        </is>
      </c>
      <c r="E2969" t="inlineStr">
        <is>
          <t>192365033467</t>
        </is>
      </c>
      <c r="F2969">
        <f>IMAGE("https://cf.shopee.tw/file/040234a95e3a15b85d43381666443b07_tn")</f>
        <v/>
      </c>
    </row>
    <row r="2970">
      <c r="A2970" t="inlineStr">
        <is>
          <t>17983473905</t>
        </is>
      </c>
      <c r="B2970" t="inlineStr">
        <is>
          <t>隔日到貨🔥 iPhone 手機殼 16 15 14 pro 13 12 11 XS XR SE X 保護殼 軟殼 蘋果</t>
        </is>
      </c>
      <c r="C2970">
        <f>IMAGE("https://cf.shopee.tw/file/040234a95e3a15b85d43381666443b07_tn")</f>
        <v/>
      </c>
      <c r="D2970" t="inlineStr">
        <is>
          <t>黃底貓,15</t>
        </is>
      </c>
      <c r="E2970" t="inlineStr">
        <is>
          <t>194612415848</t>
        </is>
      </c>
      <c r="F2970">
        <f>IMAGE("https://cf.shopee.tw/file/040234a95e3a15b85d43381666443b07_tn")</f>
        <v/>
      </c>
    </row>
    <row r="2971">
      <c r="A2971" t="inlineStr">
        <is>
          <t>17983473905</t>
        </is>
      </c>
      <c r="B2971" t="inlineStr">
        <is>
          <t>隔日到貨🔥 iPhone 手機殼 16 15 14 pro 13 12 11 XS XR SE X 保護殼 軟殼 蘋果</t>
        </is>
      </c>
      <c r="C2971">
        <f>IMAGE("https://cf.shopee.tw/file/040234a95e3a15b85d43381666443b07_tn")</f>
        <v/>
      </c>
      <c r="D2971" t="inlineStr">
        <is>
          <t>黃底貓,15 pro</t>
        </is>
      </c>
      <c r="E2971" t="inlineStr"/>
      <c r="F2971">
        <f>IMAGE("https://cf.shopee.tw/file/040234a95e3a15b85d43381666443b07_tn")</f>
        <v/>
      </c>
    </row>
    <row r="2972">
      <c r="A2972" t="inlineStr">
        <is>
          <t>17983473905</t>
        </is>
      </c>
      <c r="B2972" t="inlineStr">
        <is>
          <t>隔日到貨🔥 iPhone 手機殼 16 15 14 pro 13 12 11 XS XR SE X 保護殼 軟殼 蘋果</t>
        </is>
      </c>
      <c r="C2972">
        <f>IMAGE("https://cf.shopee.tw/file/040234a95e3a15b85d43381666443b07_tn")</f>
        <v/>
      </c>
      <c r="D2972" t="inlineStr">
        <is>
          <t>黃底貓,15 pro Max</t>
        </is>
      </c>
      <c r="E2972" t="inlineStr">
        <is>
          <t>194612415850</t>
        </is>
      </c>
      <c r="F2972">
        <f>IMAGE("https://cf.shopee.tw/file/040234a95e3a15b85d43381666443b07_tn")</f>
        <v/>
      </c>
    </row>
    <row r="2973">
      <c r="A2973" t="inlineStr">
        <is>
          <t>17983473905</t>
        </is>
      </c>
      <c r="B2973" t="inlineStr">
        <is>
          <t>隔日到貨🔥 iPhone 手機殼 16 15 14 pro 13 12 11 XS XR SE X 保護殼 軟殼 蘋果</t>
        </is>
      </c>
      <c r="C2973">
        <f>IMAGE("https://cf.shopee.tw/file/040234a95e3a15b85d43381666443b07_tn")</f>
        <v/>
      </c>
      <c r="D2973" t="inlineStr">
        <is>
          <t>黃底貓,15 Plus</t>
        </is>
      </c>
      <c r="E2973" t="inlineStr">
        <is>
          <t>194612415847</t>
        </is>
      </c>
      <c r="F2973">
        <f>IMAGE("https://cf.shopee.tw/file/040234a95e3a15b85d43381666443b07_tn")</f>
        <v/>
      </c>
    </row>
    <row r="2974">
      <c r="A2974" t="inlineStr">
        <is>
          <t>17983473905</t>
        </is>
      </c>
      <c r="B2974" t="inlineStr">
        <is>
          <t>隔日到貨🔥 iPhone 手機殼 16 15 14 pro 13 12 11 XS XR SE X 保護殼 軟殼 蘋果</t>
        </is>
      </c>
      <c r="C2974">
        <f>IMAGE("https://cf.shopee.tw/file/040234a95e3a15b85d43381666443b07_tn")</f>
        <v/>
      </c>
      <c r="D2974" t="inlineStr">
        <is>
          <t>黃底貓,16</t>
        </is>
      </c>
      <c r="E2974" t="inlineStr">
        <is>
          <t>185400903794</t>
        </is>
      </c>
      <c r="F2974">
        <f>IMAGE("https://cf.shopee.tw/file/040234a95e3a15b85d43381666443b07_tn")</f>
        <v/>
      </c>
    </row>
    <row r="2975">
      <c r="A2975" t="inlineStr">
        <is>
          <t>17983473905</t>
        </is>
      </c>
      <c r="B2975" t="inlineStr">
        <is>
          <t>隔日到貨🔥 iPhone 手機殼 16 15 14 pro 13 12 11 XS XR SE X 保護殼 軟殼 蘋果</t>
        </is>
      </c>
      <c r="C2975">
        <f>IMAGE("https://cf.shopee.tw/file/040234a95e3a15b85d43381666443b07_tn")</f>
        <v/>
      </c>
      <c r="D2975" t="inlineStr">
        <is>
          <t>黃底貓,16 pro</t>
        </is>
      </c>
      <c r="E2975" t="inlineStr">
        <is>
          <t>185400903795</t>
        </is>
      </c>
      <c r="F2975">
        <f>IMAGE("https://cf.shopee.tw/file/040234a95e3a15b85d43381666443b07_tn")</f>
        <v/>
      </c>
    </row>
    <row r="2976">
      <c r="A2976" t="inlineStr">
        <is>
          <t>17983473905</t>
        </is>
      </c>
      <c r="B2976" t="inlineStr">
        <is>
          <t>隔日到貨🔥 iPhone 手機殼 16 15 14 pro 13 12 11 XS XR SE X 保護殼 軟殼 蘋果</t>
        </is>
      </c>
      <c r="C2976">
        <f>IMAGE("https://cf.shopee.tw/file/040234a95e3a15b85d43381666443b07_tn")</f>
        <v/>
      </c>
      <c r="D2976" t="inlineStr">
        <is>
          <t>黃底貓,16 pro Max</t>
        </is>
      </c>
      <c r="E2976" t="inlineStr">
        <is>
          <t>185400903796</t>
        </is>
      </c>
      <c r="F2976">
        <f>IMAGE("https://cf.shopee.tw/file/040234a95e3a15b85d43381666443b07_tn")</f>
        <v/>
      </c>
    </row>
    <row r="2977">
      <c r="A2977" t="inlineStr">
        <is>
          <t>17983473905</t>
        </is>
      </c>
      <c r="B2977" t="inlineStr">
        <is>
          <t>隔日到貨🔥 iPhone 手機殼 16 15 14 pro 13 12 11 XS XR SE X 保護殼 軟殼 蘋果</t>
        </is>
      </c>
      <c r="C2977">
        <f>IMAGE("https://cf.shopee.tw/file/040234a95e3a15b85d43381666443b07_tn")</f>
        <v/>
      </c>
      <c r="D2977" t="inlineStr">
        <is>
          <t>黃底貓,16 Plus</t>
        </is>
      </c>
      <c r="E2977" t="inlineStr">
        <is>
          <t>185400903797</t>
        </is>
      </c>
      <c r="F2977">
        <f>IMAGE("https://cf.shopee.tw/file/040234a95e3a15b85d43381666443b07_tn")</f>
        <v/>
      </c>
    </row>
    <row r="2978">
      <c r="A2978" t="inlineStr">
        <is>
          <t>25217649200</t>
        </is>
      </c>
      <c r="B2978" t="inlineStr">
        <is>
          <t>隔日到貨🔥 iPhone 手機殼 16 15 14 13 12 11 pro 保護殼 軟殼 蘋果</t>
        </is>
      </c>
      <c r="C2978">
        <f>IMAGE("https://cf.shopee.tw/file/tw-11134207-7r991-lsmohps4t4nm5f_tn")</f>
        <v/>
      </c>
      <c r="D2978" t="inlineStr">
        <is>
          <t>奶白禮帽小狗(單殼),11 pro</t>
        </is>
      </c>
      <c r="E2978" t="inlineStr"/>
      <c r="F2978">
        <f>IMAGE("https://cf.shopee.tw/file/tw-11134207-7r98t-lsmohps4uj82da_tn")</f>
        <v/>
      </c>
    </row>
    <row r="2979">
      <c r="A2979" t="inlineStr">
        <is>
          <t>25217649200</t>
        </is>
      </c>
      <c r="B2979" t="inlineStr">
        <is>
          <t>隔日到貨🔥 iPhone 手機殼 16 15 14 13 12 11 pro 保護殼 軟殼 蘋果</t>
        </is>
      </c>
      <c r="C2979">
        <f>IMAGE("https://cf.shopee.tw/file/tw-11134207-7r991-lsmohps4t4nm5f_tn")</f>
        <v/>
      </c>
      <c r="D2979" t="inlineStr">
        <is>
          <t>奶白禮帽小狗(單殼),15 Plus</t>
        </is>
      </c>
      <c r="E2979" t="inlineStr"/>
      <c r="F2979">
        <f>IMAGE("https://cf.shopee.tw/file/tw-11134207-7r98t-lsmohps4uj82da_tn")</f>
        <v/>
      </c>
    </row>
    <row r="2980">
      <c r="A2980" t="inlineStr">
        <is>
          <t>25217649200</t>
        </is>
      </c>
      <c r="B2980" t="inlineStr">
        <is>
          <t>隔日到貨🔥 iPhone 手機殼 16 15 14 13 12 11 pro 保護殼 軟殼 蘋果</t>
        </is>
      </c>
      <c r="C2980">
        <f>IMAGE("https://cf.shopee.tw/file/tw-11134207-7r991-lsmohps4t4nm5f_tn")</f>
        <v/>
      </c>
      <c r="D2980" t="inlineStr">
        <is>
          <t>奶白禮帽小狗(單殼),11</t>
        </is>
      </c>
      <c r="E2980" t="inlineStr">
        <is>
          <t>240440656202</t>
        </is>
      </c>
      <c r="F2980">
        <f>IMAGE("https://cf.shopee.tw/file/tw-11134207-7r98t-lsmohps4uj82da_tn")</f>
        <v/>
      </c>
    </row>
    <row r="2981">
      <c r="A2981" t="inlineStr">
        <is>
          <t>25217649200</t>
        </is>
      </c>
      <c r="B2981" t="inlineStr">
        <is>
          <t>隔日到貨🔥 iPhone 手機殼 16 15 14 13 12 11 pro 保護殼 軟殼 蘋果</t>
        </is>
      </c>
      <c r="C2981">
        <f>IMAGE("https://cf.shopee.tw/file/tw-11134207-7r991-lsmohps4t4nm5f_tn")</f>
        <v/>
      </c>
      <c r="D2981" t="inlineStr">
        <is>
          <t>奶白禮帽小狗(單殼),11 pro Max</t>
        </is>
      </c>
      <c r="E2981" t="inlineStr">
        <is>
          <t>240440656204</t>
        </is>
      </c>
      <c r="F2981">
        <f>IMAGE("https://cf.shopee.tw/file/tw-11134207-7r98t-lsmohps4uj82da_tn")</f>
        <v/>
      </c>
    </row>
    <row r="2982">
      <c r="A2982" t="inlineStr">
        <is>
          <t>25217649200</t>
        </is>
      </c>
      <c r="B2982" t="inlineStr">
        <is>
          <t>隔日到貨🔥 iPhone 手機殼 16 15 14 13 12 11 pro 保護殼 軟殼 蘋果</t>
        </is>
      </c>
      <c r="C2982">
        <f>IMAGE("https://cf.shopee.tw/file/tw-11134207-7r991-lsmohps4t4nm5f_tn")</f>
        <v/>
      </c>
      <c r="D2982" t="inlineStr">
        <is>
          <t>奶白禮帽小狗(單殼),12</t>
        </is>
      </c>
      <c r="E2982" t="inlineStr">
        <is>
          <t>240440656205</t>
        </is>
      </c>
      <c r="F2982">
        <f>IMAGE("https://cf.shopee.tw/file/tw-11134207-7r98t-lsmohps4uj82da_tn")</f>
        <v/>
      </c>
    </row>
    <row r="2983">
      <c r="A2983" t="inlineStr">
        <is>
          <t>25217649200</t>
        </is>
      </c>
      <c r="B2983" t="inlineStr">
        <is>
          <t>隔日到貨🔥 iPhone 手機殼 16 15 14 13 12 11 pro 保護殼 軟殼 蘋果</t>
        </is>
      </c>
      <c r="C2983">
        <f>IMAGE("https://cf.shopee.tw/file/tw-11134207-7r991-lsmohps4t4nm5f_tn")</f>
        <v/>
      </c>
      <c r="D2983" t="inlineStr">
        <is>
          <t>奶白禮帽小狗(單殼),12 pro</t>
        </is>
      </c>
      <c r="E2983" t="inlineStr">
        <is>
          <t>240440656206</t>
        </is>
      </c>
      <c r="F2983">
        <f>IMAGE("https://cf.shopee.tw/file/tw-11134207-7r98t-lsmohps4uj82da_tn")</f>
        <v/>
      </c>
    </row>
    <row r="2984">
      <c r="A2984" t="inlineStr">
        <is>
          <t>25217649200</t>
        </is>
      </c>
      <c r="B2984" t="inlineStr">
        <is>
          <t>隔日到貨🔥 iPhone 手機殼 16 15 14 13 12 11 pro 保護殼 軟殼 蘋果</t>
        </is>
      </c>
      <c r="C2984">
        <f>IMAGE("https://cf.shopee.tw/file/tw-11134207-7r991-lsmohps4t4nm5f_tn")</f>
        <v/>
      </c>
      <c r="D2984" t="inlineStr">
        <is>
          <t>奶白禮帽小狗(單殼),12 pro Max</t>
        </is>
      </c>
      <c r="E2984" t="inlineStr">
        <is>
          <t>240440656207</t>
        </is>
      </c>
      <c r="F2984">
        <f>IMAGE("https://cf.shopee.tw/file/tw-11134207-7r98t-lsmohps4uj82da_tn")</f>
        <v/>
      </c>
    </row>
    <row r="2985">
      <c r="A2985" t="inlineStr">
        <is>
          <t>25217649200</t>
        </is>
      </c>
      <c r="B2985" t="inlineStr">
        <is>
          <t>隔日到貨🔥 iPhone 手機殼 16 15 14 13 12 11 pro 保護殼 軟殼 蘋果</t>
        </is>
      </c>
      <c r="C2985">
        <f>IMAGE("https://cf.shopee.tw/file/tw-11134207-7r991-lsmohps4t4nm5f_tn")</f>
        <v/>
      </c>
      <c r="D2985" t="inlineStr">
        <is>
          <t>奶白禮帽小狗(單殼),13</t>
        </is>
      </c>
      <c r="E2985" t="inlineStr">
        <is>
          <t>240440656208</t>
        </is>
      </c>
      <c r="F2985">
        <f>IMAGE("https://cf.shopee.tw/file/tw-11134207-7r98t-lsmohps4uj82da_tn")</f>
        <v/>
      </c>
    </row>
    <row r="2986">
      <c r="A2986" t="inlineStr">
        <is>
          <t>25217649200</t>
        </is>
      </c>
      <c r="B2986" t="inlineStr">
        <is>
          <t>隔日到貨🔥 iPhone 手機殼 16 15 14 13 12 11 pro 保護殼 軟殼 蘋果</t>
        </is>
      </c>
      <c r="C2986">
        <f>IMAGE("https://cf.shopee.tw/file/tw-11134207-7r991-lsmohps4t4nm5f_tn")</f>
        <v/>
      </c>
      <c r="D2986" t="inlineStr">
        <is>
          <t>奶白禮帽小狗(單殼),13 pro</t>
        </is>
      </c>
      <c r="E2986" t="inlineStr">
        <is>
          <t>240440656209</t>
        </is>
      </c>
      <c r="F2986">
        <f>IMAGE("https://cf.shopee.tw/file/tw-11134207-7r98t-lsmohps4uj82da_tn")</f>
        <v/>
      </c>
    </row>
    <row r="2987">
      <c r="A2987" t="inlineStr">
        <is>
          <t>25217649200</t>
        </is>
      </c>
      <c r="B2987" t="inlineStr">
        <is>
          <t>隔日到貨🔥 iPhone 手機殼 16 15 14 13 12 11 pro 保護殼 軟殼 蘋果</t>
        </is>
      </c>
      <c r="C2987">
        <f>IMAGE("https://cf.shopee.tw/file/tw-11134207-7r991-lsmohps4t4nm5f_tn")</f>
        <v/>
      </c>
      <c r="D2987" t="inlineStr">
        <is>
          <t>奶白禮帽小狗(單殼),13 pro Max</t>
        </is>
      </c>
      <c r="E2987" t="inlineStr">
        <is>
          <t>240440656210</t>
        </is>
      </c>
      <c r="F2987">
        <f>IMAGE("https://cf.shopee.tw/file/tw-11134207-7r98t-lsmohps4uj82da_tn")</f>
        <v/>
      </c>
    </row>
    <row r="2988">
      <c r="A2988" t="inlineStr">
        <is>
          <t>25217649200</t>
        </is>
      </c>
      <c r="B2988" t="inlineStr">
        <is>
          <t>隔日到貨🔥 iPhone 手機殼 16 15 14 13 12 11 pro 保護殼 軟殼 蘋果</t>
        </is>
      </c>
      <c r="C2988">
        <f>IMAGE("https://cf.shopee.tw/file/tw-11134207-7r991-lsmohps4t4nm5f_tn")</f>
        <v/>
      </c>
      <c r="D2988" t="inlineStr">
        <is>
          <t>奶白禮帽小狗(單殼),14</t>
        </is>
      </c>
      <c r="E2988" t="inlineStr">
        <is>
          <t>240440656211</t>
        </is>
      </c>
      <c r="F2988">
        <f>IMAGE("https://cf.shopee.tw/file/tw-11134207-7r98t-lsmohps4uj82da_tn")</f>
        <v/>
      </c>
    </row>
    <row r="2989">
      <c r="A2989" t="inlineStr">
        <is>
          <t>25217649200</t>
        </is>
      </c>
      <c r="B2989" t="inlineStr">
        <is>
          <t>隔日到貨🔥 iPhone 手機殼 16 15 14 13 12 11 pro 保護殼 軟殼 蘋果</t>
        </is>
      </c>
      <c r="C2989">
        <f>IMAGE("https://cf.shopee.tw/file/tw-11134207-7r991-lsmohps4t4nm5f_tn")</f>
        <v/>
      </c>
      <c r="D2989" t="inlineStr">
        <is>
          <t>奶白禮帽小狗(單殼),14 pro</t>
        </is>
      </c>
      <c r="E2989" t="inlineStr">
        <is>
          <t>240440656212</t>
        </is>
      </c>
      <c r="F2989">
        <f>IMAGE("https://cf.shopee.tw/file/tw-11134207-7r98t-lsmohps4uj82da_tn")</f>
        <v/>
      </c>
    </row>
    <row r="2990">
      <c r="A2990" t="inlineStr">
        <is>
          <t>25217649200</t>
        </is>
      </c>
      <c r="B2990" t="inlineStr">
        <is>
          <t>隔日到貨🔥 iPhone 手機殼 16 15 14 13 12 11 pro 保護殼 軟殼 蘋果</t>
        </is>
      </c>
      <c r="C2990">
        <f>IMAGE("https://cf.shopee.tw/file/tw-11134207-7r991-lsmohps4t4nm5f_tn")</f>
        <v/>
      </c>
      <c r="D2990" t="inlineStr">
        <is>
          <t>奶白禮帽小狗(單殼),14 pro Max</t>
        </is>
      </c>
      <c r="E2990" t="inlineStr"/>
      <c r="F2990">
        <f>IMAGE("https://cf.shopee.tw/file/tw-11134207-7r98t-lsmohps4uj82da_tn")</f>
        <v/>
      </c>
    </row>
    <row r="2991">
      <c r="A2991" t="inlineStr">
        <is>
          <t>25217649200</t>
        </is>
      </c>
      <c r="B2991" t="inlineStr">
        <is>
          <t>隔日到貨🔥 iPhone 手機殼 16 15 14 13 12 11 pro 保護殼 軟殼 蘋果</t>
        </is>
      </c>
      <c r="C2991">
        <f>IMAGE("https://cf.shopee.tw/file/tw-11134207-7r991-lsmohps4t4nm5f_tn")</f>
        <v/>
      </c>
      <c r="D2991" t="inlineStr">
        <is>
          <t>奶白禮帽小狗(單殼),14 Plus</t>
        </is>
      </c>
      <c r="E2991" t="inlineStr">
        <is>
          <t>240440656214</t>
        </is>
      </c>
      <c r="F2991">
        <f>IMAGE("https://cf.shopee.tw/file/tw-11134207-7r98t-lsmohps4uj82da_tn")</f>
        <v/>
      </c>
    </row>
    <row r="2992">
      <c r="A2992" t="inlineStr">
        <is>
          <t>25217649200</t>
        </is>
      </c>
      <c r="B2992" t="inlineStr">
        <is>
          <t>隔日到貨🔥 iPhone 手機殼 16 15 14 13 12 11 pro 保護殼 軟殼 蘋果</t>
        </is>
      </c>
      <c r="C2992">
        <f>IMAGE("https://cf.shopee.tw/file/tw-11134207-7r991-lsmohps4t4nm5f_tn")</f>
        <v/>
      </c>
      <c r="D2992" t="inlineStr">
        <is>
          <t>奶白禮帽小狗(單殼),15</t>
        </is>
      </c>
      <c r="E2992" t="inlineStr">
        <is>
          <t>240440656215</t>
        </is>
      </c>
      <c r="F2992">
        <f>IMAGE("https://cf.shopee.tw/file/tw-11134207-7r98t-lsmohps4uj82da_tn")</f>
        <v/>
      </c>
    </row>
    <row r="2993">
      <c r="A2993" t="inlineStr">
        <is>
          <t>25217649200</t>
        </is>
      </c>
      <c r="B2993" t="inlineStr">
        <is>
          <t>隔日到貨🔥 iPhone 手機殼 16 15 14 13 12 11 pro 保護殼 軟殼 蘋果</t>
        </is>
      </c>
      <c r="C2993">
        <f>IMAGE("https://cf.shopee.tw/file/tw-11134207-7r991-lsmohps4t4nm5f_tn")</f>
        <v/>
      </c>
      <c r="D2993" t="inlineStr">
        <is>
          <t>奶白禮帽小狗(單殼),15 pro</t>
        </is>
      </c>
      <c r="E2993" t="inlineStr">
        <is>
          <t>240440656216</t>
        </is>
      </c>
      <c r="F2993">
        <f>IMAGE("https://cf.shopee.tw/file/tw-11134207-7r98t-lsmohps4uj82da_tn")</f>
        <v/>
      </c>
    </row>
    <row r="2994">
      <c r="A2994" t="inlineStr">
        <is>
          <t>25217649200</t>
        </is>
      </c>
      <c r="B2994" t="inlineStr">
        <is>
          <t>隔日到貨🔥 iPhone 手機殼 16 15 14 13 12 11 pro 保護殼 軟殼 蘋果</t>
        </is>
      </c>
      <c r="C2994">
        <f>IMAGE("https://cf.shopee.tw/file/tw-11134207-7r991-lsmohps4t4nm5f_tn")</f>
        <v/>
      </c>
      <c r="D2994" t="inlineStr">
        <is>
          <t>奶白禮帽小狗(單殼),15 pro Max</t>
        </is>
      </c>
      <c r="E2994" t="inlineStr">
        <is>
          <t>240440656217</t>
        </is>
      </c>
      <c r="F2994">
        <f>IMAGE("https://cf.shopee.tw/file/tw-11134207-7r98t-lsmohps4uj82da_tn")</f>
        <v/>
      </c>
    </row>
    <row r="2995">
      <c r="A2995" t="inlineStr">
        <is>
          <t>25217649200</t>
        </is>
      </c>
      <c r="B2995" t="inlineStr">
        <is>
          <t>隔日到貨🔥 iPhone 手機殼 16 15 14 13 12 11 pro 保護殼 軟殼 蘋果</t>
        </is>
      </c>
      <c r="C2995">
        <f>IMAGE("https://cf.shopee.tw/file/tw-11134207-7r991-lsmohps4t4nm5f_tn")</f>
        <v/>
      </c>
      <c r="D2995" t="inlineStr">
        <is>
          <t>奶白禮帽小狗(單殼),16</t>
        </is>
      </c>
      <c r="E2995" t="inlineStr">
        <is>
          <t>109284250846</t>
        </is>
      </c>
      <c r="F2995">
        <f>IMAGE("https://cf.shopee.tw/file/tw-11134207-7r98t-lsmohps4uj82da_tn")</f>
        <v/>
      </c>
    </row>
    <row r="2996">
      <c r="A2996" t="inlineStr">
        <is>
          <t>25217649200</t>
        </is>
      </c>
      <c r="B2996" t="inlineStr">
        <is>
          <t>隔日到貨🔥 iPhone 手機殼 16 15 14 13 12 11 pro 保護殼 軟殼 蘋果</t>
        </is>
      </c>
      <c r="C2996">
        <f>IMAGE("https://cf.shopee.tw/file/tw-11134207-7r991-lsmohps4t4nm5f_tn")</f>
        <v/>
      </c>
      <c r="D2996" t="inlineStr">
        <is>
          <t>奶白禮帽小狗(單殼),16 pro</t>
        </is>
      </c>
      <c r="E2996" t="inlineStr"/>
      <c r="F2996">
        <f>IMAGE("https://cf.shopee.tw/file/tw-11134207-7r98t-lsmohps4uj82da_tn")</f>
        <v/>
      </c>
    </row>
    <row r="2997">
      <c r="A2997" t="inlineStr">
        <is>
          <t>25217649200</t>
        </is>
      </c>
      <c r="B2997" t="inlineStr">
        <is>
          <t>隔日到貨🔥 iPhone 手機殼 16 15 14 13 12 11 pro 保護殼 軟殼 蘋果</t>
        </is>
      </c>
      <c r="C2997">
        <f>IMAGE("https://cf.shopee.tw/file/tw-11134207-7r991-lsmohps4t4nm5f_tn")</f>
        <v/>
      </c>
      <c r="D2997" t="inlineStr">
        <is>
          <t>奶白禮帽小狗(單殼),16 pro Max</t>
        </is>
      </c>
      <c r="E2997" t="inlineStr">
        <is>
          <t>109284250848</t>
        </is>
      </c>
      <c r="F2997">
        <f>IMAGE("https://cf.shopee.tw/file/tw-11134207-7r98t-lsmohps4uj82da_tn")</f>
        <v/>
      </c>
    </row>
    <row r="2998">
      <c r="A2998" t="inlineStr">
        <is>
          <t>25217649200</t>
        </is>
      </c>
      <c r="B2998" t="inlineStr">
        <is>
          <t>隔日到貨🔥 iPhone 手機殼 16 15 14 13 12 11 pro 保護殼 軟殼 蘋果</t>
        </is>
      </c>
      <c r="C2998">
        <f>IMAGE("https://cf.shopee.tw/file/tw-11134207-7r991-lsmohps4t4nm5f_tn")</f>
        <v/>
      </c>
      <c r="D2998" t="inlineStr">
        <is>
          <t>奶白禮帽小狗(單殼),16 Plus</t>
        </is>
      </c>
      <c r="E2998" t="inlineStr">
        <is>
          <t>109284250849</t>
        </is>
      </c>
      <c r="F2998">
        <f>IMAGE("https://cf.shopee.tw/file/tw-11134207-7r98t-lsmohps4uj82da_tn")</f>
        <v/>
      </c>
    </row>
    <row r="2999">
      <c r="A2999" t="inlineStr">
        <is>
          <t>3781970932</t>
        </is>
      </c>
      <c r="B2999" t="inlineStr">
        <is>
          <t>隔日到貨🔥 iPhone 手機殼 16 15 14 13 12 11 XS XR SE X 保護殼 軟殼 蘋果</t>
        </is>
      </c>
      <c r="C2999">
        <f>IMAGE("https://cf.shopee.tw/file/b184b18af6203ab6c03d31804b1064ab_tn")</f>
        <v/>
      </c>
      <c r="D2999" t="inlineStr">
        <is>
          <t>7 / 8 / SE2 / SE3</t>
        </is>
      </c>
      <c r="E2999" t="inlineStr">
        <is>
          <t>54152852005</t>
        </is>
      </c>
      <c r="F2999">
        <f>IMAGE("https://deo.shopeemobile.com/shopee/shopee-seller-live-sg/mmf_portal_seller_root_dir/static/modules/product-list/image/default-item-model-image.2601159.png")</f>
        <v/>
      </c>
    </row>
    <row r="3000">
      <c r="A3000" t="inlineStr">
        <is>
          <t>3781970932</t>
        </is>
      </c>
      <c r="B3000" t="inlineStr">
        <is>
          <t>隔日到貨🔥 iPhone 手機殼 16 15 14 13 12 11 XS XR SE X 保護殼 軟殼 蘋果</t>
        </is>
      </c>
      <c r="C3000">
        <f>IMAGE("https://cf.shopee.tw/file/b184b18af6203ab6c03d31804b1064ab_tn")</f>
        <v/>
      </c>
      <c r="D3000" t="inlineStr">
        <is>
          <t>7plus / 8plus</t>
        </is>
      </c>
      <c r="E3000" t="inlineStr">
        <is>
          <t>54152852006</t>
        </is>
      </c>
      <c r="F3000">
        <f>IMAGE("https://deo.shopeemobile.com/shopee/shopee-seller-live-sg/mmf_portal_seller_root_dir/static/modules/product-list/image/default-item-model-image.2601159.png")</f>
        <v/>
      </c>
    </row>
    <row r="3001">
      <c r="A3001" t="inlineStr">
        <is>
          <t>3781970932</t>
        </is>
      </c>
      <c r="B3001" t="inlineStr">
        <is>
          <t>隔日到貨🔥 iPhone 手機殼 16 15 14 13 12 11 XS XR SE X 保護殼 軟殼 蘋果</t>
        </is>
      </c>
      <c r="C3001">
        <f>IMAGE("https://cf.shopee.tw/file/b184b18af6203ab6c03d31804b1064ab_tn")</f>
        <v/>
      </c>
      <c r="D3001" t="inlineStr">
        <is>
          <t>X / XS</t>
        </is>
      </c>
      <c r="E3001" t="inlineStr">
        <is>
          <t>54152852007</t>
        </is>
      </c>
      <c r="F3001">
        <f>IMAGE("https://deo.shopeemobile.com/shopee/shopee-seller-live-sg/mmf_portal_seller_root_dir/static/modules/product-list/image/default-item-model-image.2601159.png")</f>
        <v/>
      </c>
    </row>
    <row r="3002">
      <c r="A3002" t="inlineStr">
        <is>
          <t>3781970932</t>
        </is>
      </c>
      <c r="B3002" t="inlineStr">
        <is>
          <t>隔日到貨🔥 iPhone 手機殼 16 15 14 13 12 11 XS XR SE X 保護殼 軟殼 蘋果</t>
        </is>
      </c>
      <c r="C3002">
        <f>IMAGE("https://cf.shopee.tw/file/b184b18af6203ab6c03d31804b1064ab_tn")</f>
        <v/>
      </c>
      <c r="D3002" t="inlineStr">
        <is>
          <t>XR</t>
        </is>
      </c>
      <c r="E3002" t="inlineStr">
        <is>
          <t>54152851999</t>
        </is>
      </c>
      <c r="F3002">
        <f>IMAGE("https://deo.shopeemobile.com/shopee/shopee-seller-live-sg/mmf_portal_seller_root_dir/static/modules/product-list/image/default-item-model-image.2601159.png")</f>
        <v/>
      </c>
    </row>
    <row r="3003">
      <c r="A3003" t="inlineStr">
        <is>
          <t>3781970932</t>
        </is>
      </c>
      <c r="B3003" t="inlineStr">
        <is>
          <t>隔日到貨🔥 iPhone 手機殼 16 15 14 13 12 11 XS XR SE X 保護殼 軟殼 蘋果</t>
        </is>
      </c>
      <c r="C3003">
        <f>IMAGE("https://cf.shopee.tw/file/b184b18af6203ab6c03d31804b1064ab_tn")</f>
        <v/>
      </c>
      <c r="D3003" t="inlineStr">
        <is>
          <t>XS Max</t>
        </is>
      </c>
      <c r="E3003" t="inlineStr">
        <is>
          <t>54152852002</t>
        </is>
      </c>
      <c r="F3003">
        <f>IMAGE("https://deo.shopeemobile.com/shopee/shopee-seller-live-sg/mmf_portal_seller_root_dir/static/modules/product-list/image/default-item-model-image.2601159.png")</f>
        <v/>
      </c>
    </row>
    <row r="3004">
      <c r="A3004" t="inlineStr">
        <is>
          <t>3781970932</t>
        </is>
      </c>
      <c r="B3004" t="inlineStr">
        <is>
          <t>隔日到貨🔥 iPhone 手機殼 16 15 14 13 12 11 XS XR SE X 保護殼 軟殼 蘋果</t>
        </is>
      </c>
      <c r="C3004">
        <f>IMAGE("https://cf.shopee.tw/file/b184b18af6203ab6c03d31804b1064ab_tn")</f>
        <v/>
      </c>
      <c r="D3004" t="inlineStr">
        <is>
          <t>11</t>
        </is>
      </c>
      <c r="E3004" t="inlineStr">
        <is>
          <t>54152852000</t>
        </is>
      </c>
      <c r="F3004">
        <f>IMAGE("https://deo.shopeemobile.com/shopee/shopee-seller-live-sg/mmf_portal_seller_root_dir/static/modules/product-list/image/default-item-model-image.2601159.png")</f>
        <v/>
      </c>
    </row>
    <row r="3005">
      <c r="A3005" t="inlineStr">
        <is>
          <t>3781970932</t>
        </is>
      </c>
      <c r="B3005" t="inlineStr">
        <is>
          <t>隔日到貨🔥 iPhone 手機殼 16 15 14 13 12 11 XS XR SE X 保護殼 軟殼 蘋果</t>
        </is>
      </c>
      <c r="C3005">
        <f>IMAGE("https://cf.shopee.tw/file/b184b18af6203ab6c03d31804b1064ab_tn")</f>
        <v/>
      </c>
      <c r="D3005" t="inlineStr">
        <is>
          <t>11 pro</t>
        </is>
      </c>
      <c r="E3005" t="inlineStr">
        <is>
          <t>54152852001</t>
        </is>
      </c>
      <c r="F3005">
        <f>IMAGE("https://deo.shopeemobile.com/shopee/shopee-seller-live-sg/mmf_portal_seller_root_dir/static/modules/product-list/image/default-item-model-image.2601159.png")</f>
        <v/>
      </c>
    </row>
    <row r="3006">
      <c r="A3006" t="inlineStr">
        <is>
          <t>3781970932</t>
        </is>
      </c>
      <c r="B3006" t="inlineStr">
        <is>
          <t>隔日到貨🔥 iPhone 手機殼 16 15 14 13 12 11 XS XR SE X 保護殼 軟殼 蘋果</t>
        </is>
      </c>
      <c r="C3006">
        <f>IMAGE("https://cf.shopee.tw/file/b184b18af6203ab6c03d31804b1064ab_tn")</f>
        <v/>
      </c>
      <c r="D3006" t="inlineStr">
        <is>
          <t>11 pro Max</t>
        </is>
      </c>
      <c r="E3006" t="inlineStr">
        <is>
          <t>54152851997</t>
        </is>
      </c>
      <c r="F3006">
        <f>IMAGE("https://deo.shopeemobile.com/shopee/shopee-seller-live-sg/mmf_portal_seller_root_dir/static/modules/product-list/image/default-item-model-image.2601159.png")</f>
        <v/>
      </c>
    </row>
    <row r="3007">
      <c r="A3007" t="inlineStr">
        <is>
          <t>3781970932</t>
        </is>
      </c>
      <c r="B3007" t="inlineStr">
        <is>
          <t>隔日到貨🔥 iPhone 手機殼 16 15 14 13 12 11 XS XR SE X 保護殼 軟殼 蘋果</t>
        </is>
      </c>
      <c r="C3007">
        <f>IMAGE("https://cf.shopee.tw/file/b184b18af6203ab6c03d31804b1064ab_tn")</f>
        <v/>
      </c>
      <c r="D3007" t="inlineStr">
        <is>
          <t>12</t>
        </is>
      </c>
      <c r="E3007" t="inlineStr">
        <is>
          <t>54152852003</t>
        </is>
      </c>
      <c r="F3007">
        <f>IMAGE("https://deo.shopeemobile.com/shopee/shopee-seller-live-sg/mmf_portal_seller_root_dir/static/modules/product-list/image/default-item-model-image.2601159.png")</f>
        <v/>
      </c>
    </row>
    <row r="3008">
      <c r="A3008" t="inlineStr">
        <is>
          <t>3781970932</t>
        </is>
      </c>
      <c r="B3008" t="inlineStr">
        <is>
          <t>隔日到貨🔥 iPhone 手機殼 16 15 14 13 12 11 XS XR SE X 保護殼 軟殼 蘋果</t>
        </is>
      </c>
      <c r="C3008">
        <f>IMAGE("https://cf.shopee.tw/file/b184b18af6203ab6c03d31804b1064ab_tn")</f>
        <v/>
      </c>
      <c r="D3008" t="inlineStr">
        <is>
          <t>12 pro</t>
        </is>
      </c>
      <c r="E3008" t="inlineStr">
        <is>
          <t>54152852004</t>
        </is>
      </c>
      <c r="F3008">
        <f>IMAGE("https://deo.shopeemobile.com/shopee/shopee-seller-live-sg/mmf_portal_seller_root_dir/static/modules/product-list/image/default-item-model-image.2601159.png")</f>
        <v/>
      </c>
    </row>
    <row r="3009">
      <c r="A3009" t="inlineStr">
        <is>
          <t>3781970932</t>
        </is>
      </c>
      <c r="B3009" t="inlineStr">
        <is>
          <t>隔日到貨🔥 iPhone 手機殼 16 15 14 13 12 11 XS XR SE X 保護殼 軟殼 蘋果</t>
        </is>
      </c>
      <c r="C3009">
        <f>IMAGE("https://cf.shopee.tw/file/b184b18af6203ab6c03d31804b1064ab_tn")</f>
        <v/>
      </c>
      <c r="D3009" t="inlineStr">
        <is>
          <t>12 mini</t>
        </is>
      </c>
      <c r="E3009" t="inlineStr">
        <is>
          <t>83863405541</t>
        </is>
      </c>
      <c r="F3009">
        <f>IMAGE("https://deo.shopeemobile.com/shopee/shopee-seller-live-sg/mmf_portal_seller_root_dir/static/modules/product-list/image/default-item-model-image.2601159.png")</f>
        <v/>
      </c>
    </row>
    <row r="3010">
      <c r="A3010" t="inlineStr">
        <is>
          <t>3781970932</t>
        </is>
      </c>
      <c r="B3010" t="inlineStr">
        <is>
          <t>隔日到貨🔥 iPhone 手機殼 16 15 14 13 12 11 XS XR SE X 保護殼 軟殼 蘋果</t>
        </is>
      </c>
      <c r="C3010">
        <f>IMAGE("https://cf.shopee.tw/file/b184b18af6203ab6c03d31804b1064ab_tn")</f>
        <v/>
      </c>
      <c r="D3010" t="inlineStr">
        <is>
          <t>12 pro Max</t>
        </is>
      </c>
      <c r="E3010" t="inlineStr">
        <is>
          <t>54152851998</t>
        </is>
      </c>
      <c r="F3010">
        <f>IMAGE("https://deo.shopeemobile.com/shopee/shopee-seller-live-sg/mmf_portal_seller_root_dir/static/modules/product-list/image/default-item-model-image.2601159.png")</f>
        <v/>
      </c>
    </row>
    <row r="3011">
      <c r="A3011" t="inlineStr">
        <is>
          <t>3781970932</t>
        </is>
      </c>
      <c r="B3011" t="inlineStr">
        <is>
          <t>隔日到貨🔥 iPhone 手機殼 16 15 14 13 12 11 XS XR SE X 保護殼 軟殼 蘋果</t>
        </is>
      </c>
      <c r="C3011">
        <f>IMAGE("https://cf.shopee.tw/file/b184b18af6203ab6c03d31804b1064ab_tn")</f>
        <v/>
      </c>
      <c r="D3011" t="inlineStr">
        <is>
          <t>13</t>
        </is>
      </c>
      <c r="E3011" t="inlineStr">
        <is>
          <t>77435603208</t>
        </is>
      </c>
      <c r="F3011">
        <f>IMAGE("https://deo.shopeemobile.com/shopee/shopee-seller-live-sg/mmf_portal_seller_root_dir/static/modules/product-list/image/default-item-model-image.2601159.png")</f>
        <v/>
      </c>
    </row>
    <row r="3012">
      <c r="A3012" t="inlineStr">
        <is>
          <t>3781970932</t>
        </is>
      </c>
      <c r="B3012" t="inlineStr">
        <is>
          <t>隔日到貨🔥 iPhone 手機殼 16 15 14 13 12 11 XS XR SE X 保護殼 軟殼 蘋果</t>
        </is>
      </c>
      <c r="C3012">
        <f>IMAGE("https://cf.shopee.tw/file/b184b18af6203ab6c03d31804b1064ab_tn")</f>
        <v/>
      </c>
      <c r="D3012" t="inlineStr">
        <is>
          <t>13 pro</t>
        </is>
      </c>
      <c r="E3012" t="inlineStr">
        <is>
          <t>77435603209</t>
        </is>
      </c>
      <c r="F3012">
        <f>IMAGE("https://deo.shopeemobile.com/shopee/shopee-seller-live-sg/mmf_portal_seller_root_dir/static/modules/product-list/image/default-item-model-image.2601159.png")</f>
        <v/>
      </c>
    </row>
    <row r="3013">
      <c r="A3013" t="inlineStr">
        <is>
          <t>3781970932</t>
        </is>
      </c>
      <c r="B3013" t="inlineStr">
        <is>
          <t>隔日到貨🔥 iPhone 手機殼 16 15 14 13 12 11 XS XR SE X 保護殼 軟殼 蘋果</t>
        </is>
      </c>
      <c r="C3013">
        <f>IMAGE("https://cf.shopee.tw/file/b184b18af6203ab6c03d31804b1064ab_tn")</f>
        <v/>
      </c>
      <c r="D3013" t="inlineStr">
        <is>
          <t>13 pro Max</t>
        </is>
      </c>
      <c r="E3013" t="inlineStr">
        <is>
          <t>77435603207</t>
        </is>
      </c>
      <c r="F3013">
        <f>IMAGE("https://deo.shopeemobile.com/shopee/shopee-seller-live-sg/mmf_portal_seller_root_dir/static/modules/product-list/image/default-item-model-image.2601159.png")</f>
        <v/>
      </c>
    </row>
    <row r="3014">
      <c r="A3014" t="inlineStr">
        <is>
          <t>3781970932</t>
        </is>
      </c>
      <c r="B3014" t="inlineStr">
        <is>
          <t>隔日到貨🔥 iPhone 手機殼 16 15 14 13 12 11 XS XR SE X 保護殼 軟殼 蘋果</t>
        </is>
      </c>
      <c r="C3014">
        <f>IMAGE("https://cf.shopee.tw/file/b184b18af6203ab6c03d31804b1064ab_tn")</f>
        <v/>
      </c>
      <c r="D3014" t="inlineStr">
        <is>
          <t>13 mini</t>
        </is>
      </c>
      <c r="E3014" t="inlineStr">
        <is>
          <t>221537614002</t>
        </is>
      </c>
      <c r="F3014">
        <f>IMAGE("https://deo.shopeemobile.com/shopee/shopee-seller-live-sg/mmf_portal_seller_root_dir/static/modules/product-list/image/default-item-model-image.2601159.png")</f>
        <v/>
      </c>
    </row>
    <row r="3015">
      <c r="A3015" t="inlineStr">
        <is>
          <t>3781970932</t>
        </is>
      </c>
      <c r="B3015" t="inlineStr">
        <is>
          <t>隔日到貨🔥 iPhone 手機殼 16 15 14 13 12 11 XS XR SE X 保護殼 軟殼 蘋果</t>
        </is>
      </c>
      <c r="C3015">
        <f>IMAGE("https://cf.shopee.tw/file/b184b18af6203ab6c03d31804b1064ab_tn")</f>
        <v/>
      </c>
      <c r="D3015" t="inlineStr">
        <is>
          <t>14</t>
        </is>
      </c>
      <c r="E3015" t="inlineStr"/>
      <c r="F3015">
        <f>IMAGE("https://deo.shopeemobile.com/shopee/shopee-seller-live-sg/mmf_portal_seller_root_dir/static/modules/product-list/image/default-item-model-image.2601159.png")</f>
        <v/>
      </c>
    </row>
    <row r="3016">
      <c r="A3016" t="inlineStr">
        <is>
          <t>3781970932</t>
        </is>
      </c>
      <c r="B3016" t="inlineStr">
        <is>
          <t>隔日到貨🔥 iPhone 手機殼 16 15 14 13 12 11 XS XR SE X 保護殼 軟殼 蘋果</t>
        </is>
      </c>
      <c r="C3016">
        <f>IMAGE("https://cf.shopee.tw/file/b184b18af6203ab6c03d31804b1064ab_tn")</f>
        <v/>
      </c>
      <c r="D3016" t="inlineStr">
        <is>
          <t>14 Plus</t>
        </is>
      </c>
      <c r="E3016" t="inlineStr">
        <is>
          <t>117445307263</t>
        </is>
      </c>
      <c r="F3016">
        <f>IMAGE("https://deo.shopeemobile.com/shopee/shopee-seller-live-sg/mmf_portal_seller_root_dir/static/modules/product-list/image/default-item-model-image.2601159.png")</f>
        <v/>
      </c>
    </row>
    <row r="3017">
      <c r="A3017" t="inlineStr">
        <is>
          <t>3781970932</t>
        </is>
      </c>
      <c r="B3017" t="inlineStr">
        <is>
          <t>隔日到貨🔥 iPhone 手機殼 16 15 14 13 12 11 XS XR SE X 保護殼 軟殼 蘋果</t>
        </is>
      </c>
      <c r="C3017">
        <f>IMAGE("https://cf.shopee.tw/file/b184b18af6203ab6c03d31804b1064ab_tn")</f>
        <v/>
      </c>
      <c r="D3017" t="inlineStr">
        <is>
          <t>14 pro</t>
        </is>
      </c>
      <c r="E3017" t="inlineStr">
        <is>
          <t>117445307266</t>
        </is>
      </c>
      <c r="F3017">
        <f>IMAGE("https://deo.shopeemobile.com/shopee/shopee-seller-live-sg/mmf_portal_seller_root_dir/static/modules/product-list/image/default-item-model-image.2601159.png")</f>
        <v/>
      </c>
    </row>
    <row r="3018">
      <c r="A3018" t="inlineStr">
        <is>
          <t>3781970932</t>
        </is>
      </c>
      <c r="B3018" t="inlineStr">
        <is>
          <t>隔日到貨🔥 iPhone 手機殼 16 15 14 13 12 11 XS XR SE X 保護殼 軟殼 蘋果</t>
        </is>
      </c>
      <c r="C3018">
        <f>IMAGE("https://cf.shopee.tw/file/b184b18af6203ab6c03d31804b1064ab_tn")</f>
        <v/>
      </c>
      <c r="D3018" t="inlineStr">
        <is>
          <t>14 pro Max</t>
        </is>
      </c>
      <c r="E3018" t="inlineStr">
        <is>
          <t>117445307264</t>
        </is>
      </c>
      <c r="F3018">
        <f>IMAGE("https://deo.shopeemobile.com/shopee/shopee-seller-live-sg/mmf_portal_seller_root_dir/static/modules/product-list/image/default-item-model-image.2601159.png")</f>
        <v/>
      </c>
    </row>
    <row r="3019">
      <c r="A3019" t="inlineStr">
        <is>
          <t>3781970932</t>
        </is>
      </c>
      <c r="B3019" t="inlineStr">
        <is>
          <t>隔日到貨🔥 iPhone 手機殼 16 15 14 13 12 11 XS XR SE X 保護殼 軟殼 蘋果</t>
        </is>
      </c>
      <c r="C3019">
        <f>IMAGE("https://cf.shopee.tw/file/b184b18af6203ab6c03d31804b1064ab_tn")</f>
        <v/>
      </c>
      <c r="D3019" t="inlineStr">
        <is>
          <t>15</t>
        </is>
      </c>
      <c r="E3019" t="inlineStr">
        <is>
          <t>119006170098</t>
        </is>
      </c>
      <c r="F3019">
        <f>IMAGE("https://deo.shopeemobile.com/shopee/shopee-seller-live-sg/mmf_portal_seller_root_dir/static/modules/product-list/image/default-item-model-image.2601159.png")</f>
        <v/>
      </c>
    </row>
    <row r="3020">
      <c r="A3020" t="inlineStr">
        <is>
          <t>3781970932</t>
        </is>
      </c>
      <c r="B3020" t="inlineStr">
        <is>
          <t>隔日到貨🔥 iPhone 手機殼 16 15 14 13 12 11 XS XR SE X 保護殼 軟殼 蘋果</t>
        </is>
      </c>
      <c r="C3020">
        <f>IMAGE("https://cf.shopee.tw/file/b184b18af6203ab6c03d31804b1064ab_tn")</f>
        <v/>
      </c>
      <c r="D3020" t="inlineStr">
        <is>
          <t>15 Plus</t>
        </is>
      </c>
      <c r="E3020" t="inlineStr">
        <is>
          <t>119006170097</t>
        </is>
      </c>
      <c r="F3020">
        <f>IMAGE("https://deo.shopeemobile.com/shopee/shopee-seller-live-sg/mmf_portal_seller_root_dir/static/modules/product-list/image/default-item-model-image.2601159.png")</f>
        <v/>
      </c>
    </row>
    <row r="3021">
      <c r="A3021" t="inlineStr">
        <is>
          <t>3781970932</t>
        </is>
      </c>
      <c r="B3021" t="inlineStr">
        <is>
          <t>隔日到貨🔥 iPhone 手機殼 16 15 14 13 12 11 XS XR SE X 保護殼 軟殼 蘋果</t>
        </is>
      </c>
      <c r="C3021">
        <f>IMAGE("https://cf.shopee.tw/file/b184b18af6203ab6c03d31804b1064ab_tn")</f>
        <v/>
      </c>
      <c r="D3021" t="inlineStr">
        <is>
          <t>15 pro</t>
        </is>
      </c>
      <c r="E3021" t="inlineStr">
        <is>
          <t>119006170099</t>
        </is>
      </c>
      <c r="F3021">
        <f>IMAGE("https://deo.shopeemobile.com/shopee/shopee-seller-live-sg/mmf_portal_seller_root_dir/static/modules/product-list/image/default-item-model-image.2601159.png")</f>
        <v/>
      </c>
    </row>
    <row r="3022">
      <c r="A3022" t="inlineStr">
        <is>
          <t>3781970932</t>
        </is>
      </c>
      <c r="B3022" t="inlineStr">
        <is>
          <t>隔日到貨🔥 iPhone 手機殼 16 15 14 13 12 11 XS XR SE X 保護殼 軟殼 蘋果</t>
        </is>
      </c>
      <c r="C3022">
        <f>IMAGE("https://cf.shopee.tw/file/b184b18af6203ab6c03d31804b1064ab_tn")</f>
        <v/>
      </c>
      <c r="D3022" t="inlineStr">
        <is>
          <t>15 pro Max</t>
        </is>
      </c>
      <c r="E3022" t="inlineStr">
        <is>
          <t>119006170096</t>
        </is>
      </c>
      <c r="F3022">
        <f>IMAGE("https://deo.shopeemobile.com/shopee/shopee-seller-live-sg/mmf_portal_seller_root_dir/static/modules/product-list/image/default-item-model-image.2601159.png")</f>
        <v/>
      </c>
    </row>
    <row r="3023">
      <c r="A3023" t="inlineStr">
        <is>
          <t>3781970932</t>
        </is>
      </c>
      <c r="B3023" t="inlineStr">
        <is>
          <t>隔日到貨🔥 iPhone 手機殼 16 15 14 13 12 11 XS XR SE X 保護殼 軟殼 蘋果</t>
        </is>
      </c>
      <c r="C3023">
        <f>IMAGE("https://cf.shopee.tw/file/b184b18af6203ab6c03d31804b1064ab_tn")</f>
        <v/>
      </c>
      <c r="D3023" t="inlineStr">
        <is>
          <t>16</t>
        </is>
      </c>
      <c r="E3023" t="inlineStr">
        <is>
          <t>187868721997</t>
        </is>
      </c>
      <c r="F3023">
        <f>IMAGE("https://deo.shopeemobile.com/shopee/shopee-seller-live-sg/mmf_portal_seller_root_dir/static/modules/product-list/image/default-item-model-image.2601159.png")</f>
        <v/>
      </c>
    </row>
    <row r="3024">
      <c r="A3024" t="inlineStr">
        <is>
          <t>3781970932</t>
        </is>
      </c>
      <c r="B3024" t="inlineStr">
        <is>
          <t>隔日到貨🔥 iPhone 手機殼 16 15 14 13 12 11 XS XR SE X 保護殼 軟殼 蘋果</t>
        </is>
      </c>
      <c r="C3024">
        <f>IMAGE("https://cf.shopee.tw/file/b184b18af6203ab6c03d31804b1064ab_tn")</f>
        <v/>
      </c>
      <c r="D3024" t="inlineStr">
        <is>
          <t>16 Plus</t>
        </is>
      </c>
      <c r="E3024" t="inlineStr"/>
      <c r="F3024">
        <f>IMAGE("https://deo.shopeemobile.com/shopee/shopee-seller-live-sg/mmf_portal_seller_root_dir/static/modules/product-list/image/default-item-model-image.2601159.png")</f>
        <v/>
      </c>
    </row>
    <row r="3025">
      <c r="A3025" t="inlineStr">
        <is>
          <t>3781970932</t>
        </is>
      </c>
      <c r="B3025" t="inlineStr">
        <is>
          <t>隔日到貨🔥 iPhone 手機殼 16 15 14 13 12 11 XS XR SE X 保護殼 軟殼 蘋果</t>
        </is>
      </c>
      <c r="C3025">
        <f>IMAGE("https://cf.shopee.tw/file/b184b18af6203ab6c03d31804b1064ab_tn")</f>
        <v/>
      </c>
      <c r="D3025" t="inlineStr">
        <is>
          <t>16 pro</t>
        </is>
      </c>
      <c r="E3025" t="inlineStr">
        <is>
          <t>187868721999</t>
        </is>
      </c>
      <c r="F3025">
        <f>IMAGE("https://deo.shopeemobile.com/shopee/shopee-seller-live-sg/mmf_portal_seller_root_dir/static/modules/product-list/image/default-item-model-image.2601159.png")</f>
        <v/>
      </c>
    </row>
    <row r="3026">
      <c r="A3026" t="inlineStr">
        <is>
          <t>3781970932</t>
        </is>
      </c>
      <c r="B3026" t="inlineStr">
        <is>
          <t>隔日到貨🔥 iPhone 手機殼 16 15 14 13 12 11 XS XR SE X 保護殼 軟殼 蘋果</t>
        </is>
      </c>
      <c r="C3026">
        <f>IMAGE("https://cf.shopee.tw/file/b184b18af6203ab6c03d31804b1064ab_tn")</f>
        <v/>
      </c>
      <c r="D3026" t="inlineStr">
        <is>
          <t>16 pro Max</t>
        </is>
      </c>
      <c r="E3026" t="inlineStr">
        <is>
          <t>187868722000</t>
        </is>
      </c>
      <c r="F3026">
        <f>IMAGE("https://deo.shopeemobile.com/shopee/shopee-seller-live-sg/mmf_portal_seller_root_dir/static/modules/product-list/image/default-item-model-image.2601159.png")</f>
        <v/>
      </c>
    </row>
    <row r="3027">
      <c r="A3027" t="inlineStr">
        <is>
          <t>21969200570</t>
        </is>
      </c>
      <c r="B3027" t="inlineStr">
        <is>
          <t>隔日到貨🔥 熱銷款🏆 彩色棒棒糖 吊飾 鑰匙扣 糖果色系 鑰匙圈 汽車鑰匙圈 公仔 掛飾 吊墜 掛鉤 吊環 墜飾</t>
        </is>
      </c>
      <c r="C3027">
        <f>IMAGE("https://cf.shopee.tw/file/sg-11134201-22120-0p4uqzw630kv03_tn")</f>
        <v/>
      </c>
      <c r="D3027" t="inlineStr">
        <is>
          <t>黃色</t>
        </is>
      </c>
      <c r="E3027" t="inlineStr">
        <is>
          <t>230563800094</t>
        </is>
      </c>
      <c r="F3027">
        <f>IMAGE("https://cf.shopee.tw/file/sg-11134201-22120-wl2dvree40kv53_tn")</f>
        <v/>
      </c>
    </row>
    <row r="3028">
      <c r="A3028" t="inlineStr">
        <is>
          <t>21969200570</t>
        </is>
      </c>
      <c r="B3028" t="inlineStr">
        <is>
          <t>隔日到貨🔥 熱銷款🏆 彩色棒棒糖 吊飾 鑰匙扣 糖果色系 鑰匙圈 汽車鑰匙圈 公仔 掛飾 吊墜 掛鉤 吊環 墜飾</t>
        </is>
      </c>
      <c r="C3028">
        <f>IMAGE("https://cf.shopee.tw/file/sg-11134201-22120-0p4uqzw630kv03_tn")</f>
        <v/>
      </c>
      <c r="D3028" t="inlineStr">
        <is>
          <t>粉色</t>
        </is>
      </c>
      <c r="E3028" t="inlineStr">
        <is>
          <t>230563800095</t>
        </is>
      </c>
      <c r="F3028">
        <f>IMAGE("https://cf.shopee.tw/file/sg-11134201-22120-s7i35phe40kvef_tn")</f>
        <v/>
      </c>
    </row>
    <row r="3029">
      <c r="A3029" t="inlineStr">
        <is>
          <t>21969200570</t>
        </is>
      </c>
      <c r="B3029" t="inlineStr">
        <is>
          <t>隔日到貨🔥 熱銷款🏆 彩色棒棒糖 吊飾 鑰匙扣 糖果色系 鑰匙圈 汽車鑰匙圈 公仔 掛飾 吊墜 掛鉤 吊環 墜飾</t>
        </is>
      </c>
      <c r="C3029">
        <f>IMAGE("https://cf.shopee.tw/file/sg-11134201-22120-0p4uqzw630kv03_tn")</f>
        <v/>
      </c>
      <c r="D3029" t="inlineStr">
        <is>
          <t>紅色</t>
        </is>
      </c>
      <c r="E3029" t="inlineStr">
        <is>
          <t>230563800096</t>
        </is>
      </c>
      <c r="F3029">
        <f>IMAGE("https://cf.shopee.tw/file/sg-11134201-22120-wf7z6k2e40kvc0_tn")</f>
        <v/>
      </c>
    </row>
    <row r="3030">
      <c r="A3030" t="inlineStr">
        <is>
          <t>21969200570</t>
        </is>
      </c>
      <c r="B3030" t="inlineStr">
        <is>
          <t>隔日到貨🔥 熱銷款🏆 彩色棒棒糖 吊飾 鑰匙扣 糖果色系 鑰匙圈 汽車鑰匙圈 公仔 掛飾 吊墜 掛鉤 吊環 墜飾</t>
        </is>
      </c>
      <c r="C3030">
        <f>IMAGE("https://cf.shopee.tw/file/sg-11134201-22120-0p4uqzw630kv03_tn")</f>
        <v/>
      </c>
      <c r="D3030" t="inlineStr">
        <is>
          <t>藍色</t>
        </is>
      </c>
      <c r="E3030" t="inlineStr">
        <is>
          <t>230563800097</t>
        </is>
      </c>
      <c r="F3030">
        <f>IMAGE("https://cf.shopee.tw/file/sg-11134201-22120-p38y8b5e40kv2b_tn")</f>
        <v/>
      </c>
    </row>
    <row r="3031">
      <c r="A3031" t="inlineStr">
        <is>
          <t>21969200570</t>
        </is>
      </c>
      <c r="B3031" t="inlineStr">
        <is>
          <t>隔日到貨🔥 熱銷款🏆 彩色棒棒糖 吊飾 鑰匙扣 糖果色系 鑰匙圈 汽車鑰匙圈 公仔 掛飾 吊墜 掛鉤 吊環 墜飾</t>
        </is>
      </c>
      <c r="C3031">
        <f>IMAGE("https://cf.shopee.tw/file/sg-11134201-22120-0p4uqzw630kv03_tn")</f>
        <v/>
      </c>
      <c r="D3031" t="inlineStr">
        <is>
          <t>綠色</t>
        </is>
      </c>
      <c r="E3031" t="inlineStr">
        <is>
          <t>230563800092</t>
        </is>
      </c>
      <c r="F3031">
        <f>IMAGE("https://cf.shopee.tw/file/sg-11134201-22120-8mm5in8e40kva3_tn")</f>
        <v/>
      </c>
    </row>
    <row r="3032">
      <c r="A3032" t="inlineStr">
        <is>
          <t>21969200570</t>
        </is>
      </c>
      <c r="B3032" t="inlineStr">
        <is>
          <t>隔日到貨🔥 熱銷款🏆 彩色棒棒糖 吊飾 鑰匙扣 糖果色系 鑰匙圈 汽車鑰匙圈 公仔 掛飾 吊墜 掛鉤 吊環 墜飾</t>
        </is>
      </c>
      <c r="C3032">
        <f>IMAGE("https://cf.shopee.tw/file/sg-11134201-22120-0p4uqzw630kv03_tn")</f>
        <v/>
      </c>
      <c r="D3032" t="inlineStr">
        <is>
          <t>紫色</t>
        </is>
      </c>
      <c r="E3032" t="inlineStr">
        <is>
          <t>230563800093</t>
        </is>
      </c>
      <c r="F3032">
        <f>IMAGE("https://cf.shopee.tw/file/sg-11134201-22120-xo344fcf40kv2c_tn")</f>
        <v/>
      </c>
    </row>
    <row r="3033">
      <c r="A3033" t="inlineStr">
        <is>
          <t>41868933376</t>
        </is>
      </c>
      <c r="B3033" t="inlineStr">
        <is>
          <t>隔日到貨🔥 iPhone 手機殼 17 16 15 14 pro 13 12 11 保護殼 軟殼 蘋果</t>
        </is>
      </c>
      <c r="C3033">
        <f>IMAGE("https://cf.shopee.tw/file/tw-11134207-81ztl-memyp1zlz75x4f_tn")</f>
        <v/>
      </c>
      <c r="D3033" t="inlineStr">
        <is>
          <t>煙灰藍小狗(單殼),12 pro Max</t>
        </is>
      </c>
      <c r="E3033" t="inlineStr"/>
      <c r="F3033">
        <f>IMAGE("https://cf.shopee.tw/file/tw-11134207-81ztl-mfz7uxavx24rae_tn")</f>
        <v/>
      </c>
    </row>
    <row r="3034">
      <c r="A3034" t="inlineStr">
        <is>
          <t>41868933376</t>
        </is>
      </c>
      <c r="B3034" t="inlineStr">
        <is>
          <t>隔日到貨🔥 iPhone 手機殼 17 16 15 14 pro 13 12 11 保護殼 軟殼 蘋果</t>
        </is>
      </c>
      <c r="C3034">
        <f>IMAGE("https://cf.shopee.tw/file/tw-11134207-81ztl-memyp1zlz75x4f_tn")</f>
        <v/>
      </c>
      <c r="D3034" t="inlineStr">
        <is>
          <t>煙灰藍小狗(單殼),11</t>
        </is>
      </c>
      <c r="E3034" t="inlineStr">
        <is>
          <t>258893757739</t>
        </is>
      </c>
      <c r="F3034">
        <f>IMAGE("https://cf.shopee.tw/file/tw-11134207-81ztl-mfz7uxavx24rae_tn")</f>
        <v/>
      </c>
    </row>
    <row r="3035">
      <c r="A3035" t="inlineStr">
        <is>
          <t>41868933376</t>
        </is>
      </c>
      <c r="B3035" t="inlineStr">
        <is>
          <t>隔日到貨🔥 iPhone 手機殼 17 16 15 14 pro 13 12 11 保護殼 軟殼 蘋果</t>
        </is>
      </c>
      <c r="C3035">
        <f>IMAGE("https://cf.shopee.tw/file/tw-11134207-81ztl-memyp1zlz75x4f_tn")</f>
        <v/>
      </c>
      <c r="D3035" t="inlineStr">
        <is>
          <t>煙灰藍小狗(單殼),12 / 12 pro</t>
        </is>
      </c>
      <c r="E3035" t="inlineStr">
        <is>
          <t>258893757740</t>
        </is>
      </c>
      <c r="F3035">
        <f>IMAGE("https://cf.shopee.tw/file/tw-11134207-81ztl-mfz7uxavx24rae_tn")</f>
        <v/>
      </c>
    </row>
    <row r="3036">
      <c r="A3036" t="inlineStr">
        <is>
          <t>41868933376</t>
        </is>
      </c>
      <c r="B3036" t="inlineStr">
        <is>
          <t>隔日到貨🔥 iPhone 手機殼 17 16 15 14 pro 13 12 11 保護殼 軟殼 蘋果</t>
        </is>
      </c>
      <c r="C3036">
        <f>IMAGE("https://cf.shopee.tw/file/tw-11134207-81ztl-memyp1zlz75x4f_tn")</f>
        <v/>
      </c>
      <c r="D3036" t="inlineStr">
        <is>
          <t>煙灰藍小狗(單殼),13</t>
        </is>
      </c>
      <c r="E3036" t="inlineStr">
        <is>
          <t>258893757742</t>
        </is>
      </c>
      <c r="F3036">
        <f>IMAGE("https://cf.shopee.tw/file/tw-11134207-81ztl-mfz7uxavx24rae_tn")</f>
        <v/>
      </c>
    </row>
    <row r="3037">
      <c r="A3037" t="inlineStr">
        <is>
          <t>41868933376</t>
        </is>
      </c>
      <c r="B3037" t="inlineStr">
        <is>
          <t>隔日到貨🔥 iPhone 手機殼 17 16 15 14 pro 13 12 11 保護殼 軟殼 蘋果</t>
        </is>
      </c>
      <c r="C3037">
        <f>IMAGE("https://cf.shopee.tw/file/tw-11134207-81ztl-memyp1zlz75x4f_tn")</f>
        <v/>
      </c>
      <c r="D3037" t="inlineStr">
        <is>
          <t>煙灰藍小狗(單殼),13 pro</t>
        </is>
      </c>
      <c r="E3037" t="inlineStr"/>
      <c r="F3037">
        <f>IMAGE("https://cf.shopee.tw/file/tw-11134207-81ztl-mfz7uxavx24rae_tn")</f>
        <v/>
      </c>
    </row>
    <row r="3038">
      <c r="A3038" t="inlineStr">
        <is>
          <t>41868933376</t>
        </is>
      </c>
      <c r="B3038" t="inlineStr">
        <is>
          <t>隔日到貨🔥 iPhone 手機殼 17 16 15 14 pro 13 12 11 保護殼 軟殼 蘋果</t>
        </is>
      </c>
      <c r="C3038">
        <f>IMAGE("https://cf.shopee.tw/file/tw-11134207-81ztl-memyp1zlz75x4f_tn")</f>
        <v/>
      </c>
      <c r="D3038" t="inlineStr">
        <is>
          <t>煙灰藍小狗(單殼),13 pro Max</t>
        </is>
      </c>
      <c r="E3038" t="inlineStr">
        <is>
          <t>258893757744</t>
        </is>
      </c>
      <c r="F3038">
        <f>IMAGE("https://cf.shopee.tw/file/tw-11134207-81ztl-mfz7uxavx24rae_tn")</f>
        <v/>
      </c>
    </row>
    <row r="3039">
      <c r="A3039" t="inlineStr">
        <is>
          <t>41868933376</t>
        </is>
      </c>
      <c r="B3039" t="inlineStr">
        <is>
          <t>隔日到貨🔥 iPhone 手機殼 17 16 15 14 pro 13 12 11 保護殼 軟殼 蘋果</t>
        </is>
      </c>
      <c r="C3039">
        <f>IMAGE("https://cf.shopee.tw/file/tw-11134207-81ztl-memyp1zlz75x4f_tn")</f>
        <v/>
      </c>
      <c r="D3039" t="inlineStr">
        <is>
          <t>煙灰藍小狗(單殼),14</t>
        </is>
      </c>
      <c r="E3039" t="inlineStr">
        <is>
          <t>258893757745</t>
        </is>
      </c>
      <c r="F3039">
        <f>IMAGE("https://cf.shopee.tw/file/tw-11134207-81ztl-mfz7uxavx24rae_tn")</f>
        <v/>
      </c>
    </row>
    <row r="3040">
      <c r="A3040" t="inlineStr">
        <is>
          <t>41868933376</t>
        </is>
      </c>
      <c r="B3040" t="inlineStr">
        <is>
          <t>隔日到貨🔥 iPhone 手機殼 17 16 15 14 pro 13 12 11 保護殼 軟殼 蘋果</t>
        </is>
      </c>
      <c r="C3040">
        <f>IMAGE("https://cf.shopee.tw/file/tw-11134207-81ztl-memyp1zlz75x4f_tn")</f>
        <v/>
      </c>
      <c r="D3040" t="inlineStr">
        <is>
          <t>煙灰藍小狗(單殼),14 pro</t>
        </is>
      </c>
      <c r="E3040" t="inlineStr">
        <is>
          <t>258893757746</t>
        </is>
      </c>
      <c r="F3040">
        <f>IMAGE("https://cf.shopee.tw/file/tw-11134207-81ztl-mfz7uxavx24rae_tn")</f>
        <v/>
      </c>
    </row>
    <row r="3041">
      <c r="A3041" t="inlineStr">
        <is>
          <t>41868933376</t>
        </is>
      </c>
      <c r="B3041" t="inlineStr">
        <is>
          <t>隔日到貨🔥 iPhone 手機殼 17 16 15 14 pro 13 12 11 保護殼 軟殼 蘋果</t>
        </is>
      </c>
      <c r="C3041">
        <f>IMAGE("https://cf.shopee.tw/file/tw-11134207-81ztl-memyp1zlz75x4f_tn")</f>
        <v/>
      </c>
      <c r="D3041" t="inlineStr">
        <is>
          <t>煙灰藍小狗(單殼),14 pro Max</t>
        </is>
      </c>
      <c r="E3041" t="inlineStr">
        <is>
          <t>258893757747</t>
        </is>
      </c>
      <c r="F3041">
        <f>IMAGE("https://cf.shopee.tw/file/tw-11134207-81ztl-mfz7uxavx24rae_tn")</f>
        <v/>
      </c>
    </row>
    <row r="3042">
      <c r="A3042" t="inlineStr">
        <is>
          <t>41868933376</t>
        </is>
      </c>
      <c r="B3042" t="inlineStr">
        <is>
          <t>隔日到貨🔥 iPhone 手機殼 17 16 15 14 pro 13 12 11 保護殼 軟殼 蘋果</t>
        </is>
      </c>
      <c r="C3042">
        <f>IMAGE("https://cf.shopee.tw/file/tw-11134207-81ztl-memyp1zlz75x4f_tn")</f>
        <v/>
      </c>
      <c r="D3042" t="inlineStr">
        <is>
          <t>煙灰藍小狗(單殼),15</t>
        </is>
      </c>
      <c r="E3042" t="inlineStr">
        <is>
          <t>258893757748</t>
        </is>
      </c>
      <c r="F3042">
        <f>IMAGE("https://cf.shopee.tw/file/tw-11134207-81ztl-mfz7uxavx24rae_tn")</f>
        <v/>
      </c>
    </row>
    <row r="3043">
      <c r="A3043" t="inlineStr">
        <is>
          <t>41868933376</t>
        </is>
      </c>
      <c r="B3043" t="inlineStr">
        <is>
          <t>隔日到貨🔥 iPhone 手機殼 17 16 15 14 pro 13 12 11 保護殼 軟殼 蘋果</t>
        </is>
      </c>
      <c r="C3043">
        <f>IMAGE("https://cf.shopee.tw/file/tw-11134207-81ztl-memyp1zlz75x4f_tn")</f>
        <v/>
      </c>
      <c r="D3043" t="inlineStr">
        <is>
          <t>煙灰藍小狗(單殼),15 pro</t>
        </is>
      </c>
      <c r="E3043" t="inlineStr">
        <is>
          <t>258893757749</t>
        </is>
      </c>
      <c r="F3043">
        <f>IMAGE("https://cf.shopee.tw/file/tw-11134207-81ztl-mfz7uxavx24rae_tn")</f>
        <v/>
      </c>
    </row>
    <row r="3044">
      <c r="A3044" t="inlineStr">
        <is>
          <t>41868933376</t>
        </is>
      </c>
      <c r="B3044" t="inlineStr">
        <is>
          <t>隔日到貨🔥 iPhone 手機殼 17 16 15 14 pro 13 12 11 保護殼 軟殼 蘋果</t>
        </is>
      </c>
      <c r="C3044">
        <f>IMAGE("https://cf.shopee.tw/file/tw-11134207-81ztl-memyp1zlz75x4f_tn")</f>
        <v/>
      </c>
      <c r="D3044" t="inlineStr">
        <is>
          <t>煙灰藍小狗(單殼),15 pro Max</t>
        </is>
      </c>
      <c r="E3044" t="inlineStr">
        <is>
          <t>258893757750</t>
        </is>
      </c>
      <c r="F3044">
        <f>IMAGE("https://cf.shopee.tw/file/tw-11134207-81ztl-mfz7uxavx24rae_tn")</f>
        <v/>
      </c>
    </row>
    <row r="3045">
      <c r="A3045" t="inlineStr">
        <is>
          <t>41868933376</t>
        </is>
      </c>
      <c r="B3045" t="inlineStr">
        <is>
          <t>隔日到貨🔥 iPhone 手機殼 17 16 15 14 pro 13 12 11 保護殼 軟殼 蘋果</t>
        </is>
      </c>
      <c r="C3045">
        <f>IMAGE("https://cf.shopee.tw/file/tw-11134207-81ztl-memyp1zlz75x4f_tn")</f>
        <v/>
      </c>
      <c r="D3045" t="inlineStr">
        <is>
          <t>煙灰藍小狗(單殼),16</t>
        </is>
      </c>
      <c r="E3045" t="inlineStr">
        <is>
          <t>258893757751</t>
        </is>
      </c>
      <c r="F3045">
        <f>IMAGE("https://cf.shopee.tw/file/tw-11134207-81ztl-mfz7uxavx24rae_tn")</f>
        <v/>
      </c>
    </row>
    <row r="3046">
      <c r="A3046" t="inlineStr">
        <is>
          <t>41868933376</t>
        </is>
      </c>
      <c r="B3046" t="inlineStr">
        <is>
          <t>隔日到貨🔥 iPhone 手機殼 17 16 15 14 pro 13 12 11 保護殼 軟殼 蘋果</t>
        </is>
      </c>
      <c r="C3046">
        <f>IMAGE("https://cf.shopee.tw/file/tw-11134207-81ztl-memyp1zlz75x4f_tn")</f>
        <v/>
      </c>
      <c r="D3046" t="inlineStr">
        <is>
          <t>煙灰藍小狗(單殼),16 pro</t>
        </is>
      </c>
      <c r="E3046" t="inlineStr">
        <is>
          <t>258893757752</t>
        </is>
      </c>
      <c r="F3046">
        <f>IMAGE("https://cf.shopee.tw/file/tw-11134207-81ztl-mfz7uxavx24rae_tn")</f>
        <v/>
      </c>
    </row>
    <row r="3047">
      <c r="A3047" t="inlineStr">
        <is>
          <t>41868933376</t>
        </is>
      </c>
      <c r="B3047" t="inlineStr">
        <is>
          <t>隔日到貨🔥 iPhone 手機殼 17 16 15 14 pro 13 12 11 保護殼 軟殼 蘋果</t>
        </is>
      </c>
      <c r="C3047">
        <f>IMAGE("https://cf.shopee.tw/file/tw-11134207-81ztl-memyp1zlz75x4f_tn")</f>
        <v/>
      </c>
      <c r="D3047" t="inlineStr">
        <is>
          <t>煙灰藍小狗(單殼),16 pro Max</t>
        </is>
      </c>
      <c r="E3047" t="inlineStr">
        <is>
          <t>258893757753</t>
        </is>
      </c>
      <c r="F3047">
        <f>IMAGE("https://cf.shopee.tw/file/tw-11134207-81ztl-mfz7uxavx24rae_tn")</f>
        <v/>
      </c>
    </row>
    <row r="3048">
      <c r="A3048" t="inlineStr">
        <is>
          <t>41868933376</t>
        </is>
      </c>
      <c r="B3048" t="inlineStr">
        <is>
          <t>隔日到貨🔥 iPhone 手機殼 17 16 15 14 pro 13 12 11 保護殼 軟殼 蘋果</t>
        </is>
      </c>
      <c r="C3048">
        <f>IMAGE("https://cf.shopee.tw/file/tw-11134207-81ztl-memyp1zlz75x4f_tn")</f>
        <v/>
      </c>
      <c r="D3048" t="inlineStr">
        <is>
          <t>煙灰藍小狗(單殼),16 Plus</t>
        </is>
      </c>
      <c r="E3048" t="inlineStr">
        <is>
          <t>258893757754</t>
        </is>
      </c>
      <c r="F3048">
        <f>IMAGE("https://cf.shopee.tw/file/tw-11134207-81ztl-mfz7uxavx24rae_tn")</f>
        <v/>
      </c>
    </row>
    <row r="3049">
      <c r="A3049" t="inlineStr">
        <is>
          <t>41868933376</t>
        </is>
      </c>
      <c r="B3049" t="inlineStr">
        <is>
          <t>隔日到貨🔥 iPhone 手機殼 17 16 15 14 pro 13 12 11 保護殼 軟殼 蘋果</t>
        </is>
      </c>
      <c r="C3049">
        <f>IMAGE("https://cf.shopee.tw/file/tw-11134207-81ztl-memyp1zlz75x4f_tn")</f>
        <v/>
      </c>
      <c r="D3049" t="inlineStr">
        <is>
          <t>煙灰藍小狗(單殼),17</t>
        </is>
      </c>
      <c r="E3049" t="inlineStr">
        <is>
          <t>258893757755</t>
        </is>
      </c>
      <c r="F3049">
        <f>IMAGE("https://cf.shopee.tw/file/tw-11134207-81ztl-mfz7uxavx24rae_tn")</f>
        <v/>
      </c>
    </row>
    <row r="3050">
      <c r="A3050" t="inlineStr">
        <is>
          <t>41868933376</t>
        </is>
      </c>
      <c r="B3050" t="inlineStr">
        <is>
          <t>隔日到貨🔥 iPhone 手機殼 17 16 15 14 pro 13 12 11 保護殼 軟殼 蘋果</t>
        </is>
      </c>
      <c r="C3050">
        <f>IMAGE("https://cf.shopee.tw/file/tw-11134207-81ztl-memyp1zlz75x4f_tn")</f>
        <v/>
      </c>
      <c r="D3050" t="inlineStr">
        <is>
          <t>煙灰藍小狗(單殼),17 Pro</t>
        </is>
      </c>
      <c r="E3050" t="inlineStr">
        <is>
          <t>258893757756</t>
        </is>
      </c>
      <c r="F3050">
        <f>IMAGE("https://cf.shopee.tw/file/tw-11134207-81ztl-mfz7uxavx24rae_tn")</f>
        <v/>
      </c>
    </row>
    <row r="3051">
      <c r="A3051" t="inlineStr">
        <is>
          <t>41868933376</t>
        </is>
      </c>
      <c r="B3051" t="inlineStr">
        <is>
          <t>隔日到貨🔥 iPhone 手機殼 17 16 15 14 pro 13 12 11 保護殼 軟殼 蘋果</t>
        </is>
      </c>
      <c r="C3051">
        <f>IMAGE("https://cf.shopee.tw/file/tw-11134207-81ztl-memyp1zlz75x4f_tn")</f>
        <v/>
      </c>
      <c r="D3051" t="inlineStr">
        <is>
          <t>煙灰藍小狗(單殼),17 Pro Max</t>
        </is>
      </c>
      <c r="E3051" t="inlineStr">
        <is>
          <t>258893757757</t>
        </is>
      </c>
      <c r="F3051">
        <f>IMAGE("https://cf.shopee.tw/file/tw-11134207-81ztl-mfz7uxavx24rae_tn")</f>
        <v/>
      </c>
    </row>
    <row r="3052">
      <c r="A3052" t="inlineStr">
        <is>
          <t>22590301233</t>
        </is>
      </c>
      <c r="B3052" t="inlineStr">
        <is>
          <t>隔日到貨🔥 iPhone 手機殼 15 14 pro 13 12 11 XS XR X 保護殼 軟殼 蘋果</t>
        </is>
      </c>
      <c r="C3052">
        <f>IMAGE("https://cf.shopee.tw/file/tw-11134207-7r990-lz3fv7bzhx4k83_tn")</f>
        <v/>
      </c>
      <c r="D3052" t="inlineStr">
        <is>
          <t>黃色happy小怪,X / XS</t>
        </is>
      </c>
      <c r="E3052" t="inlineStr"/>
      <c r="F3052">
        <f>IMAGE("https://cf.shopee.tw/file/tw-11134207-7r992-lz3ga8m1efw4be_tn")</f>
        <v/>
      </c>
    </row>
    <row r="3053">
      <c r="A3053" t="inlineStr">
        <is>
          <t>22590301233</t>
        </is>
      </c>
      <c r="B3053" t="inlineStr">
        <is>
          <t>隔日到貨🔥 iPhone 手機殼 15 14 pro 13 12 11 XS XR X 保護殼 軟殼 蘋果</t>
        </is>
      </c>
      <c r="C3053">
        <f>IMAGE("https://cf.shopee.tw/file/tw-11134207-7r990-lz3fv7bzhx4k83_tn")</f>
        <v/>
      </c>
      <c r="D3053" t="inlineStr">
        <is>
          <t>黃色happy小怪,XR</t>
        </is>
      </c>
      <c r="E3053" t="inlineStr">
        <is>
          <t>176629164627</t>
        </is>
      </c>
      <c r="F3053">
        <f>IMAGE("https://cf.shopee.tw/file/tw-11134207-7r992-lz3ga8m1efw4be_tn")</f>
        <v/>
      </c>
    </row>
    <row r="3054">
      <c r="A3054" t="inlineStr">
        <is>
          <t>22590301233</t>
        </is>
      </c>
      <c r="B3054" t="inlineStr">
        <is>
          <t>隔日到貨🔥 iPhone 手機殼 15 14 pro 13 12 11 XS XR X 保護殼 軟殼 蘋果</t>
        </is>
      </c>
      <c r="C3054">
        <f>IMAGE("https://cf.shopee.tw/file/tw-11134207-7r990-lz3fv7bzhx4k83_tn")</f>
        <v/>
      </c>
      <c r="D3054" t="inlineStr">
        <is>
          <t>黃色happy小怪,XS Max</t>
        </is>
      </c>
      <c r="E3054" t="inlineStr"/>
      <c r="F3054">
        <f>IMAGE("https://cf.shopee.tw/file/tw-11134207-7r992-lz3ga8m1efw4be_tn")</f>
        <v/>
      </c>
    </row>
    <row r="3055">
      <c r="A3055" t="inlineStr">
        <is>
          <t>22590301233</t>
        </is>
      </c>
      <c r="B3055" t="inlineStr">
        <is>
          <t>隔日到貨🔥 iPhone 手機殼 15 14 pro 13 12 11 XS XR X 保護殼 軟殼 蘋果</t>
        </is>
      </c>
      <c r="C3055">
        <f>IMAGE("https://cf.shopee.tw/file/tw-11134207-7r990-lz3fv7bzhx4k83_tn")</f>
        <v/>
      </c>
      <c r="D3055" t="inlineStr">
        <is>
          <t>黃色happy小怪,11</t>
        </is>
      </c>
      <c r="E3055" t="inlineStr">
        <is>
          <t>176629164629</t>
        </is>
      </c>
      <c r="F3055">
        <f>IMAGE("https://cf.shopee.tw/file/tw-11134207-7r992-lz3ga8m1efw4be_tn")</f>
        <v/>
      </c>
    </row>
    <row r="3056">
      <c r="A3056" t="inlineStr">
        <is>
          <t>22590301233</t>
        </is>
      </c>
      <c r="B3056" t="inlineStr">
        <is>
          <t>隔日到貨🔥 iPhone 手機殼 15 14 pro 13 12 11 XS XR X 保護殼 軟殼 蘋果</t>
        </is>
      </c>
      <c r="C3056">
        <f>IMAGE("https://cf.shopee.tw/file/tw-11134207-7r990-lz3fv7bzhx4k83_tn")</f>
        <v/>
      </c>
      <c r="D3056" t="inlineStr">
        <is>
          <t>黃色happy小怪,11 pro max</t>
        </is>
      </c>
      <c r="E3056" t="inlineStr">
        <is>
          <t>176629164630</t>
        </is>
      </c>
      <c r="F3056">
        <f>IMAGE("https://cf.shopee.tw/file/tw-11134207-7r992-lz3ga8m1efw4be_tn")</f>
        <v/>
      </c>
    </row>
    <row r="3057">
      <c r="A3057" t="inlineStr">
        <is>
          <t>22590301233</t>
        </is>
      </c>
      <c r="B3057" t="inlineStr">
        <is>
          <t>隔日到貨🔥 iPhone 手機殼 15 14 pro 13 12 11 XS XR X 保護殼 軟殼 蘋果</t>
        </is>
      </c>
      <c r="C3057">
        <f>IMAGE("https://cf.shopee.tw/file/tw-11134207-7r990-lz3fv7bzhx4k83_tn")</f>
        <v/>
      </c>
      <c r="D3057" t="inlineStr">
        <is>
          <t>黃色happy小怪,12/12pro</t>
        </is>
      </c>
      <c r="E3057" t="inlineStr">
        <is>
          <t>176629164631</t>
        </is>
      </c>
      <c r="F3057">
        <f>IMAGE("https://cf.shopee.tw/file/tw-11134207-7r992-lz3ga8m1efw4be_tn")</f>
        <v/>
      </c>
    </row>
    <row r="3058">
      <c r="A3058" t="inlineStr">
        <is>
          <t>22590301233</t>
        </is>
      </c>
      <c r="B3058" t="inlineStr">
        <is>
          <t>隔日到貨🔥 iPhone 手機殼 15 14 pro 13 12 11 XS XR X 保護殼 軟殼 蘋果</t>
        </is>
      </c>
      <c r="C3058">
        <f>IMAGE("https://cf.shopee.tw/file/tw-11134207-7r990-lz3fv7bzhx4k83_tn")</f>
        <v/>
      </c>
      <c r="D3058" t="inlineStr">
        <is>
          <t>黃色happy小怪,12 pro Max</t>
        </is>
      </c>
      <c r="E3058" t="inlineStr">
        <is>
          <t>176629164633</t>
        </is>
      </c>
      <c r="F3058">
        <f>IMAGE("https://cf.shopee.tw/file/tw-11134207-7r992-lz3ga8m1efw4be_tn")</f>
        <v/>
      </c>
    </row>
    <row r="3059">
      <c r="A3059" t="inlineStr">
        <is>
          <t>22590301233</t>
        </is>
      </c>
      <c r="B3059" t="inlineStr">
        <is>
          <t>隔日到貨🔥 iPhone 手機殼 15 14 pro 13 12 11 XS XR X 保護殼 軟殼 蘋果</t>
        </is>
      </c>
      <c r="C3059">
        <f>IMAGE("https://cf.shopee.tw/file/tw-11134207-7r990-lz3fv7bzhx4k83_tn")</f>
        <v/>
      </c>
      <c r="D3059" t="inlineStr">
        <is>
          <t>黃色happy小怪,13 / 14</t>
        </is>
      </c>
      <c r="E3059" t="inlineStr">
        <is>
          <t>176629164634</t>
        </is>
      </c>
      <c r="F3059">
        <f>IMAGE("https://cf.shopee.tw/file/tw-11134207-7r992-lz3ga8m1efw4be_tn")</f>
        <v/>
      </c>
    </row>
    <row r="3060">
      <c r="A3060" t="inlineStr">
        <is>
          <t>22590301233</t>
        </is>
      </c>
      <c r="B3060" t="inlineStr">
        <is>
          <t>隔日到貨🔥 iPhone 手機殼 15 14 pro 13 12 11 XS XR X 保護殼 軟殼 蘋果</t>
        </is>
      </c>
      <c r="C3060">
        <f>IMAGE("https://cf.shopee.tw/file/tw-11134207-7r990-lz3fv7bzhx4k83_tn")</f>
        <v/>
      </c>
      <c r="D3060" t="inlineStr">
        <is>
          <t>黃色happy小怪,13 pro</t>
        </is>
      </c>
      <c r="E3060" t="inlineStr">
        <is>
          <t>176629164635</t>
        </is>
      </c>
      <c r="F3060">
        <f>IMAGE("https://cf.shopee.tw/file/tw-11134207-7r992-lz3ga8m1efw4be_tn")</f>
        <v/>
      </c>
    </row>
    <row r="3061">
      <c r="A3061" t="inlineStr">
        <is>
          <t>22590301233</t>
        </is>
      </c>
      <c r="B3061" t="inlineStr">
        <is>
          <t>隔日到貨🔥 iPhone 手機殼 15 14 pro 13 12 11 XS XR X 保護殼 軟殼 蘋果</t>
        </is>
      </c>
      <c r="C3061">
        <f>IMAGE("https://cf.shopee.tw/file/tw-11134207-7r990-lz3fv7bzhx4k83_tn")</f>
        <v/>
      </c>
      <c r="D3061" t="inlineStr">
        <is>
          <t>黃色happy小怪,13 pro Max</t>
        </is>
      </c>
      <c r="E3061" t="inlineStr"/>
      <c r="F3061">
        <f>IMAGE("https://cf.shopee.tw/file/tw-11134207-7r992-lz3ga8m1efw4be_tn")</f>
        <v/>
      </c>
    </row>
    <row r="3062">
      <c r="A3062" t="inlineStr">
        <is>
          <t>22590301233</t>
        </is>
      </c>
      <c r="B3062" t="inlineStr">
        <is>
          <t>隔日到貨🔥 iPhone 手機殼 15 14 pro 13 12 11 XS XR X 保護殼 軟殼 蘋果</t>
        </is>
      </c>
      <c r="C3062">
        <f>IMAGE("https://cf.shopee.tw/file/tw-11134207-7r990-lz3fv7bzhx4k83_tn")</f>
        <v/>
      </c>
      <c r="D3062" t="inlineStr">
        <is>
          <t>黃色happy小怪,14 pro</t>
        </is>
      </c>
      <c r="E3062" t="inlineStr">
        <is>
          <t>176629164638</t>
        </is>
      </c>
      <c r="F3062">
        <f>IMAGE("https://cf.shopee.tw/file/tw-11134207-7r992-lz3ga8m1efw4be_tn")</f>
        <v/>
      </c>
    </row>
    <row r="3063">
      <c r="A3063" t="inlineStr">
        <is>
          <t>22590301233</t>
        </is>
      </c>
      <c r="B3063" t="inlineStr">
        <is>
          <t>隔日到貨🔥 iPhone 手機殼 15 14 pro 13 12 11 XS XR X 保護殼 軟殼 蘋果</t>
        </is>
      </c>
      <c r="C3063">
        <f>IMAGE("https://cf.shopee.tw/file/tw-11134207-7r990-lz3fv7bzhx4k83_tn")</f>
        <v/>
      </c>
      <c r="D3063" t="inlineStr">
        <is>
          <t>黃色happy小怪,14 Plus / 15 Plus</t>
        </is>
      </c>
      <c r="E3063" t="inlineStr">
        <is>
          <t>176629164639</t>
        </is>
      </c>
      <c r="F3063">
        <f>IMAGE("https://cf.shopee.tw/file/tw-11134207-7r992-lz3ga8m1efw4be_tn")</f>
        <v/>
      </c>
    </row>
    <row r="3064">
      <c r="A3064" t="inlineStr">
        <is>
          <t>22590301233</t>
        </is>
      </c>
      <c r="B3064" t="inlineStr">
        <is>
          <t>隔日到貨🔥 iPhone 手機殼 15 14 pro 13 12 11 XS XR X 保護殼 軟殼 蘋果</t>
        </is>
      </c>
      <c r="C3064">
        <f>IMAGE("https://cf.shopee.tw/file/tw-11134207-7r990-lz3fv7bzhx4k83_tn")</f>
        <v/>
      </c>
      <c r="D3064" t="inlineStr">
        <is>
          <t>黃色happy小怪,14 pro max</t>
        </is>
      </c>
      <c r="E3064" t="inlineStr">
        <is>
          <t>176629164640</t>
        </is>
      </c>
      <c r="F3064">
        <f>IMAGE("https://cf.shopee.tw/file/tw-11134207-7r992-lz3ga8m1efw4be_tn")</f>
        <v/>
      </c>
    </row>
    <row r="3065">
      <c r="A3065" t="inlineStr">
        <is>
          <t>22590301233</t>
        </is>
      </c>
      <c r="B3065" t="inlineStr">
        <is>
          <t>隔日到貨🔥 iPhone 手機殼 15 14 pro 13 12 11 XS XR X 保護殼 軟殼 蘋果</t>
        </is>
      </c>
      <c r="C3065">
        <f>IMAGE("https://cf.shopee.tw/file/tw-11134207-7r990-lz3fv7bzhx4k83_tn")</f>
        <v/>
      </c>
      <c r="D3065" t="inlineStr">
        <is>
          <t>黃色happy小怪,15</t>
        </is>
      </c>
      <c r="E3065" t="inlineStr">
        <is>
          <t>176629164641</t>
        </is>
      </c>
      <c r="F3065">
        <f>IMAGE("https://cf.shopee.tw/file/tw-11134207-7r992-lz3ga8m1efw4be_tn")</f>
        <v/>
      </c>
    </row>
    <row r="3066">
      <c r="A3066" t="inlineStr">
        <is>
          <t>22590301233</t>
        </is>
      </c>
      <c r="B3066" t="inlineStr">
        <is>
          <t>隔日到貨🔥 iPhone 手機殼 15 14 pro 13 12 11 XS XR X 保護殼 軟殼 蘋果</t>
        </is>
      </c>
      <c r="C3066">
        <f>IMAGE("https://cf.shopee.tw/file/tw-11134207-7r990-lz3fv7bzhx4k83_tn")</f>
        <v/>
      </c>
      <c r="D3066" t="inlineStr">
        <is>
          <t>黃色happy小怪,15 pro</t>
        </is>
      </c>
      <c r="E3066" t="inlineStr"/>
      <c r="F3066">
        <f>IMAGE("https://cf.shopee.tw/file/tw-11134207-7r992-lz3ga8m1efw4be_tn")</f>
        <v/>
      </c>
    </row>
    <row r="3067">
      <c r="A3067" t="inlineStr">
        <is>
          <t>22590301233</t>
        </is>
      </c>
      <c r="B3067" t="inlineStr">
        <is>
          <t>隔日到貨🔥 iPhone 手機殼 15 14 pro 13 12 11 XS XR X 保護殼 軟殼 蘋果</t>
        </is>
      </c>
      <c r="C3067">
        <f>IMAGE("https://cf.shopee.tw/file/tw-11134207-7r990-lz3fv7bzhx4k83_tn")</f>
        <v/>
      </c>
      <c r="D3067" t="inlineStr">
        <is>
          <t>黃色happy小怪,15 pro Max</t>
        </is>
      </c>
      <c r="E3067" t="inlineStr">
        <is>
          <t>256402348191</t>
        </is>
      </c>
      <c r="F3067">
        <f>IMAGE("https://cf.shopee.tw/file/tw-11134207-7r992-lz3ga8m1efw4be_tn")</f>
        <v/>
      </c>
    </row>
    <row r="3068">
      <c r="A3068" t="inlineStr">
        <is>
          <t>22590301233</t>
        </is>
      </c>
      <c r="B3068" t="inlineStr">
        <is>
          <t>隔日到貨🔥 iPhone 手機殼 15 14 pro 13 12 11 XS XR X 保護殼 軟殼 蘋果</t>
        </is>
      </c>
      <c r="C3068">
        <f>IMAGE("https://cf.shopee.tw/file/tw-11134207-7r990-lz3fv7bzhx4k83_tn")</f>
        <v/>
      </c>
      <c r="D3068" t="inlineStr">
        <is>
          <t>黃色happy小怪,16</t>
        </is>
      </c>
      <c r="E3068" t="inlineStr">
        <is>
          <t>176943636851</t>
        </is>
      </c>
      <c r="F3068">
        <f>IMAGE("https://cf.shopee.tw/file/tw-11134207-7r992-lz3ga8m1efw4be_tn")</f>
        <v/>
      </c>
    </row>
    <row r="3069">
      <c r="A3069" t="inlineStr">
        <is>
          <t>22590301233</t>
        </is>
      </c>
      <c r="B3069" t="inlineStr">
        <is>
          <t>隔日到貨🔥 iPhone 手機殼 15 14 pro 13 12 11 XS XR X 保護殼 軟殼 蘋果</t>
        </is>
      </c>
      <c r="C3069">
        <f>IMAGE("https://cf.shopee.tw/file/tw-11134207-7r990-lz3fv7bzhx4k83_tn")</f>
        <v/>
      </c>
      <c r="D3069" t="inlineStr">
        <is>
          <t>黃色happy小怪,16 plus</t>
        </is>
      </c>
      <c r="E3069" t="inlineStr"/>
      <c r="F3069">
        <f>IMAGE("https://cf.shopee.tw/file/tw-11134207-7r992-lz3ga8m1efw4be_tn")</f>
        <v/>
      </c>
    </row>
    <row r="3070">
      <c r="A3070" t="inlineStr">
        <is>
          <t>22590301233</t>
        </is>
      </c>
      <c r="B3070" t="inlineStr">
        <is>
          <t>隔日到貨🔥 iPhone 手機殼 15 14 pro 13 12 11 XS XR X 保護殼 軟殼 蘋果</t>
        </is>
      </c>
      <c r="C3070">
        <f>IMAGE("https://cf.shopee.tw/file/tw-11134207-7r990-lz3fv7bzhx4k83_tn")</f>
        <v/>
      </c>
      <c r="D3070" t="inlineStr">
        <is>
          <t>黃色happy小怪,16 pro</t>
        </is>
      </c>
      <c r="E3070" t="inlineStr">
        <is>
          <t>176943636853</t>
        </is>
      </c>
      <c r="F3070">
        <f>IMAGE("https://cf.shopee.tw/file/tw-11134207-7r992-lz3ga8m1efw4be_tn")</f>
        <v/>
      </c>
    </row>
    <row r="3071">
      <c r="A3071" t="inlineStr">
        <is>
          <t>22590301233</t>
        </is>
      </c>
      <c r="B3071" t="inlineStr">
        <is>
          <t>隔日到貨🔥 iPhone 手機殼 15 14 pro 13 12 11 XS XR X 保護殼 軟殼 蘋果</t>
        </is>
      </c>
      <c r="C3071">
        <f>IMAGE("https://cf.shopee.tw/file/tw-11134207-7r990-lz3fv7bzhx4k83_tn")</f>
        <v/>
      </c>
      <c r="D3071" t="inlineStr">
        <is>
          <t>黃色happy小怪,16 pro max</t>
        </is>
      </c>
      <c r="E3071" t="inlineStr">
        <is>
          <t>176943636854</t>
        </is>
      </c>
      <c r="F3071">
        <f>IMAGE("https://cf.shopee.tw/file/tw-11134207-7r992-lz3ga8m1efw4be_tn")</f>
        <v/>
      </c>
    </row>
    <row r="3072">
      <c r="A3072" t="inlineStr">
        <is>
          <t>22590301233</t>
        </is>
      </c>
      <c r="B3072" t="inlineStr">
        <is>
          <t>隔日到貨🔥 iPhone 手機殼 15 14 pro 13 12 11 XS XR X 保護殼 軟殼 蘋果</t>
        </is>
      </c>
      <c r="C3072">
        <f>IMAGE("https://cf.shopee.tw/file/tw-11134207-7r990-lz3fv7bzhx4k83_tn")</f>
        <v/>
      </c>
      <c r="D3072" t="inlineStr">
        <is>
          <t>白色hello小怪,X / XS</t>
        </is>
      </c>
      <c r="E3072" t="inlineStr">
        <is>
          <t>256402323569</t>
        </is>
      </c>
      <c r="F3072">
        <f>IMAGE("https://cf.shopee.tw/file/tw-11134207-7r990-lz3ga8m1tw5032_tn")</f>
        <v/>
      </c>
    </row>
    <row r="3073">
      <c r="A3073" t="inlineStr">
        <is>
          <t>22590301233</t>
        </is>
      </c>
      <c r="B3073" t="inlineStr">
        <is>
          <t>隔日到貨🔥 iPhone 手機殼 15 14 pro 13 12 11 XS XR X 保護殼 軟殼 蘋果</t>
        </is>
      </c>
      <c r="C3073">
        <f>IMAGE("https://cf.shopee.tw/file/tw-11134207-7r990-lz3fv7bzhx4k83_tn")</f>
        <v/>
      </c>
      <c r="D3073" t="inlineStr">
        <is>
          <t>白色hello小怪,XR</t>
        </is>
      </c>
      <c r="E3073" t="inlineStr">
        <is>
          <t>256402348192</t>
        </is>
      </c>
      <c r="F3073">
        <f>IMAGE("https://cf.shopee.tw/file/tw-11134207-7r990-lz3ga8m1tw5032_tn")</f>
        <v/>
      </c>
    </row>
    <row r="3074">
      <c r="A3074" t="inlineStr">
        <is>
          <t>22590301233</t>
        </is>
      </c>
      <c r="B3074" t="inlineStr">
        <is>
          <t>隔日到貨🔥 iPhone 手機殼 15 14 pro 13 12 11 XS XR X 保護殼 軟殼 蘋果</t>
        </is>
      </c>
      <c r="C3074">
        <f>IMAGE("https://cf.shopee.tw/file/tw-11134207-7r990-lz3fv7bzhx4k83_tn")</f>
        <v/>
      </c>
      <c r="D3074" t="inlineStr">
        <is>
          <t>白色hello小怪,XS Max</t>
        </is>
      </c>
      <c r="E3074" t="inlineStr">
        <is>
          <t>256402348193</t>
        </is>
      </c>
      <c r="F3074">
        <f>IMAGE("https://cf.shopee.tw/file/tw-11134207-7r990-lz3ga8m1tw5032_tn")</f>
        <v/>
      </c>
    </row>
    <row r="3075">
      <c r="A3075" t="inlineStr">
        <is>
          <t>22590301233</t>
        </is>
      </c>
      <c r="B3075" t="inlineStr">
        <is>
          <t>隔日到貨🔥 iPhone 手機殼 15 14 pro 13 12 11 XS XR X 保護殼 軟殼 蘋果</t>
        </is>
      </c>
      <c r="C3075">
        <f>IMAGE("https://cf.shopee.tw/file/tw-11134207-7r990-lz3fv7bzhx4k83_tn")</f>
        <v/>
      </c>
      <c r="D3075" t="inlineStr">
        <is>
          <t>白色hello小怪,11</t>
        </is>
      </c>
      <c r="E3075" t="inlineStr">
        <is>
          <t>256402348194</t>
        </is>
      </c>
      <c r="F3075">
        <f>IMAGE("https://cf.shopee.tw/file/tw-11134207-7r990-lz3ga8m1tw5032_tn")</f>
        <v/>
      </c>
    </row>
    <row r="3076">
      <c r="A3076" t="inlineStr">
        <is>
          <t>22590301233</t>
        </is>
      </c>
      <c r="B3076" t="inlineStr">
        <is>
          <t>隔日到貨🔥 iPhone 手機殼 15 14 pro 13 12 11 XS XR X 保護殼 軟殼 蘋果</t>
        </is>
      </c>
      <c r="C3076">
        <f>IMAGE("https://cf.shopee.tw/file/tw-11134207-7r990-lz3fv7bzhx4k83_tn")</f>
        <v/>
      </c>
      <c r="D3076" t="inlineStr">
        <is>
          <t>白色hello小怪,11 pro max</t>
        </is>
      </c>
      <c r="E3076" t="inlineStr"/>
      <c r="F3076">
        <f>IMAGE("https://cf.shopee.tw/file/tw-11134207-7r990-lz3ga8m1tw5032_tn")</f>
        <v/>
      </c>
    </row>
    <row r="3077">
      <c r="A3077" t="inlineStr">
        <is>
          <t>22590301233</t>
        </is>
      </c>
      <c r="B3077" t="inlineStr">
        <is>
          <t>隔日到貨🔥 iPhone 手機殼 15 14 pro 13 12 11 XS XR X 保護殼 軟殼 蘋果</t>
        </is>
      </c>
      <c r="C3077">
        <f>IMAGE("https://cf.shopee.tw/file/tw-11134207-7r990-lz3fv7bzhx4k83_tn")</f>
        <v/>
      </c>
      <c r="D3077" t="inlineStr">
        <is>
          <t>白色hello小怪,12/12pro</t>
        </is>
      </c>
      <c r="E3077" t="inlineStr">
        <is>
          <t>256402348196</t>
        </is>
      </c>
      <c r="F3077">
        <f>IMAGE("https://cf.shopee.tw/file/tw-11134207-7r990-lz3ga8m1tw5032_tn")</f>
        <v/>
      </c>
    </row>
    <row r="3078">
      <c r="A3078" t="inlineStr">
        <is>
          <t>22590301233</t>
        </is>
      </c>
      <c r="B3078" t="inlineStr">
        <is>
          <t>隔日到貨🔥 iPhone 手機殼 15 14 pro 13 12 11 XS XR X 保護殼 軟殼 蘋果</t>
        </is>
      </c>
      <c r="C3078">
        <f>IMAGE("https://cf.shopee.tw/file/tw-11134207-7r990-lz3fv7bzhx4k83_tn")</f>
        <v/>
      </c>
      <c r="D3078" t="inlineStr">
        <is>
          <t>白色hello小怪,12 pro Max</t>
        </is>
      </c>
      <c r="E3078" t="inlineStr">
        <is>
          <t>256402348198</t>
        </is>
      </c>
      <c r="F3078">
        <f>IMAGE("https://cf.shopee.tw/file/tw-11134207-7r990-lz3ga8m1tw5032_tn")</f>
        <v/>
      </c>
    </row>
    <row r="3079">
      <c r="A3079" t="inlineStr">
        <is>
          <t>22590301233</t>
        </is>
      </c>
      <c r="B3079" t="inlineStr">
        <is>
          <t>隔日到貨🔥 iPhone 手機殼 15 14 pro 13 12 11 XS XR X 保護殼 軟殼 蘋果</t>
        </is>
      </c>
      <c r="C3079">
        <f>IMAGE("https://cf.shopee.tw/file/tw-11134207-7r990-lz3fv7bzhx4k83_tn")</f>
        <v/>
      </c>
      <c r="D3079" t="inlineStr">
        <is>
          <t>白色hello小怪,13 / 14</t>
        </is>
      </c>
      <c r="E3079" t="inlineStr">
        <is>
          <t>256402348199</t>
        </is>
      </c>
      <c r="F3079">
        <f>IMAGE("https://cf.shopee.tw/file/tw-11134207-7r990-lz3ga8m1tw5032_tn")</f>
        <v/>
      </c>
    </row>
    <row r="3080">
      <c r="A3080" t="inlineStr">
        <is>
          <t>22590301233</t>
        </is>
      </c>
      <c r="B3080" t="inlineStr">
        <is>
          <t>隔日到貨🔥 iPhone 手機殼 15 14 pro 13 12 11 XS XR X 保護殼 軟殼 蘋果</t>
        </is>
      </c>
      <c r="C3080">
        <f>IMAGE("https://cf.shopee.tw/file/tw-11134207-7r990-lz3fv7bzhx4k83_tn")</f>
        <v/>
      </c>
      <c r="D3080" t="inlineStr">
        <is>
          <t>白色hello小怪,13 pro</t>
        </is>
      </c>
      <c r="E3080" t="inlineStr">
        <is>
          <t>256402348200</t>
        </is>
      </c>
      <c r="F3080">
        <f>IMAGE("https://cf.shopee.tw/file/tw-11134207-7r990-lz3ga8m1tw5032_tn")</f>
        <v/>
      </c>
    </row>
    <row r="3081">
      <c r="A3081" t="inlineStr">
        <is>
          <t>22590301233</t>
        </is>
      </c>
      <c r="B3081" t="inlineStr">
        <is>
          <t>隔日到貨🔥 iPhone 手機殼 15 14 pro 13 12 11 XS XR X 保護殼 軟殼 蘋果</t>
        </is>
      </c>
      <c r="C3081">
        <f>IMAGE("https://cf.shopee.tw/file/tw-11134207-7r990-lz3fv7bzhx4k83_tn")</f>
        <v/>
      </c>
      <c r="D3081" t="inlineStr">
        <is>
          <t>白色hello小怪,13 pro Max</t>
        </is>
      </c>
      <c r="E3081" t="inlineStr"/>
      <c r="F3081">
        <f>IMAGE("https://cf.shopee.tw/file/tw-11134207-7r990-lz3ga8m1tw5032_tn")</f>
        <v/>
      </c>
    </row>
    <row r="3082">
      <c r="A3082" t="inlineStr">
        <is>
          <t>22590301233</t>
        </is>
      </c>
      <c r="B3082" t="inlineStr">
        <is>
          <t>隔日到貨🔥 iPhone 手機殼 15 14 pro 13 12 11 XS XR X 保護殼 軟殼 蘋果</t>
        </is>
      </c>
      <c r="C3082">
        <f>IMAGE("https://cf.shopee.tw/file/tw-11134207-7r990-lz3fv7bzhx4k83_tn")</f>
        <v/>
      </c>
      <c r="D3082" t="inlineStr">
        <is>
          <t>白色hello小怪,14 pro</t>
        </is>
      </c>
      <c r="E3082" t="inlineStr">
        <is>
          <t>256402348203</t>
        </is>
      </c>
      <c r="F3082">
        <f>IMAGE("https://cf.shopee.tw/file/tw-11134207-7r990-lz3ga8m1tw5032_tn")</f>
        <v/>
      </c>
    </row>
    <row r="3083">
      <c r="A3083" t="inlineStr">
        <is>
          <t>22590301233</t>
        </is>
      </c>
      <c r="B3083" t="inlineStr">
        <is>
          <t>隔日到貨🔥 iPhone 手機殼 15 14 pro 13 12 11 XS XR X 保護殼 軟殼 蘋果</t>
        </is>
      </c>
      <c r="C3083">
        <f>IMAGE("https://cf.shopee.tw/file/tw-11134207-7r990-lz3fv7bzhx4k83_tn")</f>
        <v/>
      </c>
      <c r="D3083" t="inlineStr">
        <is>
          <t>白色hello小怪,14 Plus / 15 Plus</t>
        </is>
      </c>
      <c r="E3083" t="inlineStr">
        <is>
          <t>256402348204</t>
        </is>
      </c>
      <c r="F3083">
        <f>IMAGE("https://cf.shopee.tw/file/tw-11134207-7r990-lz3ga8m1tw5032_tn")</f>
        <v/>
      </c>
    </row>
    <row r="3084">
      <c r="A3084" t="inlineStr">
        <is>
          <t>22590301233</t>
        </is>
      </c>
      <c r="B3084" t="inlineStr">
        <is>
          <t>隔日到貨🔥 iPhone 手機殼 15 14 pro 13 12 11 XS XR X 保護殼 軟殼 蘋果</t>
        </is>
      </c>
      <c r="C3084">
        <f>IMAGE("https://cf.shopee.tw/file/tw-11134207-7r990-lz3fv7bzhx4k83_tn")</f>
        <v/>
      </c>
      <c r="D3084" t="inlineStr">
        <is>
          <t>白色hello小怪,14 pro max</t>
        </is>
      </c>
      <c r="E3084" t="inlineStr"/>
      <c r="F3084">
        <f>IMAGE("https://cf.shopee.tw/file/tw-11134207-7r990-lz3ga8m1tw5032_tn")</f>
        <v/>
      </c>
    </row>
    <row r="3085">
      <c r="A3085" t="inlineStr">
        <is>
          <t>22590301233</t>
        </is>
      </c>
      <c r="B3085" t="inlineStr">
        <is>
          <t>隔日到貨🔥 iPhone 手機殼 15 14 pro 13 12 11 XS XR X 保護殼 軟殼 蘋果</t>
        </is>
      </c>
      <c r="C3085">
        <f>IMAGE("https://cf.shopee.tw/file/tw-11134207-7r990-lz3fv7bzhx4k83_tn")</f>
        <v/>
      </c>
      <c r="D3085" t="inlineStr">
        <is>
          <t>白色hello小怪,15</t>
        </is>
      </c>
      <c r="E3085" t="inlineStr"/>
      <c r="F3085">
        <f>IMAGE("https://cf.shopee.tw/file/tw-11134207-7r990-lz3ga8m1tw5032_tn")</f>
        <v/>
      </c>
    </row>
    <row r="3086">
      <c r="A3086" t="inlineStr">
        <is>
          <t>22590301233</t>
        </is>
      </c>
      <c r="B3086" t="inlineStr">
        <is>
          <t>隔日到貨🔥 iPhone 手機殼 15 14 pro 13 12 11 XS XR X 保護殼 軟殼 蘋果</t>
        </is>
      </c>
      <c r="C3086">
        <f>IMAGE("https://cf.shopee.tw/file/tw-11134207-7r990-lz3fv7bzhx4k83_tn")</f>
        <v/>
      </c>
      <c r="D3086" t="inlineStr">
        <is>
          <t>白色hello小怪,15 pro</t>
        </is>
      </c>
      <c r="E3086" t="inlineStr"/>
      <c r="F3086">
        <f>IMAGE("https://cf.shopee.tw/file/tw-11134207-7r990-lz3ga8m1tw5032_tn")</f>
        <v/>
      </c>
    </row>
    <row r="3087">
      <c r="A3087" t="inlineStr">
        <is>
          <t>22590301233</t>
        </is>
      </c>
      <c r="B3087" t="inlineStr">
        <is>
          <t>隔日到貨🔥 iPhone 手機殼 15 14 pro 13 12 11 XS XR X 保護殼 軟殼 蘋果</t>
        </is>
      </c>
      <c r="C3087">
        <f>IMAGE("https://cf.shopee.tw/file/tw-11134207-7r990-lz3fv7bzhx4k83_tn")</f>
        <v/>
      </c>
      <c r="D3087" t="inlineStr">
        <is>
          <t>白色hello小怪,15 pro Max</t>
        </is>
      </c>
      <c r="E3087" t="inlineStr">
        <is>
          <t>256402348209</t>
        </is>
      </c>
      <c r="F3087">
        <f>IMAGE("https://cf.shopee.tw/file/tw-11134207-7r990-lz3ga8m1tw5032_tn")</f>
        <v/>
      </c>
    </row>
    <row r="3088">
      <c r="A3088" t="inlineStr">
        <is>
          <t>22590301233</t>
        </is>
      </c>
      <c r="B3088" t="inlineStr">
        <is>
          <t>隔日到貨🔥 iPhone 手機殼 15 14 pro 13 12 11 XS XR X 保護殼 軟殼 蘋果</t>
        </is>
      </c>
      <c r="C3088">
        <f>IMAGE("https://cf.shopee.tw/file/tw-11134207-7r990-lz3fv7bzhx4k83_tn")</f>
        <v/>
      </c>
      <c r="D3088" t="inlineStr">
        <is>
          <t>白色hello小怪,16</t>
        </is>
      </c>
      <c r="E3088" t="inlineStr">
        <is>
          <t>176943636855</t>
        </is>
      </c>
      <c r="F3088">
        <f>IMAGE("https://cf.shopee.tw/file/tw-11134207-7r990-lz3ga8m1tw5032_tn")</f>
        <v/>
      </c>
    </row>
    <row r="3089">
      <c r="A3089" t="inlineStr">
        <is>
          <t>22590301233</t>
        </is>
      </c>
      <c r="B3089" t="inlineStr">
        <is>
          <t>隔日到貨🔥 iPhone 手機殼 15 14 pro 13 12 11 XS XR X 保護殼 軟殼 蘋果</t>
        </is>
      </c>
      <c r="C3089">
        <f>IMAGE("https://cf.shopee.tw/file/tw-11134207-7r990-lz3fv7bzhx4k83_tn")</f>
        <v/>
      </c>
      <c r="D3089" t="inlineStr">
        <is>
          <t>白色hello小怪,16 plus</t>
        </is>
      </c>
      <c r="E3089" t="inlineStr"/>
      <c r="F3089">
        <f>IMAGE("https://cf.shopee.tw/file/tw-11134207-7r990-lz3ga8m1tw5032_tn")</f>
        <v/>
      </c>
    </row>
    <row r="3090">
      <c r="A3090" t="inlineStr">
        <is>
          <t>22590301233</t>
        </is>
      </c>
      <c r="B3090" t="inlineStr">
        <is>
          <t>隔日到貨🔥 iPhone 手機殼 15 14 pro 13 12 11 XS XR X 保護殼 軟殼 蘋果</t>
        </is>
      </c>
      <c r="C3090">
        <f>IMAGE("https://cf.shopee.tw/file/tw-11134207-7r990-lz3fv7bzhx4k83_tn")</f>
        <v/>
      </c>
      <c r="D3090" t="inlineStr">
        <is>
          <t>白色hello小怪,16 pro</t>
        </is>
      </c>
      <c r="E3090" t="inlineStr">
        <is>
          <t>176943636857</t>
        </is>
      </c>
      <c r="F3090">
        <f>IMAGE("https://cf.shopee.tw/file/tw-11134207-7r990-lz3ga8m1tw5032_tn")</f>
        <v/>
      </c>
    </row>
    <row r="3091">
      <c r="A3091" t="inlineStr">
        <is>
          <t>22590301233</t>
        </is>
      </c>
      <c r="B3091" t="inlineStr">
        <is>
          <t>隔日到貨🔥 iPhone 手機殼 15 14 pro 13 12 11 XS XR X 保護殼 軟殼 蘋果</t>
        </is>
      </c>
      <c r="C3091">
        <f>IMAGE("https://cf.shopee.tw/file/tw-11134207-7r990-lz3fv7bzhx4k83_tn")</f>
        <v/>
      </c>
      <c r="D3091" t="inlineStr">
        <is>
          <t>白色hello小怪,16 pro max</t>
        </is>
      </c>
      <c r="E3091" t="inlineStr">
        <is>
          <t>176943636858</t>
        </is>
      </c>
      <c r="F3091">
        <f>IMAGE("https://cf.shopee.tw/file/tw-11134207-7r990-lz3ga8m1tw5032_tn")</f>
        <v/>
      </c>
    </row>
    <row r="3092">
      <c r="A3092" t="inlineStr">
        <is>
          <t>19574478631</t>
        </is>
      </c>
      <c r="B3092" t="inlineStr">
        <is>
          <t>隔日到貨🔥 手機掛繩 液態矽膠 親膚材質 彈力手掛繩 掛繩 手腕繩 手機掛繩 手機吊繩 手機吊飾</t>
        </is>
      </c>
      <c r="C3092">
        <f>IMAGE("https://cf.shopee.tw/file/tw-11134207-23020-inn3rv0szynv17_tn")</f>
        <v/>
      </c>
      <c r="D3092" t="inlineStr">
        <is>
          <t>天藍</t>
        </is>
      </c>
      <c r="E3092" t="inlineStr"/>
      <c r="F3092">
        <f>IMAGE("https://cf.shopee.tw/file/tw-11134207-23020-k3yj1cy34znvd4_tn")</f>
        <v/>
      </c>
    </row>
    <row r="3093">
      <c r="A3093" t="inlineStr">
        <is>
          <t>19574478631</t>
        </is>
      </c>
      <c r="B3093" t="inlineStr">
        <is>
          <t>隔日到貨🔥 手機掛繩 液態矽膠 親膚材質 彈力手掛繩 掛繩 手腕繩 手機掛繩 手機吊繩 手機吊飾</t>
        </is>
      </c>
      <c r="C3093">
        <f>IMAGE("https://cf.shopee.tw/file/tw-11134207-23020-inn3rv0szynv17_tn")</f>
        <v/>
      </c>
      <c r="D3093" t="inlineStr">
        <is>
          <t>梁暗綠</t>
        </is>
      </c>
      <c r="E3093" t="inlineStr"/>
      <c r="F3093">
        <f>IMAGE("https://cf.shopee.tw/file/tw-11134207-23020-kivj3ok34znvb6_tn")</f>
        <v/>
      </c>
    </row>
    <row r="3094">
      <c r="A3094" t="inlineStr">
        <is>
          <t>19574478631</t>
        </is>
      </c>
      <c r="B3094" t="inlineStr">
        <is>
          <t>隔日到貨🔥 手機掛繩 液態矽膠 親膚材質 彈力手掛繩 掛繩 手腕繩 手機掛繩 手機吊繩 手機吊飾</t>
        </is>
      </c>
      <c r="C3094">
        <f>IMAGE("https://cf.shopee.tw/file/tw-11134207-23020-inn3rv0szynv17_tn")</f>
        <v/>
      </c>
      <c r="D3094" t="inlineStr">
        <is>
          <t>山茶紅</t>
        </is>
      </c>
      <c r="E3094" t="inlineStr">
        <is>
          <t>213938156731</t>
        </is>
      </c>
      <c r="F3094">
        <f>IMAGE("https://cf.shopee.tw/file/tw-11134207-23020-99btlxn34znvbb_tn")</f>
        <v/>
      </c>
    </row>
    <row r="3095">
      <c r="A3095" t="inlineStr">
        <is>
          <t>19574478631</t>
        </is>
      </c>
      <c r="B3095" t="inlineStr">
        <is>
          <t>隔日到貨🔥 手機掛繩 液態矽膠 親膚材質 彈力手掛繩 掛繩 手腕繩 手機掛繩 手機吊繩 手機吊飾</t>
        </is>
      </c>
      <c r="C3095">
        <f>IMAGE("https://cf.shopee.tw/file/tw-11134207-23020-inn3rv0szynv17_tn")</f>
        <v/>
      </c>
      <c r="D3095" t="inlineStr">
        <is>
          <t>薰衣草灰</t>
        </is>
      </c>
      <c r="E3095" t="inlineStr">
        <is>
          <t>213938156728</t>
        </is>
      </c>
      <c r="F3095">
        <f>IMAGE("https://cf.shopee.tw/file/tw-11134207-23020-wjoclcs34znv05_tn")</f>
        <v/>
      </c>
    </row>
    <row r="3096">
      <c r="A3096" t="inlineStr">
        <is>
          <t>19574478631</t>
        </is>
      </c>
      <c r="B3096" t="inlineStr">
        <is>
          <t>隔日到貨🔥 手機掛繩 液態矽膠 親膚材質 彈力手掛繩 掛繩 手腕繩 手機掛繩 手機吊繩 手機吊飾</t>
        </is>
      </c>
      <c r="C3096">
        <f>IMAGE("https://cf.shopee.tw/file/tw-11134207-23020-inn3rv0szynv17_tn")</f>
        <v/>
      </c>
      <c r="D3096" t="inlineStr">
        <is>
          <t>午夜藍</t>
        </is>
      </c>
      <c r="E3096" t="inlineStr">
        <is>
          <t>213938156736</t>
        </is>
      </c>
      <c r="F3096">
        <f>IMAGE("https://cf.shopee.tw/file/tw-11134207-23020-otqigh334znv85_tn")</f>
        <v/>
      </c>
    </row>
    <row r="3097">
      <c r="A3097" t="inlineStr">
        <is>
          <t>19574478631</t>
        </is>
      </c>
      <c r="B3097" t="inlineStr">
        <is>
          <t>隔日到貨🔥 手機掛繩 液態矽膠 親膚材質 彈力手掛繩 掛繩 手腕繩 手機掛繩 手機吊繩 手機吊飾</t>
        </is>
      </c>
      <c r="C3097">
        <f>IMAGE("https://cf.shopee.tw/file/tw-11134207-23020-inn3rv0szynv17_tn")</f>
        <v/>
      </c>
      <c r="D3097" t="inlineStr">
        <is>
          <t>抹茶綠</t>
        </is>
      </c>
      <c r="E3097" t="inlineStr">
        <is>
          <t>213938156733</t>
        </is>
      </c>
      <c r="F3097">
        <f>IMAGE("https://cf.shopee.tw/file/tw-11134207-23020-s56kej734znv4a_tn")</f>
        <v/>
      </c>
    </row>
    <row r="3098">
      <c r="A3098" t="inlineStr">
        <is>
          <t>19574478631</t>
        </is>
      </c>
      <c r="B3098" t="inlineStr">
        <is>
          <t>隔日到貨🔥 手機掛繩 液態矽膠 親膚材質 彈力手掛繩 掛繩 手腕繩 手機掛繩 手機吊繩 手機吊飾</t>
        </is>
      </c>
      <c r="C3098">
        <f>IMAGE("https://cf.shopee.tw/file/tw-11134207-23020-inn3rv0szynv17_tn")</f>
        <v/>
      </c>
      <c r="D3098" t="inlineStr">
        <is>
          <t>檸檬黃</t>
        </is>
      </c>
      <c r="E3098" t="inlineStr">
        <is>
          <t>213938156737</t>
        </is>
      </c>
      <c r="F3098">
        <f>IMAGE("https://cf.shopee.tw/file/tw-11134207-23020-sod50k034znv81_tn")</f>
        <v/>
      </c>
    </row>
    <row r="3099">
      <c r="A3099" t="inlineStr">
        <is>
          <t>19574478631</t>
        </is>
      </c>
      <c r="B3099" t="inlineStr">
        <is>
          <t>隔日到貨🔥 手機掛繩 液態矽膠 親膚材質 彈力手掛繩 掛繩 手腕繩 手機掛繩 手機吊繩 手機吊飾</t>
        </is>
      </c>
      <c r="C3099">
        <f>IMAGE("https://cf.shopee.tw/file/tw-11134207-23020-inn3rv0szynv17_tn")</f>
        <v/>
      </c>
      <c r="D3099" t="inlineStr">
        <is>
          <t>魔力黑</t>
        </is>
      </c>
      <c r="E3099" t="inlineStr">
        <is>
          <t>213938156729</t>
        </is>
      </c>
      <c r="F3099">
        <f>IMAGE("https://cf.shopee.tw/file/tw-11134207-23020-wf2z93c44znv75_tn")</f>
        <v/>
      </c>
    </row>
    <row r="3100">
      <c r="A3100" t="inlineStr">
        <is>
          <t>19574478631</t>
        </is>
      </c>
      <c r="B3100" t="inlineStr">
        <is>
          <t>隔日到貨🔥 手機掛繩 液態矽膠 親膚材質 彈力手掛繩 掛繩 手腕繩 手機掛繩 手機吊繩 手機吊飾</t>
        </is>
      </c>
      <c r="C3100">
        <f>IMAGE("https://cf.shopee.tw/file/tw-11134207-23020-inn3rv0szynv17_tn")</f>
        <v/>
      </c>
      <c r="D3100" t="inlineStr">
        <is>
          <t>皮膚色</t>
        </is>
      </c>
      <c r="E3100" t="inlineStr">
        <is>
          <t>213938156727</t>
        </is>
      </c>
      <c r="F3100">
        <f>IMAGE("https://cf.shopee.tw/file/tw-11134207-23030-d3kovbiovtovf9_tn")</f>
        <v/>
      </c>
    </row>
    <row r="3101">
      <c r="A3101" t="inlineStr">
        <is>
          <t>19574478631</t>
        </is>
      </c>
      <c r="B3101" t="inlineStr">
        <is>
          <t>隔日到貨🔥 手機掛繩 液態矽膠 親膚材質 彈力手掛繩 掛繩 手腕繩 手機掛繩 手機吊繩 手機吊飾</t>
        </is>
      </c>
      <c r="C3101">
        <f>IMAGE("https://cf.shopee.tw/file/tw-11134207-23020-inn3rv0szynv17_tn")</f>
        <v/>
      </c>
      <c r="D3101" t="inlineStr">
        <is>
          <t>珊瑚橙</t>
        </is>
      </c>
      <c r="E3101" t="inlineStr">
        <is>
          <t>213938156730</t>
        </is>
      </c>
      <c r="F3101">
        <f>IMAGE("https://cf.shopee.tw/file/tw-11134207-23020-1y39ghm44znva7_tn")</f>
        <v/>
      </c>
    </row>
    <row r="3102">
      <c r="A3102" t="inlineStr">
        <is>
          <t>19574478631</t>
        </is>
      </c>
      <c r="B3102" t="inlineStr">
        <is>
          <t>隔日到貨🔥 手機掛繩 液態矽膠 親膚材質 彈力手掛繩 掛繩 手腕繩 手機掛繩 手機吊繩 手機吊飾</t>
        </is>
      </c>
      <c r="C3102">
        <f>IMAGE("https://cf.shopee.tw/file/tw-11134207-23020-inn3rv0szynv17_tn")</f>
        <v/>
      </c>
      <c r="D3102" t="inlineStr">
        <is>
          <t>薰衣紫</t>
        </is>
      </c>
      <c r="E3102" t="inlineStr">
        <is>
          <t>213938156726</t>
        </is>
      </c>
      <c r="F3102">
        <f>IMAGE("https://cf.shopee.tw/file/tw-11134207-23020-wvppp0p44znv11_tn")</f>
        <v/>
      </c>
    </row>
    <row r="3103">
      <c r="A3103" t="inlineStr">
        <is>
          <t>19574478631</t>
        </is>
      </c>
      <c r="B3103" t="inlineStr">
        <is>
          <t>隔日到貨🔥 手機掛繩 液態矽膠 親膚材質 彈力手掛繩 掛繩 手腕繩 手機掛繩 手機吊繩 手機吊飾</t>
        </is>
      </c>
      <c r="C3103">
        <f>IMAGE("https://cf.shopee.tw/file/tw-11134207-23020-inn3rv0szynv17_tn")</f>
        <v/>
      </c>
      <c r="D3103" t="inlineStr">
        <is>
          <t>透明</t>
        </is>
      </c>
      <c r="E3103" t="inlineStr">
        <is>
          <t>213938156738</t>
        </is>
      </c>
      <c r="F3103">
        <f>IMAGE("https://cf.shopee.tw/file/tw-11134207-23020-50p6b4t44znv58_tn")</f>
        <v/>
      </c>
    </row>
    <row r="3104">
      <c r="A3104" t="inlineStr">
        <is>
          <t>19574478631</t>
        </is>
      </c>
      <c r="B3104" t="inlineStr">
        <is>
          <t>隔日到貨🔥 手機掛繩 液態矽膠 親膚材質 彈力手掛繩 掛繩 手腕繩 手機掛繩 手機吊繩 手機吊飾</t>
        </is>
      </c>
      <c r="C3104">
        <f>IMAGE("https://cf.shopee.tw/file/tw-11134207-23020-inn3rv0szynv17_tn")</f>
        <v/>
      </c>
      <c r="D3104" t="inlineStr">
        <is>
          <t>簡潔白</t>
        </is>
      </c>
      <c r="E3104" t="inlineStr">
        <is>
          <t>213938156734</t>
        </is>
      </c>
      <c r="F3104">
        <f>IMAGE("https://cf.shopee.tw/file/tw-11134207-23020-gr491fx44znv72_tn")</f>
        <v/>
      </c>
    </row>
    <row r="3105">
      <c r="A3105" t="inlineStr">
        <is>
          <t>11979825338</t>
        </is>
      </c>
      <c r="B3105" t="inlineStr">
        <is>
          <t>隔日到貨🔥 Apple Pencil 筆尖套 防滑 保護套 輕薄 耐磨 筆尖帽 筆套 矽膠耐磨</t>
        </is>
      </c>
      <c r="C3105">
        <f>IMAGE("https://cf.shopee.tw/file/ffe6a43f20995d6ba1298c588edaad48_tn")</f>
        <v/>
      </c>
      <c r="D3105" t="inlineStr">
        <is>
          <t>淡粉色</t>
        </is>
      </c>
      <c r="E3105" t="inlineStr"/>
      <c r="F3105">
        <f>IMAGE("https://cf.shopee.tw/file/c391378d3764504af451705c8355b1ec_tn")</f>
        <v/>
      </c>
    </row>
    <row r="3106">
      <c r="A3106" t="inlineStr">
        <is>
          <t>11979825338</t>
        </is>
      </c>
      <c r="B3106" t="inlineStr">
        <is>
          <t>隔日到貨🔥 Apple Pencil 筆尖套 防滑 保護套 輕薄 耐磨 筆尖帽 筆套 矽膠耐磨</t>
        </is>
      </c>
      <c r="C3106">
        <f>IMAGE("https://cf.shopee.tw/file/ffe6a43f20995d6ba1298c588edaad48_tn")</f>
        <v/>
      </c>
      <c r="D3106" t="inlineStr">
        <is>
          <t>抹茶綠</t>
        </is>
      </c>
      <c r="E3106" t="inlineStr">
        <is>
          <t>68090529147</t>
        </is>
      </c>
      <c r="F3106">
        <f>IMAGE("https://cf.shopee.tw/file/fcaa3db709b38cc6317546a33668f940_tn")</f>
        <v/>
      </c>
    </row>
    <row r="3107">
      <c r="A3107" t="inlineStr">
        <is>
          <t>11979825338</t>
        </is>
      </c>
      <c r="B3107" t="inlineStr">
        <is>
          <t>隔日到貨🔥 Apple Pencil 筆尖套 防滑 保護套 輕薄 耐磨 筆尖帽 筆套 矽膠耐磨</t>
        </is>
      </c>
      <c r="C3107">
        <f>IMAGE("https://cf.shopee.tw/file/ffe6a43f20995d6ba1298c588edaad48_tn")</f>
        <v/>
      </c>
      <c r="D3107" t="inlineStr">
        <is>
          <t>透白色</t>
        </is>
      </c>
      <c r="E3107" t="inlineStr"/>
      <c r="F3107">
        <f>IMAGE("https://cf.shopee.tw/file/17fb68e548e98b947386bbce93d578a0_tn")</f>
        <v/>
      </c>
    </row>
    <row r="3108">
      <c r="A3108" t="inlineStr">
        <is>
          <t>11979825338</t>
        </is>
      </c>
      <c r="B3108" t="inlineStr">
        <is>
          <t>隔日到貨🔥 Apple Pencil 筆尖套 防滑 保護套 輕薄 耐磨 筆尖帽 筆套 矽膠耐磨</t>
        </is>
      </c>
      <c r="C3108">
        <f>IMAGE("https://cf.shopee.tw/file/ffe6a43f20995d6ba1298c588edaad48_tn")</f>
        <v/>
      </c>
      <c r="D3108" t="inlineStr">
        <is>
          <t>紅色</t>
        </is>
      </c>
      <c r="E3108" t="inlineStr">
        <is>
          <t>68090529149</t>
        </is>
      </c>
      <c r="F3108">
        <f>IMAGE("https://cf.shopee.tw/file/dd5425a2685eed6734f76aad056cc64c_tn")</f>
        <v/>
      </c>
    </row>
    <row r="3109">
      <c r="A3109" t="inlineStr">
        <is>
          <t>11979825338</t>
        </is>
      </c>
      <c r="B3109" t="inlineStr">
        <is>
          <t>隔日到貨🔥 Apple Pencil 筆尖套 防滑 保護套 輕薄 耐磨 筆尖帽 筆套 矽膠耐磨</t>
        </is>
      </c>
      <c r="C3109">
        <f>IMAGE("https://cf.shopee.tw/file/ffe6a43f20995d6ba1298c588edaad48_tn")</f>
        <v/>
      </c>
      <c r="D3109" t="inlineStr">
        <is>
          <t>灰色</t>
        </is>
      </c>
      <c r="E3109" t="inlineStr">
        <is>
          <t>68090529150</t>
        </is>
      </c>
      <c r="F3109">
        <f>IMAGE("https://cf.shopee.tw/file/79478a272fea3bfa1a762b59a08cfbf7_tn")</f>
        <v/>
      </c>
    </row>
    <row r="3110">
      <c r="A3110" t="inlineStr">
        <is>
          <t>11979825338</t>
        </is>
      </c>
      <c r="B3110" t="inlineStr">
        <is>
          <t>隔日到貨🔥 Apple Pencil 筆尖套 防滑 保護套 輕薄 耐磨 筆尖帽 筆套 矽膠耐磨</t>
        </is>
      </c>
      <c r="C3110">
        <f>IMAGE("https://cf.shopee.tw/file/ffe6a43f20995d6ba1298c588edaad48_tn")</f>
        <v/>
      </c>
      <c r="D3110" t="inlineStr">
        <is>
          <t>薰衣草灰</t>
        </is>
      </c>
      <c r="E3110" t="inlineStr">
        <is>
          <t>68090529144</t>
        </is>
      </c>
      <c r="F3110">
        <f>IMAGE("https://cf.shopee.tw/file/1a395a3b985338933cf0541b1d2dc43c_tn")</f>
        <v/>
      </c>
    </row>
    <row r="3111">
      <c r="A3111" t="inlineStr">
        <is>
          <t>11979825338</t>
        </is>
      </c>
      <c r="B3111" t="inlineStr">
        <is>
          <t>隔日到貨🔥 Apple Pencil 筆尖套 防滑 保護套 輕薄 耐磨 筆尖帽 筆套 矽膠耐磨</t>
        </is>
      </c>
      <c r="C3111">
        <f>IMAGE("https://cf.shopee.tw/file/ffe6a43f20995d6ba1298c588edaad48_tn")</f>
        <v/>
      </c>
      <c r="D3111" t="inlineStr">
        <is>
          <t>黑色</t>
        </is>
      </c>
      <c r="E3111" t="inlineStr">
        <is>
          <t>68090529145</t>
        </is>
      </c>
      <c r="F3111">
        <f>IMAGE("https://cf.shopee.tw/file/8de17df51af9fa96463c441eca513470_tn")</f>
        <v/>
      </c>
    </row>
    <row r="3112">
      <c r="A3112" t="inlineStr">
        <is>
          <t>11979825338</t>
        </is>
      </c>
      <c r="B3112" t="inlineStr">
        <is>
          <t>隔日到貨🔥 Apple Pencil 筆尖套 防滑 保護套 輕薄 耐磨 筆尖帽 筆套 矽膠耐磨</t>
        </is>
      </c>
      <c r="C3112">
        <f>IMAGE("https://cf.shopee.tw/file/ffe6a43f20995d6ba1298c588edaad48_tn")</f>
        <v/>
      </c>
      <c r="D3112" t="inlineStr">
        <is>
          <t>淡黃色</t>
        </is>
      </c>
      <c r="E3112" t="inlineStr">
        <is>
          <t>68090529146</t>
        </is>
      </c>
      <c r="F3112">
        <f>IMAGE("https://cf.shopee.tw/file/047ceb80126990a67022c75fb77fecdd_tn")</f>
        <v/>
      </c>
    </row>
    <row r="3113">
      <c r="A3113" t="inlineStr">
        <is>
          <t>11979825338</t>
        </is>
      </c>
      <c r="B3113" t="inlineStr">
        <is>
          <t>隔日到貨🔥 Apple Pencil 筆尖套 防滑 保護套 輕薄 耐磨 筆尖帽 筆套 矽膠耐磨</t>
        </is>
      </c>
      <c r="C3113">
        <f>IMAGE("https://cf.shopee.tw/file/ffe6a43f20995d6ba1298c588edaad48_tn")</f>
        <v/>
      </c>
      <c r="D3113" t="inlineStr">
        <is>
          <t>奶白色</t>
        </is>
      </c>
      <c r="E3113" t="inlineStr"/>
      <c r="F3113">
        <f>IMAGE("https://cf.shopee.tw/file/e2f0945e16fb2f82fb3e60fe85a5cc9a_tn")</f>
        <v/>
      </c>
    </row>
    <row r="3114">
      <c r="A3114" t="inlineStr">
        <is>
          <t>2776832971</t>
        </is>
      </c>
      <c r="B3114" t="inlineStr">
        <is>
          <t>隔日到貨🔥 Airpods 保護貼 防塵貼 1代 2代 3代 4代 pro pro2 金屬磁吸 防塵 除塵</t>
        </is>
      </c>
      <c r="C3114">
        <f>IMAGE("https://cf.shopee.tw/file/sg-11134201-22110-il696jx5nhkv3e_tn")</f>
        <v/>
      </c>
      <c r="D3114" t="inlineStr">
        <is>
          <t>6.銀色,［3代］</t>
        </is>
      </c>
      <c r="E3114" t="inlineStr"/>
      <c r="F3114">
        <f>IMAGE("https://cf.shopee.tw/file/9af5ff43e545ba922aecb0244c11f3a7_tn")</f>
        <v/>
      </c>
    </row>
    <row r="3115">
      <c r="A3115" t="inlineStr">
        <is>
          <t>2776832971</t>
        </is>
      </c>
      <c r="B3115" t="inlineStr">
        <is>
          <t>隔日到貨🔥 Airpods 保護貼 防塵貼 1代 2代 3代 4代 pro pro2 金屬磁吸 防塵 除塵</t>
        </is>
      </c>
      <c r="C3115">
        <f>IMAGE("https://cf.shopee.tw/file/sg-11134201-22110-il696jx5nhkv3e_tn")</f>
        <v/>
      </c>
      <c r="D3115" t="inlineStr">
        <is>
          <t>1.玫瑰金,1/2代有線充電</t>
        </is>
      </c>
      <c r="E3115" t="inlineStr">
        <is>
          <t>8889088103</t>
        </is>
      </c>
      <c r="F3115">
        <f>IMAGE("https://cf.shopee.tw/file/843b3f1a5396b9e61da3188214580748_tn")</f>
        <v/>
      </c>
    </row>
    <row r="3116">
      <c r="A3116" t="inlineStr">
        <is>
          <t>2776832971</t>
        </is>
      </c>
      <c r="B3116" t="inlineStr">
        <is>
          <t>隔日到貨🔥 Airpods 保護貼 防塵貼 1代 2代 3代 4代 pro pro2 金屬磁吸 防塵 除塵</t>
        </is>
      </c>
      <c r="C3116">
        <f>IMAGE("https://cf.shopee.tw/file/sg-11134201-22110-il696jx5nhkv3e_tn")</f>
        <v/>
      </c>
      <c r="D3116" t="inlineStr">
        <is>
          <t>1.玫瑰金,［3代］</t>
        </is>
      </c>
      <c r="E3116" t="inlineStr">
        <is>
          <t>142288283378</t>
        </is>
      </c>
      <c r="F3116">
        <f>IMAGE("https://cf.shopee.tw/file/843b3f1a5396b9e61da3188214580748_tn")</f>
        <v/>
      </c>
    </row>
    <row r="3117">
      <c r="A3117" t="inlineStr">
        <is>
          <t>2776832971</t>
        </is>
      </c>
      <c r="B3117" t="inlineStr">
        <is>
          <t>隔日到貨🔥 Airpods 保護貼 防塵貼 1代 2代 3代 4代 pro pro2 金屬磁吸 防塵 除塵</t>
        </is>
      </c>
      <c r="C3117">
        <f>IMAGE("https://cf.shopee.tw/file/sg-11134201-22110-il696jx5nhkv3e_tn")</f>
        <v/>
      </c>
      <c r="D3117" t="inlineStr">
        <is>
          <t>1.玫瑰金,Pro1代/Pro2代 (通用）</t>
        </is>
      </c>
      <c r="E3117" t="inlineStr">
        <is>
          <t>154269926649</t>
        </is>
      </c>
      <c r="F3117">
        <f>IMAGE("https://cf.shopee.tw/file/843b3f1a5396b9e61da3188214580748_tn")</f>
        <v/>
      </c>
    </row>
    <row r="3118">
      <c r="A3118" t="inlineStr">
        <is>
          <t>2776832971</t>
        </is>
      </c>
      <c r="B3118" t="inlineStr">
        <is>
          <t>隔日到貨🔥 Airpods 保護貼 防塵貼 1代 2代 3代 4代 pro pro2 金屬磁吸 防塵 除塵</t>
        </is>
      </c>
      <c r="C3118">
        <f>IMAGE("https://cf.shopee.tw/file/sg-11134201-22110-il696jx5nhkv3e_tn")</f>
        <v/>
      </c>
      <c r="D3118" t="inlineStr">
        <is>
          <t>1.玫瑰金,4代</t>
        </is>
      </c>
      <c r="E3118" t="inlineStr">
        <is>
          <t>166967864498</t>
        </is>
      </c>
      <c r="F3118">
        <f>IMAGE("https://cf.shopee.tw/file/843b3f1a5396b9e61da3188214580748_tn")</f>
        <v/>
      </c>
    </row>
    <row r="3119">
      <c r="A3119" t="inlineStr">
        <is>
          <t>2776832971</t>
        </is>
      </c>
      <c r="B3119" t="inlineStr">
        <is>
          <t>隔日到貨🔥 Airpods 保護貼 防塵貼 1代 2代 3代 4代 pro pro2 金屬磁吸 防塵 除塵</t>
        </is>
      </c>
      <c r="C3119">
        <f>IMAGE("https://cf.shopee.tw/file/sg-11134201-22110-il696jx5nhkv3e_tn")</f>
        <v/>
      </c>
      <c r="D3119" t="inlineStr">
        <is>
          <t>2.炫酷黑,1/2代有線充電</t>
        </is>
      </c>
      <c r="E3119" t="inlineStr">
        <is>
          <t>8889088105</t>
        </is>
      </c>
      <c r="F3119">
        <f>IMAGE("https://cf.shopee.tw/file/8afdadafc1dad092127e527cda6043db_tn")</f>
        <v/>
      </c>
    </row>
    <row r="3120">
      <c r="A3120" t="inlineStr">
        <is>
          <t>2776832971</t>
        </is>
      </c>
      <c r="B3120" t="inlineStr">
        <is>
          <t>隔日到貨🔥 Airpods 保護貼 防塵貼 1代 2代 3代 4代 pro pro2 金屬磁吸 防塵 除塵</t>
        </is>
      </c>
      <c r="C3120">
        <f>IMAGE("https://cf.shopee.tw/file/sg-11134201-22110-il696jx5nhkv3e_tn")</f>
        <v/>
      </c>
      <c r="D3120" t="inlineStr">
        <is>
          <t>2.炫酷黑,［3代］</t>
        </is>
      </c>
      <c r="E3120" t="inlineStr">
        <is>
          <t>142288283382</t>
        </is>
      </c>
      <c r="F3120">
        <f>IMAGE("https://cf.shopee.tw/file/8afdadafc1dad092127e527cda6043db_tn")</f>
        <v/>
      </c>
    </row>
    <row r="3121">
      <c r="A3121" t="inlineStr">
        <is>
          <t>2776832971</t>
        </is>
      </c>
      <c r="B3121" t="inlineStr">
        <is>
          <t>隔日到貨🔥 Airpods 保護貼 防塵貼 1代 2代 3代 4代 pro pro2 金屬磁吸 防塵 除塵</t>
        </is>
      </c>
      <c r="C3121">
        <f>IMAGE("https://cf.shopee.tw/file/sg-11134201-22110-il696jx5nhkv3e_tn")</f>
        <v/>
      </c>
      <c r="D3121" t="inlineStr">
        <is>
          <t>2.炫酷黑,Pro1代/Pro2代 (通用）</t>
        </is>
      </c>
      <c r="E3121" t="inlineStr">
        <is>
          <t>144269926813</t>
        </is>
      </c>
      <c r="F3121">
        <f>IMAGE("https://cf.shopee.tw/file/8afdadafc1dad092127e527cda6043db_tn")</f>
        <v/>
      </c>
    </row>
    <row r="3122">
      <c r="A3122" t="inlineStr">
        <is>
          <t>2776832971</t>
        </is>
      </c>
      <c r="B3122" t="inlineStr">
        <is>
          <t>隔日到貨🔥 Airpods 保護貼 防塵貼 1代 2代 3代 4代 pro pro2 金屬磁吸 防塵 除塵</t>
        </is>
      </c>
      <c r="C3122">
        <f>IMAGE("https://cf.shopee.tw/file/sg-11134201-22110-il696jx5nhkv3e_tn")</f>
        <v/>
      </c>
      <c r="D3122" t="inlineStr">
        <is>
          <t>2.炫酷黑,4代</t>
        </is>
      </c>
      <c r="E3122" t="inlineStr">
        <is>
          <t>166967864499</t>
        </is>
      </c>
      <c r="F3122">
        <f>IMAGE("https://cf.shopee.tw/file/8afdadafc1dad092127e527cda6043db_tn")</f>
        <v/>
      </c>
    </row>
    <row r="3123">
      <c r="A3123" t="inlineStr">
        <is>
          <t>2776832971</t>
        </is>
      </c>
      <c r="B3123" t="inlineStr">
        <is>
          <t>隔日到貨🔥 Airpods 保護貼 防塵貼 1代 2代 3代 4代 pro pro2 金屬磁吸 防塵 除塵</t>
        </is>
      </c>
      <c r="C3123">
        <f>IMAGE("https://cf.shopee.tw/file/sg-11134201-22110-il696jx5nhkv3e_tn")</f>
        <v/>
      </c>
      <c r="D3123" t="inlineStr">
        <is>
          <t>3.活力紅,1/2代有線充電</t>
        </is>
      </c>
      <c r="E3123" t="inlineStr"/>
      <c r="F3123">
        <f>IMAGE("https://cf.shopee.tw/file/a7944a63bae64422507b9c1f90485a9b_tn")</f>
        <v/>
      </c>
    </row>
    <row r="3124">
      <c r="A3124" t="inlineStr">
        <is>
          <t>2776832971</t>
        </is>
      </c>
      <c r="B3124" t="inlineStr">
        <is>
          <t>隔日到貨🔥 Airpods 保護貼 防塵貼 1代 2代 3代 4代 pro pro2 金屬磁吸 防塵 除塵</t>
        </is>
      </c>
      <c r="C3124">
        <f>IMAGE("https://cf.shopee.tw/file/sg-11134201-22110-il696jx5nhkv3e_tn")</f>
        <v/>
      </c>
      <c r="D3124" t="inlineStr">
        <is>
          <t>3.活力紅,［3代］</t>
        </is>
      </c>
      <c r="E3124" t="inlineStr"/>
      <c r="F3124">
        <f>IMAGE("https://cf.shopee.tw/file/a7944a63bae64422507b9c1f90485a9b_tn")</f>
        <v/>
      </c>
    </row>
    <row r="3125">
      <c r="A3125" t="inlineStr">
        <is>
          <t>2776832971</t>
        </is>
      </c>
      <c r="B3125" t="inlineStr">
        <is>
          <t>隔日到貨🔥 Airpods 保護貼 防塵貼 1代 2代 3代 4代 pro pro2 金屬磁吸 防塵 除塵</t>
        </is>
      </c>
      <c r="C3125">
        <f>IMAGE("https://cf.shopee.tw/file/sg-11134201-22110-il696jx5nhkv3e_tn")</f>
        <v/>
      </c>
      <c r="D3125" t="inlineStr">
        <is>
          <t>3.活力紅,Pro1代/Pro2代 (通用）</t>
        </is>
      </c>
      <c r="E3125" t="inlineStr"/>
      <c r="F3125">
        <f>IMAGE("https://cf.shopee.tw/file/a7944a63bae64422507b9c1f90485a9b_tn")</f>
        <v/>
      </c>
    </row>
    <row r="3126">
      <c r="A3126" t="inlineStr">
        <is>
          <t>2776832971</t>
        </is>
      </c>
      <c r="B3126" t="inlineStr">
        <is>
          <t>隔日到貨🔥 Airpods 保護貼 防塵貼 1代 2代 3代 4代 pro pro2 金屬磁吸 防塵 除塵</t>
        </is>
      </c>
      <c r="C3126">
        <f>IMAGE("https://cf.shopee.tw/file/sg-11134201-22110-il696jx5nhkv3e_tn")</f>
        <v/>
      </c>
      <c r="D3126" t="inlineStr">
        <is>
          <t>3.活力紅,4代</t>
        </is>
      </c>
      <c r="E3126" t="inlineStr"/>
      <c r="F3126">
        <f>IMAGE("https://cf.shopee.tw/file/a7944a63bae64422507b9c1f90485a9b_tn")</f>
        <v/>
      </c>
    </row>
    <row r="3127">
      <c r="A3127" t="inlineStr">
        <is>
          <t>2776832971</t>
        </is>
      </c>
      <c r="B3127" t="inlineStr">
        <is>
          <t>隔日到貨🔥 Airpods 保護貼 防塵貼 1代 2代 3代 4代 pro pro2 金屬磁吸 防塵 除塵</t>
        </is>
      </c>
      <c r="C3127">
        <f>IMAGE("https://cf.shopee.tw/file/sg-11134201-22110-il696jx5nhkv3e_tn")</f>
        <v/>
      </c>
      <c r="D3127" t="inlineStr">
        <is>
          <t>4.土豪金,1/2代有線充電</t>
        </is>
      </c>
      <c r="E3127" t="inlineStr">
        <is>
          <t>8889088109</t>
        </is>
      </c>
      <c r="F3127">
        <f>IMAGE("https://cf.shopee.tw/file/7f6a09745dc72e782074a625b9aa4d3d_tn")</f>
        <v/>
      </c>
    </row>
    <row r="3128">
      <c r="A3128" t="inlineStr">
        <is>
          <t>2776832971</t>
        </is>
      </c>
      <c r="B3128" t="inlineStr">
        <is>
          <t>隔日到貨🔥 Airpods 保護貼 防塵貼 1代 2代 3代 4代 pro pro2 金屬磁吸 防塵 除塵</t>
        </is>
      </c>
      <c r="C3128">
        <f>IMAGE("https://cf.shopee.tw/file/sg-11134201-22110-il696jx5nhkv3e_tn")</f>
        <v/>
      </c>
      <c r="D3128" t="inlineStr">
        <is>
          <t>4.土豪金,［3代］</t>
        </is>
      </c>
      <c r="E3128" t="inlineStr"/>
      <c r="F3128">
        <f>IMAGE("https://cf.shopee.tw/file/7f6a09745dc72e782074a625b9aa4d3d_tn")</f>
        <v/>
      </c>
    </row>
    <row r="3129">
      <c r="A3129" t="inlineStr">
        <is>
          <t>2776832971</t>
        </is>
      </c>
      <c r="B3129" t="inlineStr">
        <is>
          <t>隔日到貨🔥 Airpods 保護貼 防塵貼 1代 2代 3代 4代 pro pro2 金屬磁吸 防塵 除塵</t>
        </is>
      </c>
      <c r="C3129">
        <f>IMAGE("https://cf.shopee.tw/file/sg-11134201-22110-il696jx5nhkv3e_tn")</f>
        <v/>
      </c>
      <c r="D3129" t="inlineStr">
        <is>
          <t>4.土豪金,Pro1代/Pro2代 (通用）</t>
        </is>
      </c>
      <c r="E3129" t="inlineStr">
        <is>
          <t>154269926648</t>
        </is>
      </c>
      <c r="F3129">
        <f>IMAGE("https://cf.shopee.tw/file/7f6a09745dc72e782074a625b9aa4d3d_tn")</f>
        <v/>
      </c>
    </row>
    <row r="3130">
      <c r="A3130" t="inlineStr">
        <is>
          <t>2776832971</t>
        </is>
      </c>
      <c r="B3130" t="inlineStr">
        <is>
          <t>隔日到貨🔥 Airpods 保護貼 防塵貼 1代 2代 3代 4代 pro pro2 金屬磁吸 防塵 除塵</t>
        </is>
      </c>
      <c r="C3130">
        <f>IMAGE("https://cf.shopee.tw/file/sg-11134201-22110-il696jx5nhkv3e_tn")</f>
        <v/>
      </c>
      <c r="D3130" t="inlineStr">
        <is>
          <t>4.土豪金,4代</t>
        </is>
      </c>
      <c r="E3130" t="inlineStr"/>
      <c r="F3130">
        <f>IMAGE("https://cf.shopee.tw/file/7f6a09745dc72e782074a625b9aa4d3d_tn")</f>
        <v/>
      </c>
    </row>
    <row r="3131">
      <c r="A3131" t="inlineStr">
        <is>
          <t>2776832971</t>
        </is>
      </c>
      <c r="B3131" t="inlineStr">
        <is>
          <t>隔日到貨🔥 Airpods 保護貼 防塵貼 1代 2代 3代 4代 pro pro2 金屬磁吸 防塵 除塵</t>
        </is>
      </c>
      <c r="C3131">
        <f>IMAGE("https://cf.shopee.tw/file/sg-11134201-22110-il696jx5nhkv3e_tn")</f>
        <v/>
      </c>
      <c r="D3131" t="inlineStr">
        <is>
          <t>5.寶石藍,1/2代有線充電</t>
        </is>
      </c>
      <c r="E3131" t="inlineStr"/>
      <c r="F3131">
        <f>IMAGE("https://cf.shopee.tw/file/4ed213555ba56fad84d88da6e8afb286_tn")</f>
        <v/>
      </c>
    </row>
    <row r="3132">
      <c r="A3132" t="inlineStr">
        <is>
          <t>2776832971</t>
        </is>
      </c>
      <c r="B3132" t="inlineStr">
        <is>
          <t>隔日到貨🔥 Airpods 保護貼 防塵貼 1代 2代 3代 4代 pro pro2 金屬磁吸 防塵 除塵</t>
        </is>
      </c>
      <c r="C3132">
        <f>IMAGE("https://cf.shopee.tw/file/sg-11134201-22110-il696jx5nhkv3e_tn")</f>
        <v/>
      </c>
      <c r="D3132" t="inlineStr">
        <is>
          <t>5.寶石藍,［3代］</t>
        </is>
      </c>
      <c r="E3132" t="inlineStr"/>
      <c r="F3132">
        <f>IMAGE("https://cf.shopee.tw/file/4ed213555ba56fad84d88da6e8afb286_tn")</f>
        <v/>
      </c>
    </row>
    <row r="3133">
      <c r="A3133" t="inlineStr">
        <is>
          <t>2776832971</t>
        </is>
      </c>
      <c r="B3133" t="inlineStr">
        <is>
          <t>隔日到貨🔥 Airpods 保護貼 防塵貼 1代 2代 3代 4代 pro pro2 金屬磁吸 防塵 除塵</t>
        </is>
      </c>
      <c r="C3133">
        <f>IMAGE("https://cf.shopee.tw/file/sg-11134201-22110-il696jx5nhkv3e_tn")</f>
        <v/>
      </c>
      <c r="D3133" t="inlineStr">
        <is>
          <t>5.寶石藍,Pro1代/Pro2代 (通用）</t>
        </is>
      </c>
      <c r="E3133" t="inlineStr"/>
      <c r="F3133">
        <f>IMAGE("https://cf.shopee.tw/file/4ed213555ba56fad84d88da6e8afb286_tn")</f>
        <v/>
      </c>
    </row>
    <row r="3134">
      <c r="A3134" t="inlineStr">
        <is>
          <t>2776832971</t>
        </is>
      </c>
      <c r="B3134" t="inlineStr">
        <is>
          <t>隔日到貨🔥 Airpods 保護貼 防塵貼 1代 2代 3代 4代 pro pro2 金屬磁吸 防塵 除塵</t>
        </is>
      </c>
      <c r="C3134">
        <f>IMAGE("https://cf.shopee.tw/file/sg-11134201-22110-il696jx5nhkv3e_tn")</f>
        <v/>
      </c>
      <c r="D3134" t="inlineStr">
        <is>
          <t>5.寶石藍,4代</t>
        </is>
      </c>
      <c r="E3134" t="inlineStr"/>
      <c r="F3134">
        <f>IMAGE("https://cf.shopee.tw/file/4ed213555ba56fad84d88da6e8afb286_tn")</f>
        <v/>
      </c>
    </row>
    <row r="3135">
      <c r="A3135" t="inlineStr">
        <is>
          <t>2776832971</t>
        </is>
      </c>
      <c r="B3135" t="inlineStr">
        <is>
          <t>隔日到貨🔥 Airpods 保護貼 防塵貼 1代 2代 3代 4代 pro pro2 金屬磁吸 防塵 除塵</t>
        </is>
      </c>
      <c r="C3135">
        <f>IMAGE("https://cf.shopee.tw/file/sg-11134201-22110-il696jx5nhkv3e_tn")</f>
        <v/>
      </c>
      <c r="D3135" t="inlineStr">
        <is>
          <t>6.銀色,1/2代有線充電</t>
        </is>
      </c>
      <c r="E3135" t="inlineStr"/>
      <c r="F3135">
        <f>IMAGE("https://cf.shopee.tw/file/9af5ff43e545ba922aecb0244c11f3a7_tn")</f>
        <v/>
      </c>
    </row>
    <row r="3136">
      <c r="A3136" t="inlineStr">
        <is>
          <t>2776832971</t>
        </is>
      </c>
      <c r="B3136" t="inlineStr">
        <is>
          <t>隔日到貨🔥 Airpods 保護貼 防塵貼 1代 2代 3代 4代 pro pro2 金屬磁吸 防塵 除塵</t>
        </is>
      </c>
      <c r="C3136">
        <f>IMAGE("https://cf.shopee.tw/file/sg-11134201-22110-il696jx5nhkv3e_tn")</f>
        <v/>
      </c>
      <c r="D3136" t="inlineStr">
        <is>
          <t>6.銀色,Pro1代/Pro2代 (通用）</t>
        </is>
      </c>
      <c r="E3136" t="inlineStr">
        <is>
          <t>144269926814</t>
        </is>
      </c>
      <c r="F3136">
        <f>IMAGE("https://cf.shopee.tw/file/9af5ff43e545ba922aecb0244c11f3a7_tn")</f>
        <v/>
      </c>
    </row>
    <row r="3137">
      <c r="A3137" t="inlineStr">
        <is>
          <t>2776832971</t>
        </is>
      </c>
      <c r="B3137" t="inlineStr">
        <is>
          <t>隔日到貨🔥 Airpods 保護貼 防塵貼 1代 2代 3代 4代 pro pro2 金屬磁吸 防塵 除塵</t>
        </is>
      </c>
      <c r="C3137">
        <f>IMAGE("https://cf.shopee.tw/file/sg-11134201-22110-il696jx5nhkv3e_tn")</f>
        <v/>
      </c>
      <c r="D3137" t="inlineStr">
        <is>
          <t>6.銀色,4代</t>
        </is>
      </c>
      <c r="E3137" t="inlineStr">
        <is>
          <t>166967864503</t>
        </is>
      </c>
      <c r="F3137">
        <f>IMAGE("https://cf.shopee.tw/file/9af5ff43e545ba922aecb0244c11f3a7_tn")</f>
        <v/>
      </c>
    </row>
    <row r="3138">
      <c r="A3138" t="inlineStr">
        <is>
          <t>2776832971</t>
        </is>
      </c>
      <c r="B3138" t="inlineStr">
        <is>
          <t>隔日到貨🔥 Airpods 保護貼 防塵貼 1代 2代 3代 4代 pro pro2 金屬磁吸 防塵 除塵</t>
        </is>
      </c>
      <c r="C3138">
        <f>IMAGE("https://cf.shopee.tw/file/sg-11134201-22110-il696jx5nhkv3e_tn")</f>
        <v/>
      </c>
      <c r="D3138" t="inlineStr">
        <is>
          <t>7.白色,1/2代有線充電</t>
        </is>
      </c>
      <c r="E3138" t="inlineStr">
        <is>
          <t>8889088115</t>
        </is>
      </c>
      <c r="F3138">
        <f>IMAGE("https://cf.shopee.tw/file/1689fa103480072f0abcbea465d967a1_tn")</f>
        <v/>
      </c>
    </row>
    <row r="3139">
      <c r="A3139" t="inlineStr">
        <is>
          <t>2776832971</t>
        </is>
      </c>
      <c r="B3139" t="inlineStr">
        <is>
          <t>隔日到貨🔥 Airpods 保護貼 防塵貼 1代 2代 3代 4代 pro pro2 金屬磁吸 防塵 除塵</t>
        </is>
      </c>
      <c r="C3139">
        <f>IMAGE("https://cf.shopee.tw/file/sg-11134201-22110-il696jx5nhkv3e_tn")</f>
        <v/>
      </c>
      <c r="D3139" t="inlineStr">
        <is>
          <t>7.白色,［3代］</t>
        </is>
      </c>
      <c r="E3139" t="inlineStr"/>
      <c r="F3139">
        <f>IMAGE("https://cf.shopee.tw/file/1689fa103480072f0abcbea465d967a1_tn")</f>
        <v/>
      </c>
    </row>
    <row r="3140">
      <c r="A3140" t="inlineStr">
        <is>
          <t>2776832971</t>
        </is>
      </c>
      <c r="B3140" t="inlineStr">
        <is>
          <t>隔日到貨🔥 Airpods 保護貼 防塵貼 1代 2代 3代 4代 pro pro2 金屬磁吸 防塵 除塵</t>
        </is>
      </c>
      <c r="C3140">
        <f>IMAGE("https://cf.shopee.tw/file/sg-11134201-22110-il696jx5nhkv3e_tn")</f>
        <v/>
      </c>
      <c r="D3140" t="inlineStr">
        <is>
          <t>7.白色,Pro1代/Pro2代 (通用）</t>
        </is>
      </c>
      <c r="E3140" t="inlineStr">
        <is>
          <t>144269926815</t>
        </is>
      </c>
      <c r="F3140">
        <f>IMAGE("https://cf.shopee.tw/file/1689fa103480072f0abcbea465d967a1_tn")</f>
        <v/>
      </c>
    </row>
    <row r="3141">
      <c r="A3141" t="inlineStr">
        <is>
          <t>2776832971</t>
        </is>
      </c>
      <c r="B3141" t="inlineStr">
        <is>
          <t>隔日到貨🔥 Airpods 保護貼 防塵貼 1代 2代 3代 4代 pro pro2 金屬磁吸 防塵 除塵</t>
        </is>
      </c>
      <c r="C3141">
        <f>IMAGE("https://cf.shopee.tw/file/sg-11134201-22110-il696jx5nhkv3e_tn")</f>
        <v/>
      </c>
      <c r="D3141" t="inlineStr">
        <is>
          <t>7.白色,4代</t>
        </is>
      </c>
      <c r="E3141" t="inlineStr">
        <is>
          <t>166967864504</t>
        </is>
      </c>
      <c r="F3141">
        <f>IMAGE("https://cf.shopee.tw/file/1689fa103480072f0abcbea465d967a1_tn")</f>
        <v/>
      </c>
    </row>
    <row r="3142">
      <c r="A3142" t="inlineStr">
        <is>
          <t>3780941103</t>
        </is>
      </c>
      <c r="B3142" t="inlineStr">
        <is>
          <t>隔日到貨🔥 iPhone 手機殼 17 16 15 14 13 12 11 XS XR SE3 X 保護殼 軟殼 蘋果</t>
        </is>
      </c>
      <c r="C3142">
        <f>IMAGE("https://cf.shopee.tw/file/abd1c7f8924fb2dfd32d2bac8381fb13_tn")</f>
        <v/>
      </c>
      <c r="D3142" t="inlineStr">
        <is>
          <t>7 / 8 / SE2 / SE3</t>
        </is>
      </c>
      <c r="E3142" t="inlineStr">
        <is>
          <t>91016805276</t>
        </is>
      </c>
      <c r="F3142">
        <f>IMAGE("https://deo.shopeemobile.com/shopee/shopee-seller-live-sg/mmf_portal_seller_root_dir/static/modules/product-list/image/default-item-model-image.2601159.png")</f>
        <v/>
      </c>
    </row>
    <row r="3143">
      <c r="A3143" t="inlineStr">
        <is>
          <t>3780941103</t>
        </is>
      </c>
      <c r="B3143" t="inlineStr">
        <is>
          <t>隔日到貨🔥 iPhone 手機殼 17 16 15 14 13 12 11 XS XR SE3 X 保護殼 軟殼 蘋果</t>
        </is>
      </c>
      <c r="C3143">
        <f>IMAGE("https://cf.shopee.tw/file/abd1c7f8924fb2dfd32d2bac8381fb13_tn")</f>
        <v/>
      </c>
      <c r="D3143" t="inlineStr">
        <is>
          <t>7plus / 8plus</t>
        </is>
      </c>
      <c r="E3143" t="inlineStr">
        <is>
          <t>91016805277</t>
        </is>
      </c>
      <c r="F3143">
        <f>IMAGE("https://deo.shopeemobile.com/shopee/shopee-seller-live-sg/mmf_portal_seller_root_dir/static/modules/product-list/image/default-item-model-image.2601159.png")</f>
        <v/>
      </c>
    </row>
    <row r="3144">
      <c r="A3144" t="inlineStr">
        <is>
          <t>3780941103</t>
        </is>
      </c>
      <c r="B3144" t="inlineStr">
        <is>
          <t>隔日到貨🔥 iPhone 手機殼 17 16 15 14 13 12 11 XS XR SE3 X 保護殼 軟殼 蘋果</t>
        </is>
      </c>
      <c r="C3144">
        <f>IMAGE("https://cf.shopee.tw/file/abd1c7f8924fb2dfd32d2bac8381fb13_tn")</f>
        <v/>
      </c>
      <c r="D3144" t="inlineStr">
        <is>
          <t>X / XS</t>
        </is>
      </c>
      <c r="E3144" t="inlineStr">
        <is>
          <t>91016805278</t>
        </is>
      </c>
      <c r="F3144">
        <f>IMAGE("https://deo.shopeemobile.com/shopee/shopee-seller-live-sg/mmf_portal_seller_root_dir/static/modules/product-list/image/default-item-model-image.2601159.png")</f>
        <v/>
      </c>
    </row>
    <row r="3145">
      <c r="A3145" t="inlineStr">
        <is>
          <t>3780941103</t>
        </is>
      </c>
      <c r="B3145" t="inlineStr">
        <is>
          <t>隔日到貨🔥 iPhone 手機殼 17 16 15 14 13 12 11 XS XR SE3 X 保護殼 軟殼 蘋果</t>
        </is>
      </c>
      <c r="C3145">
        <f>IMAGE("https://cf.shopee.tw/file/abd1c7f8924fb2dfd32d2bac8381fb13_tn")</f>
        <v/>
      </c>
      <c r="D3145" t="inlineStr">
        <is>
          <t>XR</t>
        </is>
      </c>
      <c r="E3145" t="inlineStr">
        <is>
          <t>91016805284</t>
        </is>
      </c>
      <c r="F3145">
        <f>IMAGE("https://deo.shopeemobile.com/shopee/shopee-seller-live-sg/mmf_portal_seller_root_dir/static/modules/product-list/image/default-item-model-image.2601159.png")</f>
        <v/>
      </c>
    </row>
    <row r="3146">
      <c r="A3146" t="inlineStr">
        <is>
          <t>3780941103</t>
        </is>
      </c>
      <c r="B3146" t="inlineStr">
        <is>
          <t>隔日到貨🔥 iPhone 手機殼 17 16 15 14 13 12 11 XS XR SE3 X 保護殼 軟殼 蘋果</t>
        </is>
      </c>
      <c r="C3146">
        <f>IMAGE("https://cf.shopee.tw/file/abd1c7f8924fb2dfd32d2bac8381fb13_tn")</f>
        <v/>
      </c>
      <c r="D3146" t="inlineStr">
        <is>
          <t>XS Max</t>
        </is>
      </c>
      <c r="E3146" t="inlineStr">
        <is>
          <t>91016805285</t>
        </is>
      </c>
      <c r="F3146">
        <f>IMAGE("https://deo.shopeemobile.com/shopee/shopee-seller-live-sg/mmf_portal_seller_root_dir/static/modules/product-list/image/default-item-model-image.2601159.png")</f>
        <v/>
      </c>
    </row>
    <row r="3147">
      <c r="A3147" t="inlineStr">
        <is>
          <t>3780941103</t>
        </is>
      </c>
      <c r="B3147" t="inlineStr">
        <is>
          <t>隔日到貨🔥 iPhone 手機殼 17 16 15 14 13 12 11 XS XR SE3 X 保護殼 軟殼 蘋果</t>
        </is>
      </c>
      <c r="C3147">
        <f>IMAGE("https://cf.shopee.tw/file/abd1c7f8924fb2dfd32d2bac8381fb13_tn")</f>
        <v/>
      </c>
      <c r="D3147" t="inlineStr">
        <is>
          <t>11</t>
        </is>
      </c>
      <c r="E3147" t="inlineStr">
        <is>
          <t>91016805279</t>
        </is>
      </c>
      <c r="F3147">
        <f>IMAGE("https://deo.shopeemobile.com/shopee/shopee-seller-live-sg/mmf_portal_seller_root_dir/static/modules/product-list/image/default-item-model-image.2601159.png")</f>
        <v/>
      </c>
    </row>
    <row r="3148">
      <c r="A3148" t="inlineStr">
        <is>
          <t>3780941103</t>
        </is>
      </c>
      <c r="B3148" t="inlineStr">
        <is>
          <t>隔日到貨🔥 iPhone 手機殼 17 16 15 14 13 12 11 XS XR SE3 X 保護殼 軟殼 蘋果</t>
        </is>
      </c>
      <c r="C3148">
        <f>IMAGE("https://cf.shopee.tw/file/abd1c7f8924fb2dfd32d2bac8381fb13_tn")</f>
        <v/>
      </c>
      <c r="D3148" t="inlineStr">
        <is>
          <t>11 pro</t>
        </is>
      </c>
      <c r="E3148" t="inlineStr">
        <is>
          <t>91016805286</t>
        </is>
      </c>
      <c r="F3148">
        <f>IMAGE("https://deo.shopeemobile.com/shopee/shopee-seller-live-sg/mmf_portal_seller_root_dir/static/modules/product-list/image/default-item-model-image.2601159.png")</f>
        <v/>
      </c>
    </row>
    <row r="3149">
      <c r="A3149" t="inlineStr">
        <is>
          <t>3780941103</t>
        </is>
      </c>
      <c r="B3149" t="inlineStr">
        <is>
          <t>隔日到貨🔥 iPhone 手機殼 17 16 15 14 13 12 11 XS XR SE3 X 保護殼 軟殼 蘋果</t>
        </is>
      </c>
      <c r="C3149">
        <f>IMAGE("https://cf.shopee.tw/file/abd1c7f8924fb2dfd32d2bac8381fb13_tn")</f>
        <v/>
      </c>
      <c r="D3149" t="inlineStr">
        <is>
          <t>11 pro Max</t>
        </is>
      </c>
      <c r="E3149" t="inlineStr">
        <is>
          <t>91016805280</t>
        </is>
      </c>
      <c r="F3149">
        <f>IMAGE("https://deo.shopeemobile.com/shopee/shopee-seller-live-sg/mmf_portal_seller_root_dir/static/modules/product-list/image/default-item-model-image.2601159.png")</f>
        <v/>
      </c>
    </row>
    <row r="3150">
      <c r="A3150" t="inlineStr">
        <is>
          <t>3780941103</t>
        </is>
      </c>
      <c r="B3150" t="inlineStr">
        <is>
          <t>隔日到貨🔥 iPhone 手機殼 17 16 15 14 13 12 11 XS XR SE3 X 保護殼 軟殼 蘋果</t>
        </is>
      </c>
      <c r="C3150">
        <f>IMAGE("https://cf.shopee.tw/file/abd1c7f8924fb2dfd32d2bac8381fb13_tn")</f>
        <v/>
      </c>
      <c r="D3150" t="inlineStr">
        <is>
          <t>12</t>
        </is>
      </c>
      <c r="E3150" t="inlineStr">
        <is>
          <t>91016805281</t>
        </is>
      </c>
      <c r="F3150">
        <f>IMAGE("https://deo.shopeemobile.com/shopee/shopee-seller-live-sg/mmf_portal_seller_root_dir/static/modules/product-list/image/default-item-model-image.2601159.png")</f>
        <v/>
      </c>
    </row>
    <row r="3151">
      <c r="A3151" t="inlineStr">
        <is>
          <t>3780941103</t>
        </is>
      </c>
      <c r="B3151" t="inlineStr">
        <is>
          <t>隔日到貨🔥 iPhone 手機殼 17 16 15 14 13 12 11 XS XR SE3 X 保護殼 軟殼 蘋果</t>
        </is>
      </c>
      <c r="C3151">
        <f>IMAGE("https://cf.shopee.tw/file/abd1c7f8924fb2dfd32d2bac8381fb13_tn")</f>
        <v/>
      </c>
      <c r="D3151" t="inlineStr">
        <is>
          <t>12 pro</t>
        </is>
      </c>
      <c r="E3151" t="inlineStr">
        <is>
          <t>91016805282</t>
        </is>
      </c>
      <c r="F3151">
        <f>IMAGE("https://deo.shopeemobile.com/shopee/shopee-seller-live-sg/mmf_portal_seller_root_dir/static/modules/product-list/image/default-item-model-image.2601159.png")</f>
        <v/>
      </c>
    </row>
    <row r="3152">
      <c r="A3152" t="inlineStr">
        <is>
          <t>3780941103</t>
        </is>
      </c>
      <c r="B3152" t="inlineStr">
        <is>
          <t>隔日到貨🔥 iPhone 手機殼 17 16 15 14 13 12 11 XS XR SE3 X 保護殼 軟殼 蘋果</t>
        </is>
      </c>
      <c r="C3152">
        <f>IMAGE("https://cf.shopee.tw/file/abd1c7f8924fb2dfd32d2bac8381fb13_tn")</f>
        <v/>
      </c>
      <c r="D3152" t="inlineStr">
        <is>
          <t>12 mini</t>
        </is>
      </c>
      <c r="E3152" t="inlineStr"/>
      <c r="F3152">
        <f>IMAGE("https://deo.shopeemobile.com/shopee/shopee-seller-live-sg/mmf_portal_seller_root_dir/static/modules/product-list/image/default-item-model-image.2601159.png")</f>
        <v/>
      </c>
    </row>
    <row r="3153">
      <c r="A3153" t="inlineStr">
        <is>
          <t>3780941103</t>
        </is>
      </c>
      <c r="B3153" t="inlineStr">
        <is>
          <t>隔日到貨🔥 iPhone 手機殼 17 16 15 14 13 12 11 XS XR SE3 X 保護殼 軟殼 蘋果</t>
        </is>
      </c>
      <c r="C3153">
        <f>IMAGE("https://cf.shopee.tw/file/abd1c7f8924fb2dfd32d2bac8381fb13_tn")</f>
        <v/>
      </c>
      <c r="D3153" t="inlineStr">
        <is>
          <t>12 pro Max</t>
        </is>
      </c>
      <c r="E3153" t="inlineStr">
        <is>
          <t>91016805283</t>
        </is>
      </c>
      <c r="F3153">
        <f>IMAGE("https://deo.shopeemobile.com/shopee/shopee-seller-live-sg/mmf_portal_seller_root_dir/static/modules/product-list/image/default-item-model-image.2601159.png")</f>
        <v/>
      </c>
    </row>
    <row r="3154">
      <c r="A3154" t="inlineStr">
        <is>
          <t>3780941103</t>
        </is>
      </c>
      <c r="B3154" t="inlineStr">
        <is>
          <t>隔日到貨🔥 iPhone 手機殼 17 16 15 14 13 12 11 XS XR SE3 X 保護殼 軟殼 蘋果</t>
        </is>
      </c>
      <c r="C3154">
        <f>IMAGE("https://cf.shopee.tw/file/abd1c7f8924fb2dfd32d2bac8381fb13_tn")</f>
        <v/>
      </c>
      <c r="D3154" t="inlineStr">
        <is>
          <t>13</t>
        </is>
      </c>
      <c r="E3154" t="inlineStr">
        <is>
          <t>130936343824</t>
        </is>
      </c>
      <c r="F3154">
        <f>IMAGE("https://deo.shopeemobile.com/shopee/shopee-seller-live-sg/mmf_portal_seller_root_dir/static/modules/product-list/image/default-item-model-image.2601159.png")</f>
        <v/>
      </c>
    </row>
    <row r="3155">
      <c r="A3155" t="inlineStr">
        <is>
          <t>3780941103</t>
        </is>
      </c>
      <c r="B3155" t="inlineStr">
        <is>
          <t>隔日到貨🔥 iPhone 手機殼 17 16 15 14 13 12 11 XS XR SE3 X 保護殼 軟殼 蘋果</t>
        </is>
      </c>
      <c r="C3155">
        <f>IMAGE("https://cf.shopee.tw/file/abd1c7f8924fb2dfd32d2bac8381fb13_tn")</f>
        <v/>
      </c>
      <c r="D3155" t="inlineStr">
        <is>
          <t>13 pro</t>
        </is>
      </c>
      <c r="E3155" t="inlineStr">
        <is>
          <t>130936343822</t>
        </is>
      </c>
      <c r="F3155">
        <f>IMAGE("https://deo.shopeemobile.com/shopee/shopee-seller-live-sg/mmf_portal_seller_root_dir/static/modules/product-list/image/default-item-model-image.2601159.png")</f>
        <v/>
      </c>
    </row>
    <row r="3156">
      <c r="A3156" t="inlineStr">
        <is>
          <t>3780941103</t>
        </is>
      </c>
      <c r="B3156" t="inlineStr">
        <is>
          <t>隔日到貨🔥 iPhone 手機殼 17 16 15 14 13 12 11 XS XR SE3 X 保護殼 軟殼 蘋果</t>
        </is>
      </c>
      <c r="C3156">
        <f>IMAGE("https://cf.shopee.tw/file/abd1c7f8924fb2dfd32d2bac8381fb13_tn")</f>
        <v/>
      </c>
      <c r="D3156" t="inlineStr">
        <is>
          <t>13 pro Max</t>
        </is>
      </c>
      <c r="E3156" t="inlineStr"/>
      <c r="F3156">
        <f>IMAGE("https://deo.shopeemobile.com/shopee/shopee-seller-live-sg/mmf_portal_seller_root_dir/static/modules/product-list/image/default-item-model-image.2601159.png")</f>
        <v/>
      </c>
    </row>
    <row r="3157">
      <c r="A3157" t="inlineStr">
        <is>
          <t>3780941103</t>
        </is>
      </c>
      <c r="B3157" t="inlineStr">
        <is>
          <t>隔日到貨🔥 iPhone 手機殼 17 16 15 14 13 12 11 XS XR SE3 X 保護殼 軟殼 蘋果</t>
        </is>
      </c>
      <c r="C3157">
        <f>IMAGE("https://cf.shopee.tw/file/abd1c7f8924fb2dfd32d2bac8381fb13_tn")</f>
        <v/>
      </c>
      <c r="D3157" t="inlineStr">
        <is>
          <t>13 mini</t>
        </is>
      </c>
      <c r="E3157" t="inlineStr">
        <is>
          <t>128601161259</t>
        </is>
      </c>
      <c r="F3157">
        <f>IMAGE("https://deo.shopeemobile.com/shopee/shopee-seller-live-sg/mmf_portal_seller_root_dir/static/modules/product-list/image/default-item-model-image.2601159.png")</f>
        <v/>
      </c>
    </row>
    <row r="3158">
      <c r="A3158" t="inlineStr">
        <is>
          <t>3780941103</t>
        </is>
      </c>
      <c r="B3158" t="inlineStr">
        <is>
          <t>隔日到貨🔥 iPhone 手機殼 17 16 15 14 13 12 11 XS XR SE3 X 保護殼 軟殼 蘋果</t>
        </is>
      </c>
      <c r="C3158">
        <f>IMAGE("https://cf.shopee.tw/file/abd1c7f8924fb2dfd32d2bac8381fb13_tn")</f>
        <v/>
      </c>
      <c r="D3158" t="inlineStr">
        <is>
          <t>14</t>
        </is>
      </c>
      <c r="E3158" t="inlineStr">
        <is>
          <t>212674833277</t>
        </is>
      </c>
      <c r="F3158">
        <f>IMAGE("https://deo.shopeemobile.com/shopee/shopee-seller-live-sg/mmf_portal_seller_root_dir/static/modules/product-list/image/default-item-model-image.2601159.png")</f>
        <v/>
      </c>
    </row>
    <row r="3159">
      <c r="A3159" t="inlineStr">
        <is>
          <t>3780941103</t>
        </is>
      </c>
      <c r="B3159" t="inlineStr">
        <is>
          <t>隔日到貨🔥 iPhone 手機殼 17 16 15 14 13 12 11 XS XR SE3 X 保護殼 軟殼 蘋果</t>
        </is>
      </c>
      <c r="C3159">
        <f>IMAGE("https://cf.shopee.tw/file/abd1c7f8924fb2dfd32d2bac8381fb13_tn")</f>
        <v/>
      </c>
      <c r="D3159" t="inlineStr">
        <is>
          <t>14 Plus</t>
        </is>
      </c>
      <c r="E3159" t="inlineStr"/>
      <c r="F3159">
        <f>IMAGE("https://deo.shopeemobile.com/shopee/shopee-seller-live-sg/mmf_portal_seller_root_dir/static/modules/product-list/image/default-item-model-image.2601159.png")</f>
        <v/>
      </c>
    </row>
    <row r="3160">
      <c r="A3160" t="inlineStr">
        <is>
          <t>3780941103</t>
        </is>
      </c>
      <c r="B3160" t="inlineStr">
        <is>
          <t>隔日到貨🔥 iPhone 手機殼 17 16 15 14 13 12 11 XS XR SE3 X 保護殼 軟殼 蘋果</t>
        </is>
      </c>
      <c r="C3160">
        <f>IMAGE("https://cf.shopee.tw/file/abd1c7f8924fb2dfd32d2bac8381fb13_tn")</f>
        <v/>
      </c>
      <c r="D3160" t="inlineStr">
        <is>
          <t>14 pro</t>
        </is>
      </c>
      <c r="E3160" t="inlineStr">
        <is>
          <t>212674833275</t>
        </is>
      </c>
      <c r="F3160">
        <f>IMAGE("https://deo.shopeemobile.com/shopee/shopee-seller-live-sg/mmf_portal_seller_root_dir/static/modules/product-list/image/default-item-model-image.2601159.png")</f>
        <v/>
      </c>
    </row>
    <row r="3161">
      <c r="A3161" t="inlineStr">
        <is>
          <t>3780941103</t>
        </is>
      </c>
      <c r="B3161" t="inlineStr">
        <is>
          <t>隔日到貨🔥 iPhone 手機殼 17 16 15 14 13 12 11 XS XR SE3 X 保護殼 軟殼 蘋果</t>
        </is>
      </c>
      <c r="C3161">
        <f>IMAGE("https://cf.shopee.tw/file/abd1c7f8924fb2dfd32d2bac8381fb13_tn")</f>
        <v/>
      </c>
      <c r="D3161" t="inlineStr">
        <is>
          <t>14 pro Max</t>
        </is>
      </c>
      <c r="E3161" t="inlineStr"/>
      <c r="F3161">
        <f>IMAGE("https://deo.shopeemobile.com/shopee/shopee-seller-live-sg/mmf_portal_seller_root_dir/static/modules/product-list/image/default-item-model-image.2601159.png")</f>
        <v/>
      </c>
    </row>
    <row r="3162">
      <c r="A3162" t="inlineStr">
        <is>
          <t>3780941103</t>
        </is>
      </c>
      <c r="B3162" t="inlineStr">
        <is>
          <t>隔日到貨🔥 iPhone 手機殼 17 16 15 14 13 12 11 XS XR SE3 X 保護殼 軟殼 蘋果</t>
        </is>
      </c>
      <c r="C3162">
        <f>IMAGE("https://cf.shopee.tw/file/abd1c7f8924fb2dfd32d2bac8381fb13_tn")</f>
        <v/>
      </c>
      <c r="D3162" t="inlineStr">
        <is>
          <t>15</t>
        </is>
      </c>
      <c r="E3162" t="inlineStr">
        <is>
          <t>147018857556</t>
        </is>
      </c>
      <c r="F3162">
        <f>IMAGE("https://deo.shopeemobile.com/shopee/shopee-seller-live-sg/mmf_portal_seller_root_dir/static/modules/product-list/image/default-item-model-image.2601159.png")</f>
        <v/>
      </c>
    </row>
    <row r="3163">
      <c r="A3163" t="inlineStr">
        <is>
          <t>3780941103</t>
        </is>
      </c>
      <c r="B3163" t="inlineStr">
        <is>
          <t>隔日到貨🔥 iPhone 手機殼 17 16 15 14 13 12 11 XS XR SE3 X 保護殼 軟殼 蘋果</t>
        </is>
      </c>
      <c r="C3163">
        <f>IMAGE("https://cf.shopee.tw/file/abd1c7f8924fb2dfd32d2bac8381fb13_tn")</f>
        <v/>
      </c>
      <c r="D3163" t="inlineStr">
        <is>
          <t>15 Plus</t>
        </is>
      </c>
      <c r="E3163" t="inlineStr">
        <is>
          <t>147018857554</t>
        </is>
      </c>
      <c r="F3163">
        <f>IMAGE("https://deo.shopeemobile.com/shopee/shopee-seller-live-sg/mmf_portal_seller_root_dir/static/modules/product-list/image/default-item-model-image.2601159.png")</f>
        <v/>
      </c>
    </row>
    <row r="3164">
      <c r="A3164" t="inlineStr">
        <is>
          <t>3780941103</t>
        </is>
      </c>
      <c r="B3164" t="inlineStr">
        <is>
          <t>隔日到貨🔥 iPhone 手機殼 17 16 15 14 13 12 11 XS XR SE3 X 保護殼 軟殼 蘋果</t>
        </is>
      </c>
      <c r="C3164">
        <f>IMAGE("https://cf.shopee.tw/file/abd1c7f8924fb2dfd32d2bac8381fb13_tn")</f>
        <v/>
      </c>
      <c r="D3164" t="inlineStr">
        <is>
          <t>15 pro</t>
        </is>
      </c>
      <c r="E3164" t="inlineStr">
        <is>
          <t>147018857555</t>
        </is>
      </c>
      <c r="F3164">
        <f>IMAGE("https://deo.shopeemobile.com/shopee/shopee-seller-live-sg/mmf_portal_seller_root_dir/static/modules/product-list/image/default-item-model-image.2601159.png")</f>
        <v/>
      </c>
    </row>
    <row r="3165">
      <c r="A3165" t="inlineStr">
        <is>
          <t>3780941103</t>
        </is>
      </c>
      <c r="B3165" t="inlineStr">
        <is>
          <t>隔日到貨🔥 iPhone 手機殼 17 16 15 14 13 12 11 XS XR SE3 X 保護殼 軟殼 蘋果</t>
        </is>
      </c>
      <c r="C3165">
        <f>IMAGE("https://cf.shopee.tw/file/abd1c7f8924fb2dfd32d2bac8381fb13_tn")</f>
        <v/>
      </c>
      <c r="D3165" t="inlineStr">
        <is>
          <t>15 pro Max</t>
        </is>
      </c>
      <c r="E3165" t="inlineStr"/>
      <c r="F3165">
        <f>IMAGE("https://deo.shopeemobile.com/shopee/shopee-seller-live-sg/mmf_portal_seller_root_dir/static/modules/product-list/image/default-item-model-image.2601159.png")</f>
        <v/>
      </c>
    </row>
    <row r="3166">
      <c r="A3166" t="inlineStr">
        <is>
          <t>3780941103</t>
        </is>
      </c>
      <c r="B3166" t="inlineStr">
        <is>
          <t>隔日到貨🔥 iPhone 手機殼 17 16 15 14 13 12 11 XS XR SE3 X 保護殼 軟殼 蘋果</t>
        </is>
      </c>
      <c r="C3166">
        <f>IMAGE("https://cf.shopee.tw/file/abd1c7f8924fb2dfd32d2bac8381fb13_tn")</f>
        <v/>
      </c>
      <c r="D3166" t="inlineStr">
        <is>
          <t>16</t>
        </is>
      </c>
      <c r="E3166" t="inlineStr">
        <is>
          <t>246753687500</t>
        </is>
      </c>
      <c r="F3166">
        <f>IMAGE("https://deo.shopeemobile.com/shopee/shopee-seller-live-sg/mmf_portal_seller_root_dir/static/modules/product-list/image/default-item-model-image.2601159.png")</f>
        <v/>
      </c>
    </row>
    <row r="3167">
      <c r="A3167" t="inlineStr">
        <is>
          <t>3780941103</t>
        </is>
      </c>
      <c r="B3167" t="inlineStr">
        <is>
          <t>隔日到貨🔥 iPhone 手機殼 17 16 15 14 13 12 11 XS XR SE3 X 保護殼 軟殼 蘋果</t>
        </is>
      </c>
      <c r="C3167">
        <f>IMAGE("https://cf.shopee.tw/file/abd1c7f8924fb2dfd32d2bac8381fb13_tn")</f>
        <v/>
      </c>
      <c r="D3167" t="inlineStr">
        <is>
          <t>16 Plus</t>
        </is>
      </c>
      <c r="E3167" t="inlineStr"/>
      <c r="F3167">
        <f>IMAGE("https://deo.shopeemobile.com/shopee/shopee-seller-live-sg/mmf_portal_seller_root_dir/static/modules/product-list/image/default-item-model-image.2601159.png")</f>
        <v/>
      </c>
    </row>
    <row r="3168">
      <c r="A3168" t="inlineStr">
        <is>
          <t>3780941103</t>
        </is>
      </c>
      <c r="B3168" t="inlineStr">
        <is>
          <t>隔日到貨🔥 iPhone 手機殼 17 16 15 14 13 12 11 XS XR SE3 X 保護殼 軟殼 蘋果</t>
        </is>
      </c>
      <c r="C3168">
        <f>IMAGE("https://cf.shopee.tw/file/abd1c7f8924fb2dfd32d2bac8381fb13_tn")</f>
        <v/>
      </c>
      <c r="D3168" t="inlineStr">
        <is>
          <t>16 pro</t>
        </is>
      </c>
      <c r="E3168" t="inlineStr">
        <is>
          <t>217868728878</t>
        </is>
      </c>
      <c r="F3168">
        <f>IMAGE("https://deo.shopeemobile.com/shopee/shopee-seller-live-sg/mmf_portal_seller_root_dir/static/modules/product-list/image/default-item-model-image.2601159.png")</f>
        <v/>
      </c>
    </row>
    <row r="3169">
      <c r="A3169" t="inlineStr">
        <is>
          <t>3780941103</t>
        </is>
      </c>
      <c r="B3169" t="inlineStr">
        <is>
          <t>隔日到貨🔥 iPhone 手機殼 17 16 15 14 13 12 11 XS XR SE3 X 保護殼 軟殼 蘋果</t>
        </is>
      </c>
      <c r="C3169">
        <f>IMAGE("https://cf.shopee.tw/file/abd1c7f8924fb2dfd32d2bac8381fb13_tn")</f>
        <v/>
      </c>
      <c r="D3169" t="inlineStr">
        <is>
          <t>16 pro Max</t>
        </is>
      </c>
      <c r="E3169" t="inlineStr">
        <is>
          <t>217868728879</t>
        </is>
      </c>
      <c r="F3169">
        <f>IMAGE("https://deo.shopeemobile.com/shopee/shopee-seller-live-sg/mmf_portal_seller_root_dir/static/modules/product-list/image/default-item-model-image.2601159.png")</f>
        <v/>
      </c>
    </row>
    <row r="3170">
      <c r="A3170" t="inlineStr">
        <is>
          <t>3780941103</t>
        </is>
      </c>
      <c r="B3170" t="inlineStr">
        <is>
          <t>隔日到貨🔥 iPhone 手機殼 17 16 15 14 13 12 11 XS XR SE3 X 保護殼 軟殼 蘋果</t>
        </is>
      </c>
      <c r="C3170">
        <f>IMAGE("https://cf.shopee.tw/file/abd1c7f8924fb2dfd32d2bac8381fb13_tn")</f>
        <v/>
      </c>
      <c r="D3170" t="inlineStr">
        <is>
          <t>17</t>
        </is>
      </c>
      <c r="E3170" t="inlineStr">
        <is>
          <t>430093181505</t>
        </is>
      </c>
      <c r="F3170">
        <f>IMAGE("https://deo.shopeemobile.com/shopee/shopee-seller-live-sg/mmf_portal_seller_root_dir/static/modules/product-list/image/default-item-model-image.2601159.png")</f>
        <v/>
      </c>
    </row>
    <row r="3171">
      <c r="A3171" t="inlineStr">
        <is>
          <t>3780941103</t>
        </is>
      </c>
      <c r="B3171" t="inlineStr">
        <is>
          <t>隔日到貨🔥 iPhone 手機殼 17 16 15 14 13 12 11 XS XR SE3 X 保護殼 軟殼 蘋果</t>
        </is>
      </c>
      <c r="C3171">
        <f>IMAGE("https://cf.shopee.tw/file/abd1c7f8924fb2dfd32d2bac8381fb13_tn")</f>
        <v/>
      </c>
      <c r="D3171" t="inlineStr">
        <is>
          <t>17pro</t>
        </is>
      </c>
      <c r="E3171" t="inlineStr">
        <is>
          <t>430093181506</t>
        </is>
      </c>
      <c r="F3171">
        <f>IMAGE("https://deo.shopeemobile.com/shopee/shopee-seller-live-sg/mmf_portal_seller_root_dir/static/modules/product-list/image/default-item-model-image.2601159.png")</f>
        <v/>
      </c>
    </row>
    <row r="3172">
      <c r="A3172" t="inlineStr">
        <is>
          <t>3780941103</t>
        </is>
      </c>
      <c r="B3172" t="inlineStr">
        <is>
          <t>隔日到貨🔥 iPhone 手機殼 17 16 15 14 13 12 11 XS XR SE3 X 保護殼 軟殼 蘋果</t>
        </is>
      </c>
      <c r="C3172">
        <f>IMAGE("https://cf.shopee.tw/file/abd1c7f8924fb2dfd32d2bac8381fb13_tn")</f>
        <v/>
      </c>
      <c r="D3172" t="inlineStr">
        <is>
          <t>17 pro Max</t>
        </is>
      </c>
      <c r="E3172" t="inlineStr">
        <is>
          <t>430093181507</t>
        </is>
      </c>
      <c r="F3172">
        <f>IMAGE("https://deo.shopeemobile.com/shopee/shopee-seller-live-sg/mmf_portal_seller_root_dir/static/modules/product-list/image/default-item-model-image.2601159.png")</f>
        <v/>
      </c>
    </row>
    <row r="3173">
      <c r="A3173" t="inlineStr">
        <is>
          <t>3780941103</t>
        </is>
      </c>
      <c r="B3173" t="inlineStr">
        <is>
          <t>隔日到貨🔥 iPhone 手機殼 17 16 15 14 13 12 11 XS XR SE3 X 保護殼 軟殼 蘋果</t>
        </is>
      </c>
      <c r="C3173">
        <f>IMAGE("https://cf.shopee.tw/file/abd1c7f8924fb2dfd32d2bac8381fb13_tn")</f>
        <v/>
      </c>
      <c r="D3173" t="inlineStr">
        <is>
          <t>17 Air</t>
        </is>
      </c>
      <c r="E3173" t="inlineStr"/>
      <c r="F3173">
        <f>IMAGE("https://deo.shopeemobile.com/shopee/shopee-seller-live-sg/mmf_portal_seller_root_dir/static/modules/product-list/image/default-item-model-image.2601159.png")</f>
        <v/>
      </c>
    </row>
    <row r="3174">
      <c r="A3174" t="inlineStr">
        <is>
          <t>9839519962</t>
        </is>
      </c>
      <c r="B3174" t="inlineStr">
        <is>
          <t>隔日到貨🔥 iPhone 手機殼 17 16 15 14 13 12 11 pro Max X XR SE 保護殼 軟殼</t>
        </is>
      </c>
      <c r="C3174">
        <f>IMAGE("https://cf.shopee.tw/file/99637838fd5f6b08b28ce50ad2cf9033_tn")</f>
        <v/>
      </c>
      <c r="D3174" t="inlineStr">
        <is>
          <t>文藝標籤,14 Plus</t>
        </is>
      </c>
      <c r="E3174" t="inlineStr">
        <is>
          <t>117445302543</t>
        </is>
      </c>
      <c r="F3174">
        <f>IMAGE("https://cf.shopee.tw/file/99637838fd5f6b08b28ce50ad2cf9033_tn")</f>
        <v/>
      </c>
    </row>
    <row r="3175">
      <c r="A3175" t="inlineStr">
        <is>
          <t>9839519962</t>
        </is>
      </c>
      <c r="B3175" t="inlineStr">
        <is>
          <t>隔日到貨🔥 iPhone 手機殼 17 16 15 14 13 12 11 pro Max X XR SE 保護殼 軟殼</t>
        </is>
      </c>
      <c r="C3175">
        <f>IMAGE("https://cf.shopee.tw/file/99637838fd5f6b08b28ce50ad2cf9033_tn")</f>
        <v/>
      </c>
      <c r="D3175" t="inlineStr">
        <is>
          <t>文藝標籤,7 / 8 / SE2 / SE3</t>
        </is>
      </c>
      <c r="E3175" t="inlineStr">
        <is>
          <t>64739840995</t>
        </is>
      </c>
      <c r="F3175">
        <f>IMAGE("https://cf.shopee.tw/file/99637838fd5f6b08b28ce50ad2cf9033_tn")</f>
        <v/>
      </c>
    </row>
    <row r="3176">
      <c r="A3176" t="inlineStr">
        <is>
          <t>9839519962</t>
        </is>
      </c>
      <c r="B3176" t="inlineStr">
        <is>
          <t>隔日到貨🔥 iPhone 手機殼 17 16 15 14 13 12 11 pro Max X XR SE 保護殼 軟殼</t>
        </is>
      </c>
      <c r="C3176">
        <f>IMAGE("https://cf.shopee.tw/file/99637838fd5f6b08b28ce50ad2cf9033_tn")</f>
        <v/>
      </c>
      <c r="D3176" t="inlineStr">
        <is>
          <t>文藝標籤,7plus / 8plus</t>
        </is>
      </c>
      <c r="E3176" t="inlineStr">
        <is>
          <t>64739840994</t>
        </is>
      </c>
      <c r="F3176">
        <f>IMAGE("https://cf.shopee.tw/file/99637838fd5f6b08b28ce50ad2cf9033_tn")</f>
        <v/>
      </c>
    </row>
    <row r="3177">
      <c r="A3177" t="inlineStr">
        <is>
          <t>9839519962</t>
        </is>
      </c>
      <c r="B3177" t="inlineStr">
        <is>
          <t>隔日到貨🔥 iPhone 手機殼 17 16 15 14 13 12 11 pro Max X XR SE 保護殼 軟殼</t>
        </is>
      </c>
      <c r="C3177">
        <f>IMAGE("https://cf.shopee.tw/file/99637838fd5f6b08b28ce50ad2cf9033_tn")</f>
        <v/>
      </c>
      <c r="D3177" t="inlineStr">
        <is>
          <t>文藝標籤,X/XS</t>
        </is>
      </c>
      <c r="E3177" t="inlineStr">
        <is>
          <t>64739840988</t>
        </is>
      </c>
      <c r="F3177">
        <f>IMAGE("https://cf.shopee.tw/file/99637838fd5f6b08b28ce50ad2cf9033_tn")</f>
        <v/>
      </c>
    </row>
    <row r="3178">
      <c r="A3178" t="inlineStr">
        <is>
          <t>9839519962</t>
        </is>
      </c>
      <c r="B3178" t="inlineStr">
        <is>
          <t>隔日到貨🔥 iPhone 手機殼 17 16 15 14 13 12 11 pro Max X XR SE 保護殼 軟殼</t>
        </is>
      </c>
      <c r="C3178">
        <f>IMAGE("https://cf.shopee.tw/file/99637838fd5f6b08b28ce50ad2cf9033_tn")</f>
        <v/>
      </c>
      <c r="D3178" t="inlineStr">
        <is>
          <t>文藝標籤,XR</t>
        </is>
      </c>
      <c r="E3178" t="inlineStr">
        <is>
          <t>64739840989</t>
        </is>
      </c>
      <c r="F3178">
        <f>IMAGE("https://cf.shopee.tw/file/99637838fd5f6b08b28ce50ad2cf9033_tn")</f>
        <v/>
      </c>
    </row>
    <row r="3179">
      <c r="A3179" t="inlineStr">
        <is>
          <t>9839519962</t>
        </is>
      </c>
      <c r="B3179" t="inlineStr">
        <is>
          <t>隔日到貨🔥 iPhone 手機殼 17 16 15 14 13 12 11 pro Max X XR SE 保護殼 軟殼</t>
        </is>
      </c>
      <c r="C3179">
        <f>IMAGE("https://cf.shopee.tw/file/99637838fd5f6b08b28ce50ad2cf9033_tn")</f>
        <v/>
      </c>
      <c r="D3179" t="inlineStr">
        <is>
          <t>文藝標籤,XS Max</t>
        </is>
      </c>
      <c r="E3179" t="inlineStr">
        <is>
          <t>45166846146</t>
        </is>
      </c>
      <c r="F3179">
        <f>IMAGE("https://cf.shopee.tw/file/99637838fd5f6b08b28ce50ad2cf9033_tn")</f>
        <v/>
      </c>
    </row>
    <row r="3180">
      <c r="A3180" t="inlineStr">
        <is>
          <t>9839519962</t>
        </is>
      </c>
      <c r="B3180" t="inlineStr">
        <is>
          <t>隔日到貨🔥 iPhone 手機殼 17 16 15 14 13 12 11 pro Max X XR SE 保護殼 軟殼</t>
        </is>
      </c>
      <c r="C3180">
        <f>IMAGE("https://cf.shopee.tw/file/99637838fd5f6b08b28ce50ad2cf9033_tn")</f>
        <v/>
      </c>
      <c r="D3180" t="inlineStr">
        <is>
          <t>文藝標籤,11</t>
        </is>
      </c>
      <c r="E3180" t="inlineStr">
        <is>
          <t>64739840990</t>
        </is>
      </c>
      <c r="F3180">
        <f>IMAGE("https://cf.shopee.tw/file/99637838fd5f6b08b28ce50ad2cf9033_tn")</f>
        <v/>
      </c>
    </row>
    <row r="3181">
      <c r="A3181" t="inlineStr">
        <is>
          <t>9839519962</t>
        </is>
      </c>
      <c r="B3181" t="inlineStr">
        <is>
          <t>隔日到貨🔥 iPhone 手機殼 17 16 15 14 13 12 11 pro Max X XR SE 保護殼 軟殼</t>
        </is>
      </c>
      <c r="C3181">
        <f>IMAGE("https://cf.shopee.tw/file/99637838fd5f6b08b28ce50ad2cf9033_tn")</f>
        <v/>
      </c>
      <c r="D3181" t="inlineStr">
        <is>
          <t>文藝標籤,11 Pro</t>
        </is>
      </c>
      <c r="E3181" t="inlineStr">
        <is>
          <t>66711505414</t>
        </is>
      </c>
      <c r="F3181">
        <f>IMAGE("https://cf.shopee.tw/file/99637838fd5f6b08b28ce50ad2cf9033_tn")</f>
        <v/>
      </c>
    </row>
    <row r="3182">
      <c r="A3182" t="inlineStr">
        <is>
          <t>9839519962</t>
        </is>
      </c>
      <c r="B3182" t="inlineStr">
        <is>
          <t>隔日到貨🔥 iPhone 手機殼 17 16 15 14 13 12 11 pro Max X XR SE 保護殼 軟殼</t>
        </is>
      </c>
      <c r="C3182">
        <f>IMAGE("https://cf.shopee.tw/file/99637838fd5f6b08b28ce50ad2cf9033_tn")</f>
        <v/>
      </c>
      <c r="D3182" t="inlineStr">
        <is>
          <t>文藝標籤,11 Pro Max</t>
        </is>
      </c>
      <c r="E3182" t="inlineStr">
        <is>
          <t>66711505413</t>
        </is>
      </c>
      <c r="F3182">
        <f>IMAGE("https://cf.shopee.tw/file/99637838fd5f6b08b28ce50ad2cf9033_tn")</f>
        <v/>
      </c>
    </row>
    <row r="3183">
      <c r="A3183" t="inlineStr">
        <is>
          <t>9839519962</t>
        </is>
      </c>
      <c r="B3183" t="inlineStr">
        <is>
          <t>隔日到貨🔥 iPhone 手機殼 17 16 15 14 13 12 11 pro Max X XR SE 保護殼 軟殼</t>
        </is>
      </c>
      <c r="C3183">
        <f>IMAGE("https://cf.shopee.tw/file/99637838fd5f6b08b28ce50ad2cf9033_tn")</f>
        <v/>
      </c>
      <c r="D3183" t="inlineStr">
        <is>
          <t>文藝標籤,12</t>
        </is>
      </c>
      <c r="E3183" t="inlineStr">
        <is>
          <t>64739840991</t>
        </is>
      </c>
      <c r="F3183">
        <f>IMAGE("https://cf.shopee.tw/file/99637838fd5f6b08b28ce50ad2cf9033_tn")</f>
        <v/>
      </c>
    </row>
    <row r="3184">
      <c r="A3184" t="inlineStr">
        <is>
          <t>9839519962</t>
        </is>
      </c>
      <c r="B3184" t="inlineStr">
        <is>
          <t>隔日到貨🔥 iPhone 手機殼 17 16 15 14 13 12 11 pro Max X XR SE 保護殼 軟殼</t>
        </is>
      </c>
      <c r="C3184">
        <f>IMAGE("https://cf.shopee.tw/file/99637838fd5f6b08b28ce50ad2cf9033_tn")</f>
        <v/>
      </c>
      <c r="D3184" t="inlineStr">
        <is>
          <t>文藝標籤,12 Pro</t>
        </is>
      </c>
      <c r="E3184" t="inlineStr">
        <is>
          <t>64739840992</t>
        </is>
      </c>
      <c r="F3184">
        <f>IMAGE("https://cf.shopee.tw/file/99637838fd5f6b08b28ce50ad2cf9033_tn")</f>
        <v/>
      </c>
    </row>
    <row r="3185">
      <c r="A3185" t="inlineStr">
        <is>
          <t>9839519962</t>
        </is>
      </c>
      <c r="B3185" t="inlineStr">
        <is>
          <t>隔日到貨🔥 iPhone 手機殼 17 16 15 14 13 12 11 pro Max X XR SE 保護殼 軟殼</t>
        </is>
      </c>
      <c r="C3185">
        <f>IMAGE("https://cf.shopee.tw/file/99637838fd5f6b08b28ce50ad2cf9033_tn")</f>
        <v/>
      </c>
      <c r="D3185" t="inlineStr">
        <is>
          <t>文藝標籤,12 mini</t>
        </is>
      </c>
      <c r="E3185" t="inlineStr">
        <is>
          <t>66711505415</t>
        </is>
      </c>
      <c r="F3185">
        <f>IMAGE("https://cf.shopee.tw/file/99637838fd5f6b08b28ce50ad2cf9033_tn")</f>
        <v/>
      </c>
    </row>
    <row r="3186">
      <c r="A3186" t="inlineStr">
        <is>
          <t>9839519962</t>
        </is>
      </c>
      <c r="B3186" t="inlineStr">
        <is>
          <t>隔日到貨🔥 iPhone 手機殼 17 16 15 14 13 12 11 pro Max X XR SE 保護殼 軟殼</t>
        </is>
      </c>
      <c r="C3186">
        <f>IMAGE("https://cf.shopee.tw/file/99637838fd5f6b08b28ce50ad2cf9033_tn")</f>
        <v/>
      </c>
      <c r="D3186" t="inlineStr">
        <is>
          <t>文藝標籤,12 Pro Max</t>
        </is>
      </c>
      <c r="E3186" t="inlineStr">
        <is>
          <t>64739840993</t>
        </is>
      </c>
      <c r="F3186">
        <f>IMAGE("https://cf.shopee.tw/file/99637838fd5f6b08b28ce50ad2cf9033_tn")</f>
        <v/>
      </c>
    </row>
    <row r="3187">
      <c r="A3187" t="inlineStr">
        <is>
          <t>9839519962</t>
        </is>
      </c>
      <c r="B3187" t="inlineStr">
        <is>
          <t>隔日到貨🔥 iPhone 手機殼 17 16 15 14 13 12 11 pro Max X XR SE 保護殼 軟殼</t>
        </is>
      </c>
      <c r="C3187">
        <f>IMAGE("https://cf.shopee.tw/file/99637838fd5f6b08b28ce50ad2cf9033_tn")</f>
        <v/>
      </c>
      <c r="D3187" t="inlineStr">
        <is>
          <t>文藝標籤,13</t>
        </is>
      </c>
      <c r="E3187" t="inlineStr">
        <is>
          <t>120936318813</t>
        </is>
      </c>
      <c r="F3187">
        <f>IMAGE("https://cf.shopee.tw/file/99637838fd5f6b08b28ce50ad2cf9033_tn")</f>
        <v/>
      </c>
    </row>
    <row r="3188">
      <c r="A3188" t="inlineStr">
        <is>
          <t>9839519962</t>
        </is>
      </c>
      <c r="B3188" t="inlineStr">
        <is>
          <t>隔日到貨🔥 iPhone 手機殼 17 16 15 14 13 12 11 pro Max X XR SE 保護殼 軟殼</t>
        </is>
      </c>
      <c r="C3188">
        <f>IMAGE("https://cf.shopee.tw/file/99637838fd5f6b08b28ce50ad2cf9033_tn")</f>
        <v/>
      </c>
      <c r="D3188" t="inlineStr">
        <is>
          <t>文藝標籤,13 Pro</t>
        </is>
      </c>
      <c r="E3188" t="inlineStr">
        <is>
          <t>120936318812</t>
        </is>
      </c>
      <c r="F3188">
        <f>IMAGE("https://cf.shopee.tw/file/99637838fd5f6b08b28ce50ad2cf9033_tn")</f>
        <v/>
      </c>
    </row>
    <row r="3189">
      <c r="A3189" t="inlineStr">
        <is>
          <t>9839519962</t>
        </is>
      </c>
      <c r="B3189" t="inlineStr">
        <is>
          <t>隔日到貨🔥 iPhone 手機殼 17 16 15 14 13 12 11 pro Max X XR SE 保護殼 軟殼</t>
        </is>
      </c>
      <c r="C3189">
        <f>IMAGE("https://cf.shopee.tw/file/99637838fd5f6b08b28ce50ad2cf9033_tn")</f>
        <v/>
      </c>
      <c r="D3189" t="inlineStr">
        <is>
          <t>文藝標籤,13 pro Max</t>
        </is>
      </c>
      <c r="E3189" t="inlineStr"/>
      <c r="F3189">
        <f>IMAGE("https://cf.shopee.tw/file/99637838fd5f6b08b28ce50ad2cf9033_tn")</f>
        <v/>
      </c>
    </row>
    <row r="3190">
      <c r="A3190" t="inlineStr">
        <is>
          <t>9839519962</t>
        </is>
      </c>
      <c r="B3190" t="inlineStr">
        <is>
          <t>隔日到貨🔥 iPhone 手機殼 17 16 15 14 13 12 11 pro Max X XR SE 保護殼 軟殼</t>
        </is>
      </c>
      <c r="C3190">
        <f>IMAGE("https://cf.shopee.tw/file/99637838fd5f6b08b28ce50ad2cf9033_tn")</f>
        <v/>
      </c>
      <c r="D3190" t="inlineStr">
        <is>
          <t>文藝標籤,13 mini</t>
        </is>
      </c>
      <c r="E3190" t="inlineStr"/>
      <c r="F3190">
        <f>IMAGE("https://cf.shopee.tw/file/99637838fd5f6b08b28ce50ad2cf9033_tn")</f>
        <v/>
      </c>
    </row>
    <row r="3191">
      <c r="A3191" t="inlineStr">
        <is>
          <t>9839519962</t>
        </is>
      </c>
      <c r="B3191" t="inlineStr">
        <is>
          <t>隔日到貨🔥 iPhone 手機殼 17 16 15 14 13 12 11 pro Max X XR SE 保護殼 軟殼</t>
        </is>
      </c>
      <c r="C3191">
        <f>IMAGE("https://cf.shopee.tw/file/99637838fd5f6b08b28ce50ad2cf9033_tn")</f>
        <v/>
      </c>
      <c r="D3191" t="inlineStr">
        <is>
          <t>文藝標籤,14</t>
        </is>
      </c>
      <c r="E3191" t="inlineStr"/>
      <c r="F3191">
        <f>IMAGE("https://cf.shopee.tw/file/99637838fd5f6b08b28ce50ad2cf9033_tn")</f>
        <v/>
      </c>
    </row>
    <row r="3192">
      <c r="A3192" t="inlineStr">
        <is>
          <t>9839519962</t>
        </is>
      </c>
      <c r="B3192" t="inlineStr">
        <is>
          <t>隔日到貨🔥 iPhone 手機殼 17 16 15 14 13 12 11 pro Max X XR SE 保護殼 軟殼</t>
        </is>
      </c>
      <c r="C3192">
        <f>IMAGE("https://cf.shopee.tw/file/99637838fd5f6b08b28ce50ad2cf9033_tn")</f>
        <v/>
      </c>
      <c r="D3192" t="inlineStr">
        <is>
          <t>文藝標籤,14 pro</t>
        </is>
      </c>
      <c r="E3192" t="inlineStr">
        <is>
          <t>117445302541</t>
        </is>
      </c>
      <c r="F3192">
        <f>IMAGE("https://cf.shopee.tw/file/99637838fd5f6b08b28ce50ad2cf9033_tn")</f>
        <v/>
      </c>
    </row>
    <row r="3193">
      <c r="A3193" t="inlineStr">
        <is>
          <t>9839519962</t>
        </is>
      </c>
      <c r="B3193" t="inlineStr">
        <is>
          <t>隔日到貨🔥 iPhone 手機殼 17 16 15 14 13 12 11 pro Max X XR SE 保護殼 軟殼</t>
        </is>
      </c>
      <c r="C3193">
        <f>IMAGE("https://cf.shopee.tw/file/99637838fd5f6b08b28ce50ad2cf9033_tn")</f>
        <v/>
      </c>
      <c r="D3193" t="inlineStr">
        <is>
          <t>文藝標籤,14 pro Max</t>
        </is>
      </c>
      <c r="E3193" t="inlineStr">
        <is>
          <t>117445302544</t>
        </is>
      </c>
      <c r="F3193">
        <f>IMAGE("https://cf.shopee.tw/file/99637838fd5f6b08b28ce50ad2cf9033_tn")</f>
        <v/>
      </c>
    </row>
    <row r="3194">
      <c r="A3194" t="inlineStr">
        <is>
          <t>9839519962</t>
        </is>
      </c>
      <c r="B3194" t="inlineStr">
        <is>
          <t>隔日到貨🔥 iPhone 手機殼 17 16 15 14 13 12 11 pro Max X XR SE 保護殼 軟殼</t>
        </is>
      </c>
      <c r="C3194">
        <f>IMAGE("https://cf.shopee.tw/file/99637838fd5f6b08b28ce50ad2cf9033_tn")</f>
        <v/>
      </c>
      <c r="D3194" t="inlineStr">
        <is>
          <t>文藝標籤,15</t>
        </is>
      </c>
      <c r="E3194" t="inlineStr">
        <is>
          <t>119006167104</t>
        </is>
      </c>
      <c r="F3194">
        <f>IMAGE("https://cf.shopee.tw/file/99637838fd5f6b08b28ce50ad2cf9033_tn")</f>
        <v/>
      </c>
    </row>
    <row r="3195">
      <c r="A3195" t="inlineStr">
        <is>
          <t>9839519962</t>
        </is>
      </c>
      <c r="B3195" t="inlineStr">
        <is>
          <t>隔日到貨🔥 iPhone 手機殼 17 16 15 14 13 12 11 pro Max X XR SE 保護殼 軟殼</t>
        </is>
      </c>
      <c r="C3195">
        <f>IMAGE("https://cf.shopee.tw/file/99637838fd5f6b08b28ce50ad2cf9033_tn")</f>
        <v/>
      </c>
      <c r="D3195" t="inlineStr">
        <is>
          <t>文藝標籤,15 Plus</t>
        </is>
      </c>
      <c r="E3195" t="inlineStr">
        <is>
          <t>119006167105</t>
        </is>
      </c>
      <c r="F3195">
        <f>IMAGE("https://cf.shopee.tw/file/99637838fd5f6b08b28ce50ad2cf9033_tn")</f>
        <v/>
      </c>
    </row>
    <row r="3196">
      <c r="A3196" t="inlineStr">
        <is>
          <t>9839519962</t>
        </is>
      </c>
      <c r="B3196" t="inlineStr">
        <is>
          <t>隔日到貨🔥 iPhone 手機殼 17 16 15 14 13 12 11 pro Max X XR SE 保護殼 軟殼</t>
        </is>
      </c>
      <c r="C3196">
        <f>IMAGE("https://cf.shopee.tw/file/99637838fd5f6b08b28ce50ad2cf9033_tn")</f>
        <v/>
      </c>
      <c r="D3196" t="inlineStr">
        <is>
          <t>文藝標籤,15 pro</t>
        </is>
      </c>
      <c r="E3196" t="inlineStr"/>
      <c r="F3196">
        <f>IMAGE("https://cf.shopee.tw/file/99637838fd5f6b08b28ce50ad2cf9033_tn")</f>
        <v/>
      </c>
    </row>
    <row r="3197">
      <c r="A3197" t="inlineStr">
        <is>
          <t>9839519962</t>
        </is>
      </c>
      <c r="B3197" t="inlineStr">
        <is>
          <t>隔日到貨🔥 iPhone 手機殼 17 16 15 14 13 12 11 pro Max X XR SE 保護殼 軟殼</t>
        </is>
      </c>
      <c r="C3197">
        <f>IMAGE("https://cf.shopee.tw/file/99637838fd5f6b08b28ce50ad2cf9033_tn")</f>
        <v/>
      </c>
      <c r="D3197" t="inlineStr">
        <is>
          <t>文藝標籤,15 pro Max</t>
        </is>
      </c>
      <c r="E3197" t="inlineStr">
        <is>
          <t>119006167106</t>
        </is>
      </c>
      <c r="F3197">
        <f>IMAGE("https://cf.shopee.tw/file/99637838fd5f6b08b28ce50ad2cf9033_tn")</f>
        <v/>
      </c>
    </row>
    <row r="3198">
      <c r="A3198" t="inlineStr">
        <is>
          <t>9839519962</t>
        </is>
      </c>
      <c r="B3198" t="inlineStr">
        <is>
          <t>隔日到貨🔥 iPhone 手機殼 17 16 15 14 13 12 11 pro Max X XR SE 保護殼 軟殼</t>
        </is>
      </c>
      <c r="C3198">
        <f>IMAGE("https://cf.shopee.tw/file/99637838fd5f6b08b28ce50ad2cf9033_tn")</f>
        <v/>
      </c>
      <c r="D3198" t="inlineStr">
        <is>
          <t>文藝標籤,16</t>
        </is>
      </c>
      <c r="E3198" t="inlineStr">
        <is>
          <t>256753655125</t>
        </is>
      </c>
      <c r="F3198">
        <f>IMAGE("https://cf.shopee.tw/file/99637838fd5f6b08b28ce50ad2cf9033_tn")</f>
        <v/>
      </c>
    </row>
    <row r="3199">
      <c r="A3199" t="inlineStr">
        <is>
          <t>9839519962</t>
        </is>
      </c>
      <c r="B3199" t="inlineStr">
        <is>
          <t>隔日到貨🔥 iPhone 手機殼 17 16 15 14 13 12 11 pro Max X XR SE 保護殼 軟殼</t>
        </is>
      </c>
      <c r="C3199">
        <f>IMAGE("https://cf.shopee.tw/file/99637838fd5f6b08b28ce50ad2cf9033_tn")</f>
        <v/>
      </c>
      <c r="D3199" t="inlineStr">
        <is>
          <t>文藝標籤,16 Plus</t>
        </is>
      </c>
      <c r="E3199" t="inlineStr"/>
      <c r="F3199">
        <f>IMAGE("https://cf.shopee.tw/file/99637838fd5f6b08b28ce50ad2cf9033_tn")</f>
        <v/>
      </c>
    </row>
    <row r="3200">
      <c r="A3200" t="inlineStr">
        <is>
          <t>9839519962</t>
        </is>
      </c>
      <c r="B3200" t="inlineStr">
        <is>
          <t>隔日到貨🔥 iPhone 手機殼 17 16 15 14 13 12 11 pro Max X XR SE 保護殼 軟殼</t>
        </is>
      </c>
      <c r="C3200">
        <f>IMAGE("https://cf.shopee.tw/file/99637838fd5f6b08b28ce50ad2cf9033_tn")</f>
        <v/>
      </c>
      <c r="D3200" t="inlineStr">
        <is>
          <t>文藝標籤,16 pro</t>
        </is>
      </c>
      <c r="E3200" t="inlineStr">
        <is>
          <t>256753655127</t>
        </is>
      </c>
      <c r="F3200">
        <f>IMAGE("https://cf.shopee.tw/file/99637838fd5f6b08b28ce50ad2cf9033_tn")</f>
        <v/>
      </c>
    </row>
    <row r="3201">
      <c r="A3201" t="inlineStr">
        <is>
          <t>9839519962</t>
        </is>
      </c>
      <c r="B3201" t="inlineStr">
        <is>
          <t>隔日到貨🔥 iPhone 手機殼 17 16 15 14 13 12 11 pro Max X XR SE 保護殼 軟殼</t>
        </is>
      </c>
      <c r="C3201">
        <f>IMAGE("https://cf.shopee.tw/file/99637838fd5f6b08b28ce50ad2cf9033_tn")</f>
        <v/>
      </c>
      <c r="D3201" t="inlineStr">
        <is>
          <t>文藝標籤,16 pro Max</t>
        </is>
      </c>
      <c r="E3201" t="inlineStr">
        <is>
          <t>256753655128</t>
        </is>
      </c>
      <c r="F3201">
        <f>IMAGE("https://cf.shopee.tw/file/99637838fd5f6b08b28ce50ad2cf9033_tn")</f>
        <v/>
      </c>
    </row>
    <row r="3202">
      <c r="A3202" t="inlineStr">
        <is>
          <t>9839519962</t>
        </is>
      </c>
      <c r="B3202" t="inlineStr">
        <is>
          <t>隔日到貨🔥 iPhone 手機殼 17 16 15 14 13 12 11 pro Max X XR SE 保護殼 軟殼</t>
        </is>
      </c>
      <c r="C3202">
        <f>IMAGE("https://cf.shopee.tw/file/99637838fd5f6b08b28ce50ad2cf9033_tn")</f>
        <v/>
      </c>
      <c r="D3202" t="inlineStr">
        <is>
          <t>文藝標籤,17</t>
        </is>
      </c>
      <c r="E3202" t="inlineStr">
        <is>
          <t>292136541536</t>
        </is>
      </c>
      <c r="F3202">
        <f>IMAGE("https://cf.shopee.tw/file/99637838fd5f6b08b28ce50ad2cf9033_tn")</f>
        <v/>
      </c>
    </row>
    <row r="3203">
      <c r="A3203" t="inlineStr">
        <is>
          <t>9839519962</t>
        </is>
      </c>
      <c r="B3203" t="inlineStr">
        <is>
          <t>隔日到貨🔥 iPhone 手機殼 17 16 15 14 13 12 11 pro Max X XR SE 保護殼 軟殼</t>
        </is>
      </c>
      <c r="C3203">
        <f>IMAGE("https://cf.shopee.tw/file/99637838fd5f6b08b28ce50ad2cf9033_tn")</f>
        <v/>
      </c>
      <c r="D3203" t="inlineStr">
        <is>
          <t>文藝標籤,17 pro</t>
        </is>
      </c>
      <c r="E3203" t="inlineStr">
        <is>
          <t>292136541537</t>
        </is>
      </c>
      <c r="F3203">
        <f>IMAGE("https://cf.shopee.tw/file/99637838fd5f6b08b28ce50ad2cf9033_tn")</f>
        <v/>
      </c>
    </row>
    <row r="3204">
      <c r="A3204" t="inlineStr">
        <is>
          <t>9839519962</t>
        </is>
      </c>
      <c r="B3204" t="inlineStr">
        <is>
          <t>隔日到貨🔥 iPhone 手機殼 17 16 15 14 13 12 11 pro Max X XR SE 保護殼 軟殼</t>
        </is>
      </c>
      <c r="C3204">
        <f>IMAGE("https://cf.shopee.tw/file/99637838fd5f6b08b28ce50ad2cf9033_tn")</f>
        <v/>
      </c>
      <c r="D3204" t="inlineStr">
        <is>
          <t>文藝標籤,17 pro Max</t>
        </is>
      </c>
      <c r="E3204" t="inlineStr">
        <is>
          <t>292136541538</t>
        </is>
      </c>
      <c r="F3204">
        <f>IMAGE("https://cf.shopee.tw/file/99637838fd5f6b08b28ce50ad2cf9033_tn")</f>
        <v/>
      </c>
    </row>
    <row r="3205">
      <c r="A3205" t="inlineStr">
        <is>
          <t>9839519962</t>
        </is>
      </c>
      <c r="B3205" t="inlineStr">
        <is>
          <t>隔日到貨🔥 iPhone 手機殼 17 16 15 14 13 12 11 pro Max X XR SE 保護殼 軟殼</t>
        </is>
      </c>
      <c r="C3205">
        <f>IMAGE("https://cf.shopee.tw/file/99637838fd5f6b08b28ce50ad2cf9033_tn")</f>
        <v/>
      </c>
      <c r="D3205" t="inlineStr">
        <is>
          <t>文藝標籤,17 Air</t>
        </is>
      </c>
      <c r="E3205" t="inlineStr"/>
      <c r="F3205">
        <f>IMAGE("https://cf.shopee.tw/file/99637838fd5f6b08b28ce50ad2cf9033_tn")</f>
        <v/>
      </c>
    </row>
    <row r="3206">
      <c r="A3206" t="inlineStr">
        <is>
          <t>15096771610</t>
        </is>
      </c>
      <c r="B3206" t="inlineStr">
        <is>
          <t>隔日到貨🔥 矽膠手環 手機殼手環 適用所有手機殼 手機殼吊飾 手環扣 手腕帶 手機掛件 掛飾 鍊條 手機掛繩 手機掛鉤</t>
        </is>
      </c>
      <c r="C3206">
        <f>IMAGE("https://cf.shopee.tw/file/tw-11134207-23030-egrxnvp620nv18_tn")</f>
        <v/>
      </c>
      <c r="D3206" t="inlineStr">
        <is>
          <t>淡青</t>
        </is>
      </c>
      <c r="E3206" t="inlineStr"/>
      <c r="F3206">
        <f>IMAGE("https://cf.shopee.tw/file/tw-11134207-23030-5tlnqdfb39nvb8_tn")</f>
        <v/>
      </c>
    </row>
    <row r="3207">
      <c r="A3207" t="inlineStr">
        <is>
          <t>15096771610</t>
        </is>
      </c>
      <c r="B3207" t="inlineStr">
        <is>
          <t>隔日到貨🔥 矽膠手環 手機殼手環 適用所有手機殼 手機殼吊飾 手環扣 手腕帶 手機掛件 掛飾 鍊條 手機掛繩 手機掛鉤</t>
        </is>
      </c>
      <c r="C3207">
        <f>IMAGE("https://cf.shopee.tw/file/tw-11134207-23030-egrxnvp620nv18_tn")</f>
        <v/>
      </c>
      <c r="D3207" t="inlineStr">
        <is>
          <t>薰衣紫</t>
        </is>
      </c>
      <c r="E3207" t="inlineStr">
        <is>
          <t>39270698619</t>
        </is>
      </c>
      <c r="F3207">
        <f>IMAGE("https://cf.shopee.tw/file/tw-11134207-23030-3qjdn5bb39nv1a_tn")</f>
        <v/>
      </c>
    </row>
    <row r="3208">
      <c r="A3208" t="inlineStr">
        <is>
          <t>15096771610</t>
        </is>
      </c>
      <c r="B3208" t="inlineStr">
        <is>
          <t>隔日到貨🔥 矽膠手環 手機殼手環 適用所有手機殼 手機殼吊飾 手環扣 手腕帶 手機掛件 掛飾 鍊條 手機掛繩 手機掛鉤</t>
        </is>
      </c>
      <c r="C3208">
        <f>IMAGE("https://cf.shopee.tw/file/tw-11134207-23030-egrxnvp620nv18_tn")</f>
        <v/>
      </c>
      <c r="D3208" t="inlineStr">
        <is>
          <t>藍灰</t>
        </is>
      </c>
      <c r="E3208" t="inlineStr">
        <is>
          <t>39270698621</t>
        </is>
      </c>
      <c r="F3208">
        <f>IMAGE("https://cf.shopee.tw/file/tw-11134207-23030-9cvmo4hb39nvb1_tn")</f>
        <v/>
      </c>
    </row>
    <row r="3209">
      <c r="A3209" t="inlineStr">
        <is>
          <t>15096771610</t>
        </is>
      </c>
      <c r="B3209" t="inlineStr">
        <is>
          <t>隔日到貨🔥 矽膠手環 手機殼手環 適用所有手機殼 手機殼吊飾 手環扣 手腕帶 手機掛件 掛飾 鍊條 手機掛繩 手機掛鉤</t>
        </is>
      </c>
      <c r="C3209">
        <f>IMAGE("https://cf.shopee.tw/file/tw-11134207-23030-egrxnvp620nv18_tn")</f>
        <v/>
      </c>
      <c r="D3209" t="inlineStr">
        <is>
          <t>奶白</t>
        </is>
      </c>
      <c r="E3209" t="inlineStr"/>
      <c r="F3209">
        <f>IMAGE("https://cf.shopee.tw/file/tw-11134207-23030-w4fzoylb39nve2_tn")</f>
        <v/>
      </c>
    </row>
    <row r="3210">
      <c r="A3210" t="inlineStr">
        <is>
          <t>15096771610</t>
        </is>
      </c>
      <c r="B3210" t="inlineStr">
        <is>
          <t>隔日到貨🔥 矽膠手環 手機殼手環 適用所有手機殼 手機殼吊飾 手環扣 手腕帶 手機掛件 掛飾 鍊條 手機掛繩 手機掛鉤</t>
        </is>
      </c>
      <c r="C3210">
        <f>IMAGE("https://cf.shopee.tw/file/tw-11134207-23030-egrxnvp620nv18_tn")</f>
        <v/>
      </c>
      <c r="D3210" t="inlineStr">
        <is>
          <t>黑色</t>
        </is>
      </c>
      <c r="E3210" t="inlineStr">
        <is>
          <t>39270698623</t>
        </is>
      </c>
      <c r="F3210">
        <f>IMAGE("https://cf.shopee.tw/file/tw-11134207-23030-52j8qwpb39nvd3_tn")</f>
        <v/>
      </c>
    </row>
    <row r="3211">
      <c r="A3211" t="inlineStr">
        <is>
          <t>15096771610</t>
        </is>
      </c>
      <c r="B3211" t="inlineStr">
        <is>
          <t>隔日到貨🔥 矽膠手環 手機殼手環 適用所有手機殼 手機殼吊飾 手環扣 手腕帶 手機掛件 掛飾 鍊條 手機掛繩 手機掛鉤</t>
        </is>
      </c>
      <c r="C3211">
        <f>IMAGE("https://cf.shopee.tw/file/tw-11134207-23030-egrxnvp620nv18_tn")</f>
        <v/>
      </c>
      <c r="D3211" t="inlineStr">
        <is>
          <t>櫻花紫</t>
        </is>
      </c>
      <c r="E3211" t="inlineStr">
        <is>
          <t>39270698624</t>
        </is>
      </c>
      <c r="F3211">
        <f>IMAGE("https://cf.shopee.tw/file/tw-11134207-23030-5dt37crb39nv23_tn")</f>
        <v/>
      </c>
    </row>
    <row r="3212">
      <c r="A3212" t="inlineStr">
        <is>
          <t>15096771610</t>
        </is>
      </c>
      <c r="B3212" t="inlineStr">
        <is>
          <t>隔日到貨🔥 矽膠手環 手機殼手環 適用所有手機殼 手機殼吊飾 手環扣 手腕帶 手機掛件 掛飾 鍊條 手機掛繩 手機掛鉤</t>
        </is>
      </c>
      <c r="C3212">
        <f>IMAGE("https://cf.shopee.tw/file/tw-11134207-23030-egrxnvp620nv18_tn")</f>
        <v/>
      </c>
      <c r="D3212" t="inlineStr">
        <is>
          <t>果粉</t>
        </is>
      </c>
      <c r="E3212" t="inlineStr">
        <is>
          <t>39270698625</t>
        </is>
      </c>
      <c r="F3212">
        <f>IMAGE("https://cf.shopee.tw/file/tw-11134207-23030-7l3fjutb39nv8f_tn")</f>
        <v/>
      </c>
    </row>
    <row r="3213">
      <c r="A3213" t="inlineStr">
        <is>
          <t>20488473843</t>
        </is>
      </c>
      <c r="B3213" t="inlineStr">
        <is>
          <t>隔日到貨🔥 ins爆款 充電器保護套 20W 適用蘋果 線套 咬線器 集線器 iPhone 充電線套 充電套</t>
        </is>
      </c>
      <c r="C3213">
        <f>IMAGE("https://cf.shopee.tw/file/tw-11134207-7qul0-lhugpyuc17rkb3_tn")</f>
        <v/>
      </c>
      <c r="D3213" t="inlineStr">
        <is>
          <t>5. 套裝 - 淺黃大愛心</t>
        </is>
      </c>
      <c r="E3213" t="inlineStr"/>
      <c r="F3213">
        <f>IMAGE("https://cf.shopee.tw/file/tw-11134207-7qul6-lghmvju5kni9e5_tn")</f>
        <v/>
      </c>
    </row>
    <row r="3214">
      <c r="A3214" t="inlineStr">
        <is>
          <t>20488473843</t>
        </is>
      </c>
      <c r="B3214" t="inlineStr">
        <is>
          <t>隔日到貨🔥 ins爆款 充電器保護套 20W 適用蘋果 線套 咬線器 集線器 iPhone 充電線套 充電套</t>
        </is>
      </c>
      <c r="C3214">
        <f>IMAGE("https://cf.shopee.tw/file/tw-11134207-7qul0-lhugpyuc17rkb3_tn")</f>
        <v/>
      </c>
      <c r="D3214" t="inlineStr">
        <is>
          <t>15. 套裝 - 派大星</t>
        </is>
      </c>
      <c r="E3214" t="inlineStr"/>
      <c r="F3214">
        <f>IMAGE("https://cf.shopee.tw/file/tw-11134207-7r98p-loibsnmvmghm26_tn")</f>
        <v/>
      </c>
    </row>
    <row r="3215">
      <c r="A3215" t="inlineStr">
        <is>
          <t>20488473843</t>
        </is>
      </c>
      <c r="B3215" t="inlineStr">
        <is>
          <t>隔日到貨🔥 ins爆款 充電器保護套 20W 適用蘋果 線套 咬線器 集線器 iPhone 充電線套 充電套</t>
        </is>
      </c>
      <c r="C3215">
        <f>IMAGE("https://cf.shopee.tw/file/tw-11134207-7qul0-lhugpyuc17rkb3_tn")</f>
        <v/>
      </c>
      <c r="D3215" t="inlineStr">
        <is>
          <t>咬線器 - 鯨魚</t>
        </is>
      </c>
      <c r="E3215" t="inlineStr"/>
      <c r="F3215">
        <f>IMAGE("https://cf.shopee.tw/file/tw-11134207-7r98o-lkvddh5sfaj53b_tn")</f>
        <v/>
      </c>
    </row>
    <row r="3216">
      <c r="A3216" t="inlineStr">
        <is>
          <t>20488473843</t>
        </is>
      </c>
      <c r="B3216" t="inlineStr">
        <is>
          <t>隔日到貨🔥 ins爆款 充電器保護套 20W 適用蘋果 線套 咬線器 集線器 iPhone 充電線套 充電套</t>
        </is>
      </c>
      <c r="C3216">
        <f>IMAGE("https://cf.shopee.tw/file/tw-11134207-7qul0-lhugpyuc17rkb3_tn")</f>
        <v/>
      </c>
      <c r="D3216" t="inlineStr">
        <is>
          <t>1. 套裝 - 綠色香腸嘴 （鐳射線套）</t>
        </is>
      </c>
      <c r="E3216" t="inlineStr"/>
      <c r="F3216">
        <f>IMAGE("https://cf.shopee.tw/file/tw-11134207-7qul4-lghmkk7mk9wq2a_tn")</f>
        <v/>
      </c>
    </row>
    <row r="3217">
      <c r="A3217" t="inlineStr">
        <is>
          <t>20488473843</t>
        </is>
      </c>
      <c r="B3217" t="inlineStr">
        <is>
          <t>隔日到貨🔥 ins爆款 充電器保護套 20W 適用蘋果 線套 咬線器 集線器 iPhone 充電線套 充電套</t>
        </is>
      </c>
      <c r="C3217">
        <f>IMAGE("https://cf.shopee.tw/file/tw-11134207-7qul0-lhugpyuc17rkb3_tn")</f>
        <v/>
      </c>
      <c r="D3217" t="inlineStr">
        <is>
          <t>2. 套裝 - 綠色香腸嘴（綠色線套）</t>
        </is>
      </c>
      <c r="E3217" t="inlineStr"/>
      <c r="F3217">
        <f>IMAGE("https://cf.shopee.tw/file/tw-11134207-7qul8-lghmkk7mloh6d2_tn")</f>
        <v/>
      </c>
    </row>
    <row r="3218">
      <c r="A3218" t="inlineStr">
        <is>
          <t>20488473843</t>
        </is>
      </c>
      <c r="B3218" t="inlineStr">
        <is>
          <t>隔日到貨🔥 ins爆款 充電器保護套 20W 適用蘋果 線套 咬線器 集線器 iPhone 充電線套 充電套</t>
        </is>
      </c>
      <c r="C3218">
        <f>IMAGE("https://cf.shopee.tw/file/tw-11134207-7qul0-lhugpyuc17rkb3_tn")</f>
        <v/>
      </c>
      <c r="D3218" t="inlineStr">
        <is>
          <t>3. 套裝 - 粉色香腸嘴 （鐳射線套）</t>
        </is>
      </c>
      <c r="E3218" t="inlineStr"/>
      <c r="F3218">
        <f>IMAGE("https://cf.shopee.tw/file/tw-11134207-7qul1-lghmksg8gtgqaa_tn")</f>
        <v/>
      </c>
    </row>
    <row r="3219">
      <c r="A3219" t="inlineStr">
        <is>
          <t>20488473843</t>
        </is>
      </c>
      <c r="B3219" t="inlineStr">
        <is>
          <t>隔日到貨🔥 ins爆款 充電器保護套 20W 適用蘋果 線套 咬線器 集線器 iPhone 充電線套 充電套</t>
        </is>
      </c>
      <c r="C3219">
        <f>IMAGE("https://cf.shopee.tw/file/tw-11134207-7qul0-lhugpyuc17rkb3_tn")</f>
        <v/>
      </c>
      <c r="D3219" t="inlineStr">
        <is>
          <t>4. 套裝 - 粉色香腸嘴（粉色線套）</t>
        </is>
      </c>
      <c r="E3219" t="inlineStr"/>
      <c r="F3219">
        <f>IMAGE("https://cf.shopee.tw/file/tw-11134207-7qul2-lghmksg8i8169f_tn")</f>
        <v/>
      </c>
    </row>
    <row r="3220">
      <c r="A3220" t="inlineStr">
        <is>
          <t>20488473843</t>
        </is>
      </c>
      <c r="B3220" t="inlineStr">
        <is>
          <t>隔日到貨🔥 ins爆款 充電器保護套 20W 適用蘋果 線套 咬線器 集線器 iPhone 充電線套 充電套</t>
        </is>
      </c>
      <c r="C3220">
        <f>IMAGE("https://cf.shopee.tw/file/tw-11134207-7qul0-lhugpyuc17rkb3_tn")</f>
        <v/>
      </c>
      <c r="D3220" t="inlineStr">
        <is>
          <t>6. 套裝 - 草綠大愛心</t>
        </is>
      </c>
      <c r="E3220" t="inlineStr">
        <is>
          <t>204277011274</t>
        </is>
      </c>
      <c r="F3220">
        <f>IMAGE("https://cf.shopee.tw/file/tw-11134207-7qul8-lghmvju5m22pa2_tn")</f>
        <v/>
      </c>
    </row>
    <row r="3221">
      <c r="A3221" t="inlineStr">
        <is>
          <t>20488473843</t>
        </is>
      </c>
      <c r="B3221" t="inlineStr">
        <is>
          <t>隔日到貨🔥 ins爆款 充電器保護套 20W 適用蘋果 線套 咬線器 集線器 iPhone 充電線套 充電套</t>
        </is>
      </c>
      <c r="C3221">
        <f>IMAGE("https://cf.shopee.tw/file/tw-11134207-7qul0-lhugpyuc17rkb3_tn")</f>
        <v/>
      </c>
      <c r="D3221" t="inlineStr">
        <is>
          <t>7. 套裝 - 淺紫大愛心</t>
        </is>
      </c>
      <c r="E3221" t="inlineStr"/>
      <c r="F3221">
        <f>IMAGE("https://cf.shopee.tw/file/tw-11134207-7qula-lghmvsuidzwhcb_tn")</f>
        <v/>
      </c>
    </row>
    <row r="3222">
      <c r="A3222" t="inlineStr">
        <is>
          <t>20488473843</t>
        </is>
      </c>
      <c r="B3222" t="inlineStr">
        <is>
          <t>隔日到貨🔥 ins爆款 充電器保護套 20W 適用蘋果 線套 咬線器 集線器 iPhone 充電線套 充電套</t>
        </is>
      </c>
      <c r="C3222">
        <f>IMAGE("https://cf.shopee.tw/file/tw-11134207-7qul0-lhugpyuc17rkb3_tn")</f>
        <v/>
      </c>
      <c r="D3222" t="inlineStr">
        <is>
          <t>8. 套裝 - 藍大愛心</t>
        </is>
      </c>
      <c r="E3222" t="inlineStr">
        <is>
          <t>204277011264</t>
        </is>
      </c>
      <c r="F3222">
        <f>IMAGE("https://cf.shopee.tw/file/tw-11134207-7qukx-lghmvsuifegxe3_tn")</f>
        <v/>
      </c>
    </row>
    <row r="3223">
      <c r="A3223" t="inlineStr">
        <is>
          <t>20488473843</t>
        </is>
      </c>
      <c r="B3223" t="inlineStr">
        <is>
          <t>隔日到貨🔥 ins爆款 充電器保護套 20W 適用蘋果 線套 咬線器 集線器 iPhone 充電線套 充電套</t>
        </is>
      </c>
      <c r="C3223">
        <f>IMAGE("https://cf.shopee.tw/file/tw-11134207-7qul0-lhugpyuc17rkb3_tn")</f>
        <v/>
      </c>
      <c r="D3223" t="inlineStr">
        <is>
          <t>9. 套裝 - 黑大愛心</t>
        </is>
      </c>
      <c r="E3223" t="inlineStr"/>
      <c r="F3223">
        <f>IMAGE("https://cf.shopee.tw/file/tw-11134207-7qul4-lghmw1ub85j5f0_tn")</f>
        <v/>
      </c>
    </row>
    <row r="3224">
      <c r="A3224" t="inlineStr">
        <is>
          <t>20488473843</t>
        </is>
      </c>
      <c r="B3224" t="inlineStr">
        <is>
          <t>隔日到貨🔥 ins爆款 充電器保護套 20W 適用蘋果 線套 咬線器 集線器 iPhone 充電線套 充電套</t>
        </is>
      </c>
      <c r="C3224">
        <f>IMAGE("https://cf.shopee.tw/file/tw-11134207-7qul0-lhugpyuc17rkb3_tn")</f>
        <v/>
      </c>
      <c r="D3224" t="inlineStr">
        <is>
          <t>10. 套裝 - 粉大愛心</t>
        </is>
      </c>
      <c r="E3224" t="inlineStr"/>
      <c r="F3224">
        <f>IMAGE("https://cf.shopee.tw/file/tw-11134207-7qul9-lghmw1ub9k3led_tn")</f>
        <v/>
      </c>
    </row>
    <row r="3225">
      <c r="A3225" t="inlineStr">
        <is>
          <t>20488473843</t>
        </is>
      </c>
      <c r="B3225" t="inlineStr">
        <is>
          <t>隔日到貨🔥 ins爆款 充電器保護套 20W 適用蘋果 線套 咬線器 集線器 iPhone 充電線套 充電套</t>
        </is>
      </c>
      <c r="C3225">
        <f>IMAGE("https://cf.shopee.tw/file/tw-11134207-7qul0-lhugpyuc17rkb3_tn")</f>
        <v/>
      </c>
      <c r="D3225" t="inlineStr">
        <is>
          <t>11. 套裝 - 灰衣海綿寶</t>
        </is>
      </c>
      <c r="E3225" t="inlineStr">
        <is>
          <t>235303163997</t>
        </is>
      </c>
      <c r="F3225">
        <f>IMAGE("https://cf.shopee.tw/file/tw-11134207-7qul8-lhud83xui0268d_tn")</f>
        <v/>
      </c>
    </row>
    <row r="3226">
      <c r="A3226" t="inlineStr">
        <is>
          <t>20488473843</t>
        </is>
      </c>
      <c r="B3226" t="inlineStr">
        <is>
          <t>隔日到貨🔥 ins爆款 充電器保護套 20W 適用蘋果 線套 咬線器 集線器 iPhone 充電線套 充電套</t>
        </is>
      </c>
      <c r="C3226">
        <f>IMAGE("https://cf.shopee.tw/file/tw-11134207-7qul0-lhugpyuc17rkb3_tn")</f>
        <v/>
      </c>
      <c r="D3226" t="inlineStr">
        <is>
          <t>12. 套裝 - 恐龍閃電</t>
        </is>
      </c>
      <c r="E3226" t="inlineStr"/>
      <c r="F3226">
        <f>IMAGE("https://cf.shopee.tw/file/tw-11134207-7quky-lhud8a6leimm58_tn")</f>
        <v/>
      </c>
    </row>
    <row r="3227">
      <c r="A3227" t="inlineStr">
        <is>
          <t>20488473843</t>
        </is>
      </c>
      <c r="B3227" t="inlineStr">
        <is>
          <t>隔日到貨🔥 ins爆款 充電器保護套 20W 適用蘋果 線套 咬線器 集線器 iPhone 充電線套 充電套</t>
        </is>
      </c>
      <c r="C3227">
        <f>IMAGE("https://cf.shopee.tw/file/tw-11134207-7qul0-lhugpyuc17rkb3_tn")</f>
        <v/>
      </c>
      <c r="D3227" t="inlineStr">
        <is>
          <t>13. 套裝 - 衛衣鯊魚</t>
        </is>
      </c>
      <c r="E3227" t="inlineStr">
        <is>
          <t>235303163999</t>
        </is>
      </c>
      <c r="F3227">
        <f>IMAGE("https://cf.shopee.tw/file/tw-11134207-7qul1-lhud83xuglhq45_tn")</f>
        <v/>
      </c>
    </row>
    <row r="3228">
      <c r="A3228" t="inlineStr">
        <is>
          <t>20488473843</t>
        </is>
      </c>
      <c r="B3228" t="inlineStr">
        <is>
          <t>隔日到貨🔥 ins爆款 充電器保護套 20W 適用蘋果 線套 咬線器 集線器 iPhone 充電線套 充電套</t>
        </is>
      </c>
      <c r="C3228">
        <f>IMAGE("https://cf.shopee.tw/file/tw-11134207-7qul0-lhugpyuc17rkb3_tn")</f>
        <v/>
      </c>
      <c r="D3228" t="inlineStr">
        <is>
          <t>14. 套裝 - 發芽碳球</t>
        </is>
      </c>
      <c r="E3228" t="inlineStr"/>
      <c r="F3228">
        <f>IMAGE("https://cf.shopee.tw/file/tw-11134207-7qula-lhud8a6ld4262e_tn")</f>
        <v/>
      </c>
    </row>
    <row r="3229">
      <c r="A3229" t="inlineStr">
        <is>
          <t>20488473843</t>
        </is>
      </c>
      <c r="B3229" t="inlineStr">
        <is>
          <t>隔日到貨🔥 ins爆款 充電器保護套 20W 適用蘋果 線套 咬線器 集線器 iPhone 充電線套 充電套</t>
        </is>
      </c>
      <c r="C3229">
        <f>IMAGE("https://cf.shopee.tw/file/tw-11134207-7qul0-lhugpyuc17rkb3_tn")</f>
        <v/>
      </c>
      <c r="D3229" t="inlineStr">
        <is>
          <t>18, 套裝 - 黑邊黃熊</t>
        </is>
      </c>
      <c r="E3229" t="inlineStr">
        <is>
          <t>108110667072</t>
        </is>
      </c>
      <c r="F3229">
        <f>IMAGE("https://cf.shopee.tw/file/tw-11134207-7qul8-lhwuo7aynkr29d_tn")</f>
        <v/>
      </c>
    </row>
    <row r="3230">
      <c r="A3230" t="inlineStr">
        <is>
          <t>20488473843</t>
        </is>
      </c>
      <c r="B3230" t="inlineStr">
        <is>
          <t>隔日到貨🔥 ins爆款 充電器保護套 20W 適用蘋果 線套 咬線器 集線器 iPhone 充電線套 充電套</t>
        </is>
      </c>
      <c r="C3230">
        <f>IMAGE("https://cf.shopee.tw/file/tw-11134207-7qul0-lhugpyuc17rkb3_tn")</f>
        <v/>
      </c>
      <c r="D3230" t="inlineStr">
        <is>
          <t>19. 套裝 - 無發芽碳球</t>
        </is>
      </c>
      <c r="E3230" t="inlineStr">
        <is>
          <t>207035470661</t>
        </is>
      </c>
      <c r="F3230">
        <f>IMAGE("https://cf.shopee.tw/file/tw-11134207-7r98p-llq96auqzjx793_tn")</f>
        <v/>
      </c>
    </row>
    <row r="3231">
      <c r="A3231" t="inlineStr">
        <is>
          <t>20488473843</t>
        </is>
      </c>
      <c r="B3231" t="inlineStr">
        <is>
          <t>隔日到貨🔥 ins爆款 充電器保護套 20W 適用蘋果 線套 咬線器 集線器 iPhone 充電線套 充電套</t>
        </is>
      </c>
      <c r="C3231">
        <f>IMAGE("https://cf.shopee.tw/file/tw-11134207-7qul0-lhugpyuc17rkb3_tn")</f>
        <v/>
      </c>
      <c r="D3231" t="inlineStr">
        <is>
          <t>充電頭套 - 粉香腸嘴</t>
        </is>
      </c>
      <c r="E3231" t="inlineStr">
        <is>
          <t>69316974493</t>
        </is>
      </c>
      <c r="F3231">
        <f>IMAGE("https://cf.shopee.tw/file/tw-11134207-7qukx-lhudmfq1posub3_tn")</f>
        <v/>
      </c>
    </row>
    <row r="3232">
      <c r="A3232" t="inlineStr">
        <is>
          <t>20488473843</t>
        </is>
      </c>
      <c r="B3232" t="inlineStr">
        <is>
          <t>隔日到貨🔥 ins爆款 充電器保護套 20W 適用蘋果 線套 咬線器 集線器 iPhone 充電線套 充電套</t>
        </is>
      </c>
      <c r="C3232">
        <f>IMAGE("https://cf.shopee.tw/file/tw-11134207-7qul0-lhugpyuc17rkb3_tn")</f>
        <v/>
      </c>
      <c r="D3232" t="inlineStr">
        <is>
          <t>充電頭套 - 綠香腸嘴</t>
        </is>
      </c>
      <c r="E3232" t="inlineStr">
        <is>
          <t>69316974494</t>
        </is>
      </c>
      <c r="F3232">
        <f>IMAGE("https://cf.shopee.tw/file/tw-11134207-7qul3-lhudn53gjm4u78_tn")</f>
        <v/>
      </c>
    </row>
    <row r="3233">
      <c r="A3233" t="inlineStr">
        <is>
          <t>20488473843</t>
        </is>
      </c>
      <c r="B3233" t="inlineStr">
        <is>
          <t>隔日到貨🔥 ins爆款 充電器保護套 20W 適用蘋果 線套 咬線器 集線器 iPhone 充電線套 充電套</t>
        </is>
      </c>
      <c r="C3233">
        <f>IMAGE("https://cf.shopee.tw/file/tw-11134207-7qul0-lhugpyuc17rkb3_tn")</f>
        <v/>
      </c>
      <c r="D3233" t="inlineStr">
        <is>
          <t>充電頭套 - 黑邊黃熊</t>
        </is>
      </c>
      <c r="E3233" t="inlineStr">
        <is>
          <t>69316974492</t>
        </is>
      </c>
      <c r="F3233">
        <f>IMAGE("https://cf.shopee.tw/file/tw-11134207-7qul9-lhudmfq1oa8ecf_tn")</f>
        <v/>
      </c>
    </row>
    <row r="3234">
      <c r="A3234" t="inlineStr">
        <is>
          <t>20488473843</t>
        </is>
      </c>
      <c r="B3234" t="inlineStr">
        <is>
          <t>隔日到貨🔥 ins爆款 充電器保護套 20W 適用蘋果 線套 咬線器 集線器 iPhone 充電線套 充電套</t>
        </is>
      </c>
      <c r="C3234">
        <f>IMAGE("https://cf.shopee.tw/file/tw-11134207-7qul0-lhugpyuc17rkb3_tn")</f>
        <v/>
      </c>
      <c r="D3234" t="inlineStr">
        <is>
          <t>咬線器 - 粉色香腸嘴 (2個裝)</t>
        </is>
      </c>
      <c r="E3234" t="inlineStr">
        <is>
          <t>69316974495</t>
        </is>
      </c>
      <c r="F3234">
        <f>IMAGE("https://cf.shopee.tw/file/tw-11134207-7qul2-lhudlambv2j440_tn")</f>
        <v/>
      </c>
    </row>
    <row r="3235">
      <c r="A3235" t="inlineStr">
        <is>
          <t>20488473843</t>
        </is>
      </c>
      <c r="B3235" t="inlineStr">
        <is>
          <t>隔日到貨🔥 ins爆款 充電器保護套 20W 適用蘋果 線套 咬線器 集線器 iPhone 充電線套 充電套</t>
        </is>
      </c>
      <c r="C3235">
        <f>IMAGE("https://cf.shopee.tw/file/tw-11134207-7qul0-lhugpyuc17rkb3_tn")</f>
        <v/>
      </c>
      <c r="D3235" t="inlineStr">
        <is>
          <t>咬線器 - 綠色香腸嘴 (2個裝)</t>
        </is>
      </c>
      <c r="E3235" t="inlineStr">
        <is>
          <t>69316974491</t>
        </is>
      </c>
      <c r="F3235">
        <f>IMAGE("https://cf.shopee.tw/file/tw-11134207-7qul6-lhudm1a2t70u72_tn")</f>
        <v/>
      </c>
    </row>
    <row r="3236">
      <c r="A3236" t="inlineStr">
        <is>
          <t>20488473843</t>
        </is>
      </c>
      <c r="B3236" t="inlineStr">
        <is>
          <t>隔日到貨🔥 ins爆款 充電器保護套 20W 適用蘋果 線套 咬線器 集線器 iPhone 充電線套 充電套</t>
        </is>
      </c>
      <c r="C3236">
        <f>IMAGE("https://cf.shopee.tw/file/tw-11134207-7qul0-lhugpyuc17rkb3_tn")</f>
        <v/>
      </c>
      <c r="D3236" t="inlineStr">
        <is>
          <t>咬線器 - 黑邊黃熊 (2個裝)</t>
        </is>
      </c>
      <c r="E3236" t="inlineStr"/>
      <c r="F3236">
        <f>IMAGE("https://cf.shopee.tw/file/tw-11134207-7qul4-lhudm1a2ullaed_tn")</f>
        <v/>
      </c>
    </row>
    <row r="3237">
      <c r="A3237" t="inlineStr">
        <is>
          <t>20488473843</t>
        </is>
      </c>
      <c r="B3237" t="inlineStr">
        <is>
          <t>隔日到貨🔥 ins爆款 充電器保護套 20W 適用蘋果 線套 咬線器 集線器 iPhone 充電線套 充電套</t>
        </is>
      </c>
      <c r="C3237">
        <f>IMAGE("https://cf.shopee.tw/file/tw-11134207-7qul0-lhugpyuc17rkb3_tn")</f>
        <v/>
      </c>
      <c r="D3237" t="inlineStr">
        <is>
          <t>咬線器 - 可愛蝴蝶結</t>
        </is>
      </c>
      <c r="E3237" t="inlineStr"/>
      <c r="F3237">
        <f>IMAGE("https://cf.shopee.tw/file/tw-11134207-7qul8-lghmx0xlvh2i76_tn")</f>
        <v/>
      </c>
    </row>
    <row r="3238">
      <c r="A3238" t="inlineStr">
        <is>
          <t>20488473843</t>
        </is>
      </c>
      <c r="B3238" t="inlineStr">
        <is>
          <t>隔日到貨🔥 ins爆款 充電器保護套 20W 適用蘋果 線套 咬線器 集線器 iPhone 充電線套 充電套</t>
        </is>
      </c>
      <c r="C3238">
        <f>IMAGE("https://cf.shopee.tw/file/tw-11134207-7qul0-lhugpyuc17rkb3_tn")</f>
        <v/>
      </c>
      <c r="D3238" t="inlineStr">
        <is>
          <t>咬線器 - 裸粉色鬱金香</t>
        </is>
      </c>
      <c r="E3238" t="inlineStr">
        <is>
          <t>204277011270</t>
        </is>
      </c>
      <c r="F3238">
        <f>IMAGE("https://cf.shopee.tw/file/tw-11134207-7qukx-lghmx0xlwvmy8b_tn")</f>
        <v/>
      </c>
    </row>
    <row r="3239">
      <c r="A3239" t="inlineStr">
        <is>
          <t>20488473843</t>
        </is>
      </c>
      <c r="B3239" t="inlineStr">
        <is>
          <t>隔日到貨🔥 ins爆款 充電器保護套 20W 適用蘋果 線套 咬線器 集線器 iPhone 充電線套 充電套</t>
        </is>
      </c>
      <c r="C3239">
        <f>IMAGE("https://cf.shopee.tw/file/tw-11134207-7qul0-lhugpyuc17rkb3_tn")</f>
        <v/>
      </c>
      <c r="D3239" t="inlineStr">
        <is>
          <t>咬線器 - 帽子熊頭</t>
        </is>
      </c>
      <c r="E3239" t="inlineStr">
        <is>
          <t>204277011271</t>
        </is>
      </c>
      <c r="F3239">
        <f>IMAGE("https://cf.shopee.tw/file/tw-11134207-7qukx-lghmxgv4k7414d_tn")</f>
        <v/>
      </c>
    </row>
    <row r="3240">
      <c r="A3240" t="inlineStr">
        <is>
          <t>20488473843</t>
        </is>
      </c>
      <c r="B3240" t="inlineStr">
        <is>
          <t>隔日到貨🔥 ins爆款 充電器保護套 20W 適用蘋果 線套 咬線器 集線器 iPhone 充電線套 充電套</t>
        </is>
      </c>
      <c r="C3240">
        <f>IMAGE("https://cf.shopee.tw/file/tw-11134207-7qul0-lhugpyuc17rkb3_tn")</f>
        <v/>
      </c>
      <c r="D3240" t="inlineStr">
        <is>
          <t>咬線器 - 蝴蝶結熊頭</t>
        </is>
      </c>
      <c r="E3240" t="inlineStr"/>
      <c r="F3240">
        <f>IMAGE("https://cf.shopee.tw/file/tw-11134207-7qul0-lghmxgv4lloh2e_tn")</f>
        <v/>
      </c>
    </row>
    <row r="3241">
      <c r="A3241" t="inlineStr">
        <is>
          <t>20488473843</t>
        </is>
      </c>
      <c r="B3241" t="inlineStr">
        <is>
          <t>隔日到貨🔥 ins爆款 充電器保護套 20W 適用蘋果 線套 咬線器 集線器 iPhone 充電線套 充電套</t>
        </is>
      </c>
      <c r="C3241">
        <f>IMAGE("https://cf.shopee.tw/file/tw-11134207-7qul0-lhugpyuc17rkb3_tn")</f>
        <v/>
      </c>
      <c r="D3241" t="inlineStr">
        <is>
          <t>咬線器 - 五瓣花</t>
        </is>
      </c>
      <c r="E3241" t="inlineStr">
        <is>
          <t>204277011269</t>
        </is>
      </c>
      <c r="F3241">
        <f>IMAGE("https://cf.shopee.tw/file/tw-11134207-7qukx-lghmxtf46rl6c0_tn")</f>
        <v/>
      </c>
    </row>
    <row r="3242">
      <c r="A3242" t="inlineStr">
        <is>
          <t>20488473843</t>
        </is>
      </c>
      <c r="B3242" t="inlineStr">
        <is>
          <t>隔日到貨🔥 ins爆款 充電器保護套 20W 適用蘋果 線套 咬線器 集線器 iPhone 充電線套 充電套</t>
        </is>
      </c>
      <c r="C3242">
        <f>IMAGE("https://cf.shopee.tw/file/tw-11134207-7qul0-lhugpyuc17rkb3_tn")</f>
        <v/>
      </c>
      <c r="D3242" t="inlineStr">
        <is>
          <t>咬線器 - 粉色花朵</t>
        </is>
      </c>
      <c r="E3242" t="inlineStr">
        <is>
          <t>204277011265</t>
        </is>
      </c>
      <c r="F3242">
        <f>IMAGE("https://cf.shopee.tw/file/tw-11134207-7qukz-lghmxtf4865mc9_tn")</f>
        <v/>
      </c>
    </row>
    <row r="3243">
      <c r="A3243" t="inlineStr">
        <is>
          <t>20488473843</t>
        </is>
      </c>
      <c r="B3243" t="inlineStr">
        <is>
          <t>隔日到貨🔥 ins爆款 充電器保護套 20W 適用蘋果 線套 咬線器 集線器 iPhone 充電線套 充電套</t>
        </is>
      </c>
      <c r="C3243">
        <f>IMAGE("https://cf.shopee.tw/file/tw-11134207-7qul0-lhugpyuc17rkb3_tn")</f>
        <v/>
      </c>
      <c r="D3243" t="inlineStr">
        <is>
          <t>咬線器 - 太陽花</t>
        </is>
      </c>
      <c r="E3243" t="inlineStr">
        <is>
          <t>204277011273</t>
        </is>
      </c>
      <c r="F3243">
        <f>IMAGE("https://cf.shopee.tw/file/tw-11134207-7qukw-lghmy3ilg9hd38_tn")</f>
        <v/>
      </c>
    </row>
    <row r="3244">
      <c r="A3244" t="inlineStr">
        <is>
          <t>20488473843</t>
        </is>
      </c>
      <c r="B3244" t="inlineStr">
        <is>
          <t>隔日到貨🔥 ins爆款 充電器保護套 20W 適用蘋果 線套 咬線器 集線器 iPhone 充電線套 充電套</t>
        </is>
      </c>
      <c r="C3244">
        <f>IMAGE("https://cf.shopee.tw/file/tw-11134207-7qul0-lhugpyuc17rkb3_tn")</f>
        <v/>
      </c>
      <c r="D3244" t="inlineStr">
        <is>
          <t>咬線器 - 小兔子</t>
        </is>
      </c>
      <c r="E3244" t="inlineStr">
        <is>
          <t>204277011275</t>
        </is>
      </c>
      <c r="F3244">
        <f>IMAGE("https://cf.shopee.tw/file/tw-11134207-7qul6-lghmy3ileuwx53_tn")</f>
        <v/>
      </c>
    </row>
    <row r="3245">
      <c r="A3245" t="inlineStr">
        <is>
          <t>20488473843</t>
        </is>
      </c>
      <c r="B3245" t="inlineStr">
        <is>
          <t>隔日到貨🔥 ins爆款 充電器保護套 20W 適用蘋果 線套 咬線器 集線器 iPhone 充電線套 充電套</t>
        </is>
      </c>
      <c r="C3245">
        <f>IMAGE("https://cf.shopee.tw/file/tw-11134207-7qul0-lhugpyuc17rkb3_tn")</f>
        <v/>
      </c>
      <c r="D3245" t="inlineStr">
        <is>
          <t>咬線器 - 白色卡通小熊</t>
        </is>
      </c>
      <c r="E3245" t="inlineStr"/>
      <c r="F3245">
        <f>IMAGE("https://cf.shopee.tw/file/tw-11134207-7r98o-lkvdcf4i32ttd2_tn")</f>
        <v/>
      </c>
    </row>
    <row r="3246">
      <c r="A3246" t="inlineStr">
        <is>
          <t>20488473843</t>
        </is>
      </c>
      <c r="B3246" t="inlineStr">
        <is>
          <t>隔日到貨🔥 ins爆款 充電器保護套 20W 適用蘋果 線套 咬線器 集線器 iPhone 充電線套 充電套</t>
        </is>
      </c>
      <c r="C3246">
        <f>IMAGE("https://cf.shopee.tw/file/tw-11134207-7qul0-lhugpyuc17rkb3_tn")</f>
        <v/>
      </c>
      <c r="D3246" t="inlineStr">
        <is>
          <t>咬線器 - 送花棕熊</t>
        </is>
      </c>
      <c r="E3246" t="inlineStr">
        <is>
          <t>176063778823</t>
        </is>
      </c>
      <c r="F3246">
        <f>IMAGE("https://cf.shopee.tw/file/tw-11134207-7r98o-lkvdctzqbu7td3_tn")</f>
        <v/>
      </c>
    </row>
    <row r="3247">
      <c r="A3247" t="inlineStr">
        <is>
          <t>20488473843</t>
        </is>
      </c>
      <c r="B3247" t="inlineStr">
        <is>
          <t>隔日到貨🔥 ins爆款 充電器保護套 20W 適用蘋果 線套 咬線器 集線器 iPhone 充電線套 充電套</t>
        </is>
      </c>
      <c r="C3247">
        <f>IMAGE("https://cf.shopee.tw/file/tw-11134207-7qul0-lhugpyuc17rkb3_tn")</f>
        <v/>
      </c>
      <c r="D3247" t="inlineStr">
        <is>
          <t>咬線器 - 花束熊</t>
        </is>
      </c>
      <c r="E3247" t="inlineStr"/>
      <c r="F3247">
        <f>IMAGE("https://cf.shopee.tw/file/tw-11134207-7r98o-lkvdctzqd8s920_tn")</f>
        <v/>
      </c>
    </row>
    <row r="3248">
      <c r="A3248" t="inlineStr">
        <is>
          <t>20488473843</t>
        </is>
      </c>
      <c r="B3248" t="inlineStr">
        <is>
          <t>隔日到貨🔥 ins爆款 充電器保護套 20W 適用蘋果 線套 咬線器 集線器 iPhone 充電線套 充電套</t>
        </is>
      </c>
      <c r="C3248">
        <f>IMAGE("https://cf.shopee.tw/file/tw-11134207-7qul0-lhugpyuc17rkb3_tn")</f>
        <v/>
      </c>
      <c r="D3248" t="inlineStr">
        <is>
          <t>咬線器 - 大象</t>
        </is>
      </c>
      <c r="E3248" t="inlineStr"/>
      <c r="F3248">
        <f>IMAGE("https://cf.shopee.tw/file/tw-11134207-7r98o-lkvdd00fipzl44_tn")</f>
        <v/>
      </c>
    </row>
    <row r="3249">
      <c r="A3249" t="inlineStr">
        <is>
          <t>20488473843</t>
        </is>
      </c>
      <c r="B3249" t="inlineStr">
        <is>
          <t>隔日到貨🔥 ins爆款 充電器保護套 20W 適用蘋果 線套 咬線器 集線器 iPhone 充電線套 充電套</t>
        </is>
      </c>
      <c r="C3249">
        <f>IMAGE("https://cf.shopee.tw/file/tw-11134207-7qul0-lhugpyuc17rkb3_tn")</f>
        <v/>
      </c>
      <c r="D3249" t="inlineStr">
        <is>
          <t>咬線器 - 棕色卡通小熊</t>
        </is>
      </c>
      <c r="E3249" t="inlineStr"/>
      <c r="F3249">
        <f>IMAGE("https://cf.shopee.tw/file/tw-11134207-7r98o-lkvdd00fk4k15d_tn")</f>
        <v/>
      </c>
    </row>
    <row r="3250">
      <c r="A3250" t="inlineStr">
        <is>
          <t>20488473843</t>
        </is>
      </c>
      <c r="B3250" t="inlineStr">
        <is>
          <t>隔日到貨🔥 ins爆款 充電器保護套 20W 適用蘋果 線套 咬線器 集線器 iPhone 充電線套 充電套</t>
        </is>
      </c>
      <c r="C3250">
        <f>IMAGE("https://cf.shopee.tw/file/tw-11134207-7qul0-lhugpyuc17rkb3_tn")</f>
        <v/>
      </c>
      <c r="D3250" t="inlineStr">
        <is>
          <t>咬線器 - 錢龜</t>
        </is>
      </c>
      <c r="E3250" t="inlineStr">
        <is>
          <t>177828293452</t>
        </is>
      </c>
      <c r="F3250">
        <f>IMAGE("https://cf.shopee.tw/file/tw-11134207-7r98o-lkvdd5td0zax77_tn")</f>
        <v/>
      </c>
    </row>
    <row r="3251">
      <c r="A3251" t="inlineStr">
        <is>
          <t>20488473843</t>
        </is>
      </c>
      <c r="B3251" t="inlineStr">
        <is>
          <t>隔日到貨🔥 ins爆款 充電器保護套 20W 適用蘋果 線套 咬線器 集線器 iPhone 充電線套 充電套</t>
        </is>
      </c>
      <c r="C3251">
        <f>IMAGE("https://cf.shopee.tw/file/tw-11134207-7qul0-lhugpyuc17rkb3_tn")</f>
        <v/>
      </c>
      <c r="D3251" t="inlineStr">
        <is>
          <t>咬線器 - 愛心小兔</t>
        </is>
      </c>
      <c r="E3251" t="inlineStr"/>
      <c r="F3251">
        <f>IMAGE("https://cf.shopee.tw/file/tw-11134207-7r98o-lkvdd5td2dvda2_tn")</f>
        <v/>
      </c>
    </row>
    <row r="3252">
      <c r="A3252" t="inlineStr">
        <is>
          <t>18753271144</t>
        </is>
      </c>
      <c r="B3252" t="inlineStr">
        <is>
          <t>隔日到貨🔥 iPhone 手機殼 14 13 12 11 pro Max XS XR SE 8plus 保護殼 軟殼</t>
        </is>
      </c>
      <c r="C3252">
        <f>IMAGE("https://cf.shopee.tw/file/sg-11134201-22100-cygn0aw4fgiv49_tn")</f>
        <v/>
      </c>
      <c r="D3252" t="inlineStr">
        <is>
          <t>紫花朵(單殼),11 pro Max</t>
        </is>
      </c>
      <c r="E3252" t="inlineStr">
        <is>
          <t>193835602867</t>
        </is>
      </c>
      <c r="F3252">
        <f>IMAGE("https://cf.shopee.tw/file/fc5af30cc6f986378498041b72f58e1d_tn")</f>
        <v/>
      </c>
    </row>
    <row r="3253">
      <c r="A3253" t="inlineStr">
        <is>
          <t>18753271144</t>
        </is>
      </c>
      <c r="B3253" t="inlineStr">
        <is>
          <t>隔日到貨🔥 iPhone 手機殼 14 13 12 11 pro Max XS XR SE 8plus 保護殼 軟殼</t>
        </is>
      </c>
      <c r="C3253">
        <f>IMAGE("https://cf.shopee.tw/file/sg-11134201-22100-cygn0aw4fgiv49_tn")</f>
        <v/>
      </c>
      <c r="D3253" t="inlineStr">
        <is>
          <t>紫花朵(單殼),7 / 8 / SE2 / SE3</t>
        </is>
      </c>
      <c r="E3253" t="inlineStr">
        <is>
          <t>98339123469</t>
        </is>
      </c>
      <c r="F3253">
        <f>IMAGE("https://cf.shopee.tw/file/fc5af30cc6f986378498041b72f58e1d_tn")</f>
        <v/>
      </c>
    </row>
    <row r="3254">
      <c r="A3254" t="inlineStr">
        <is>
          <t>18753271144</t>
        </is>
      </c>
      <c r="B3254" t="inlineStr">
        <is>
          <t>隔日到貨🔥 iPhone 手機殼 14 13 12 11 pro Max XS XR SE 8plus 保護殼 軟殼</t>
        </is>
      </c>
      <c r="C3254">
        <f>IMAGE("https://cf.shopee.tw/file/sg-11134201-22100-cygn0aw4fgiv49_tn")</f>
        <v/>
      </c>
      <c r="D3254" t="inlineStr">
        <is>
          <t>紫花朵(單殼),7Plus / 8Plus</t>
        </is>
      </c>
      <c r="E3254" t="inlineStr">
        <is>
          <t>174723302509</t>
        </is>
      </c>
      <c r="F3254">
        <f>IMAGE("https://cf.shopee.tw/file/fc5af30cc6f986378498041b72f58e1d_tn")</f>
        <v/>
      </c>
    </row>
    <row r="3255">
      <c r="A3255" t="inlineStr">
        <is>
          <t>18753271144</t>
        </is>
      </c>
      <c r="B3255" t="inlineStr">
        <is>
          <t>隔日到貨🔥 iPhone 手機殼 14 13 12 11 pro Max XS XR SE 8plus 保護殼 軟殼</t>
        </is>
      </c>
      <c r="C3255">
        <f>IMAGE("https://cf.shopee.tw/file/sg-11134201-22100-cygn0aw4fgiv49_tn")</f>
        <v/>
      </c>
      <c r="D3255" t="inlineStr">
        <is>
          <t>紫花朵(單殼),X / XS</t>
        </is>
      </c>
      <c r="E3255" t="inlineStr">
        <is>
          <t>174723302514</t>
        </is>
      </c>
      <c r="F3255">
        <f>IMAGE("https://cf.shopee.tw/file/fc5af30cc6f986378498041b72f58e1d_tn")</f>
        <v/>
      </c>
    </row>
    <row r="3256">
      <c r="A3256" t="inlineStr">
        <is>
          <t>18753271144</t>
        </is>
      </c>
      <c r="B3256" t="inlineStr">
        <is>
          <t>隔日到貨🔥 iPhone 手機殼 14 13 12 11 pro Max XS XR SE 8plus 保護殼 軟殼</t>
        </is>
      </c>
      <c r="C3256">
        <f>IMAGE("https://cf.shopee.tw/file/sg-11134201-22100-cygn0aw4fgiv49_tn")</f>
        <v/>
      </c>
      <c r="D3256" t="inlineStr">
        <is>
          <t>紫花朵(單殼),XR</t>
        </is>
      </c>
      <c r="E3256" t="inlineStr">
        <is>
          <t>174723302515</t>
        </is>
      </c>
      <c r="F3256">
        <f>IMAGE("https://cf.shopee.tw/file/fc5af30cc6f986378498041b72f58e1d_tn")</f>
        <v/>
      </c>
    </row>
    <row r="3257">
      <c r="A3257" t="inlineStr">
        <is>
          <t>18753271144</t>
        </is>
      </c>
      <c r="B3257" t="inlineStr">
        <is>
          <t>隔日到貨🔥 iPhone 手機殼 14 13 12 11 pro Max XS XR SE 8plus 保護殼 軟殼</t>
        </is>
      </c>
      <c r="C3257">
        <f>IMAGE("https://cf.shopee.tw/file/sg-11134201-22100-cygn0aw4fgiv49_tn")</f>
        <v/>
      </c>
      <c r="D3257" t="inlineStr">
        <is>
          <t>紫花朵(單殼),XS MAX</t>
        </is>
      </c>
      <c r="E3257" t="inlineStr">
        <is>
          <t>166203405007</t>
        </is>
      </c>
      <c r="F3257">
        <f>IMAGE("https://cf.shopee.tw/file/fc5af30cc6f986378498041b72f58e1d_tn")</f>
        <v/>
      </c>
    </row>
    <row r="3258">
      <c r="A3258" t="inlineStr">
        <is>
          <t>18753271144</t>
        </is>
      </c>
      <c r="B3258" t="inlineStr">
        <is>
          <t>隔日到貨🔥 iPhone 手機殼 14 13 12 11 pro Max XS XR SE 8plus 保護殼 軟殼</t>
        </is>
      </c>
      <c r="C3258">
        <f>IMAGE("https://cf.shopee.tw/file/sg-11134201-22100-cygn0aw4fgiv49_tn")</f>
        <v/>
      </c>
      <c r="D3258" t="inlineStr">
        <is>
          <t>紫花朵(單殼),11</t>
        </is>
      </c>
      <c r="E3258" t="inlineStr">
        <is>
          <t>164723302659</t>
        </is>
      </c>
      <c r="F3258">
        <f>IMAGE("https://cf.shopee.tw/file/fc5af30cc6f986378498041b72f58e1d_tn")</f>
        <v/>
      </c>
    </row>
    <row r="3259">
      <c r="A3259" t="inlineStr">
        <is>
          <t>18753271144</t>
        </is>
      </c>
      <c r="B3259" t="inlineStr">
        <is>
          <t>隔日到貨🔥 iPhone 手機殼 14 13 12 11 pro Max XS XR SE 8plus 保護殼 軟殼</t>
        </is>
      </c>
      <c r="C3259">
        <f>IMAGE("https://cf.shopee.tw/file/sg-11134201-22100-cygn0aw4fgiv49_tn")</f>
        <v/>
      </c>
      <c r="D3259" t="inlineStr">
        <is>
          <t>紫花朵(單殼),11 pro</t>
        </is>
      </c>
      <c r="E3259" t="inlineStr">
        <is>
          <t>164723302660</t>
        </is>
      </c>
      <c r="F3259">
        <f>IMAGE("https://cf.shopee.tw/file/fc5af30cc6f986378498041b72f58e1d_tn")</f>
        <v/>
      </c>
    </row>
    <row r="3260">
      <c r="A3260" t="inlineStr">
        <is>
          <t>18753271144</t>
        </is>
      </c>
      <c r="B3260" t="inlineStr">
        <is>
          <t>隔日到貨🔥 iPhone 手機殼 14 13 12 11 pro Max XS XR SE 8plus 保護殼 軟殼</t>
        </is>
      </c>
      <c r="C3260">
        <f>IMAGE("https://cf.shopee.tw/file/sg-11134201-22100-cygn0aw4fgiv49_tn")</f>
        <v/>
      </c>
      <c r="D3260" t="inlineStr">
        <is>
          <t>紫花朵(單殼),12</t>
        </is>
      </c>
      <c r="E3260" t="inlineStr">
        <is>
          <t>174723302518</t>
        </is>
      </c>
      <c r="F3260">
        <f>IMAGE("https://cf.shopee.tw/file/fc5af30cc6f986378498041b72f58e1d_tn")</f>
        <v/>
      </c>
    </row>
    <row r="3261">
      <c r="A3261" t="inlineStr">
        <is>
          <t>18753271144</t>
        </is>
      </c>
      <c r="B3261" t="inlineStr">
        <is>
          <t>隔日到貨🔥 iPhone 手機殼 14 13 12 11 pro Max XS XR SE 8plus 保護殼 軟殼</t>
        </is>
      </c>
      <c r="C3261">
        <f>IMAGE("https://cf.shopee.tw/file/sg-11134201-22100-cygn0aw4fgiv49_tn")</f>
        <v/>
      </c>
      <c r="D3261" t="inlineStr">
        <is>
          <t>紫花朵(單殼),12 pro</t>
        </is>
      </c>
      <c r="E3261" t="inlineStr"/>
      <c r="F3261">
        <f>IMAGE("https://cf.shopee.tw/file/fc5af30cc6f986378498041b72f58e1d_tn")</f>
        <v/>
      </c>
    </row>
    <row r="3262">
      <c r="A3262" t="inlineStr">
        <is>
          <t>18753271144</t>
        </is>
      </c>
      <c r="B3262" t="inlineStr">
        <is>
          <t>隔日到貨🔥 iPhone 手機殼 14 13 12 11 pro Max XS XR SE 8plus 保護殼 軟殼</t>
        </is>
      </c>
      <c r="C3262">
        <f>IMAGE("https://cf.shopee.tw/file/sg-11134201-22100-cygn0aw4fgiv49_tn")</f>
        <v/>
      </c>
      <c r="D3262" t="inlineStr">
        <is>
          <t>紫花朵(單殼),12 pro Max</t>
        </is>
      </c>
      <c r="E3262" t="inlineStr">
        <is>
          <t>174723302511</t>
        </is>
      </c>
      <c r="F3262">
        <f>IMAGE("https://cf.shopee.tw/file/fc5af30cc6f986378498041b72f58e1d_tn")</f>
        <v/>
      </c>
    </row>
    <row r="3263">
      <c r="A3263" t="inlineStr">
        <is>
          <t>18753271144</t>
        </is>
      </c>
      <c r="B3263" t="inlineStr">
        <is>
          <t>隔日到貨🔥 iPhone 手機殼 14 13 12 11 pro Max XS XR SE 8plus 保護殼 軟殼</t>
        </is>
      </c>
      <c r="C3263">
        <f>IMAGE("https://cf.shopee.tw/file/sg-11134201-22100-cygn0aw4fgiv49_tn")</f>
        <v/>
      </c>
      <c r="D3263" t="inlineStr">
        <is>
          <t>紫花朵(單殼),13</t>
        </is>
      </c>
      <c r="E3263" t="inlineStr">
        <is>
          <t>174723302519</t>
        </is>
      </c>
      <c r="F3263">
        <f>IMAGE("https://cf.shopee.tw/file/fc5af30cc6f986378498041b72f58e1d_tn")</f>
        <v/>
      </c>
    </row>
    <row r="3264">
      <c r="A3264" t="inlineStr">
        <is>
          <t>18753271144</t>
        </is>
      </c>
      <c r="B3264" t="inlineStr">
        <is>
          <t>隔日到貨🔥 iPhone 手機殼 14 13 12 11 pro Max XS XR SE 8plus 保護殼 軟殼</t>
        </is>
      </c>
      <c r="C3264">
        <f>IMAGE("https://cf.shopee.tw/file/sg-11134201-22100-cygn0aw4fgiv49_tn")</f>
        <v/>
      </c>
      <c r="D3264" t="inlineStr">
        <is>
          <t>紫花朵(單殼),13 pro</t>
        </is>
      </c>
      <c r="E3264" t="inlineStr"/>
      <c r="F3264">
        <f>IMAGE("https://cf.shopee.tw/file/fc5af30cc6f986378498041b72f58e1d_tn")</f>
        <v/>
      </c>
    </row>
    <row r="3265">
      <c r="A3265" t="inlineStr">
        <is>
          <t>18753271144</t>
        </is>
      </c>
      <c r="B3265" t="inlineStr">
        <is>
          <t>隔日到貨🔥 iPhone 手機殼 14 13 12 11 pro Max XS XR SE 8plus 保護殼 軟殼</t>
        </is>
      </c>
      <c r="C3265">
        <f>IMAGE("https://cf.shopee.tw/file/sg-11134201-22100-cygn0aw4fgiv49_tn")</f>
        <v/>
      </c>
      <c r="D3265" t="inlineStr">
        <is>
          <t>紫花朵(單殼),13 pro Max</t>
        </is>
      </c>
      <c r="E3265" t="inlineStr"/>
      <c r="F3265">
        <f>IMAGE("https://cf.shopee.tw/file/fc5af30cc6f986378498041b72f58e1d_tn")</f>
        <v/>
      </c>
    </row>
    <row r="3266">
      <c r="A3266" t="inlineStr">
        <is>
          <t>18753271144</t>
        </is>
      </c>
      <c r="B3266" t="inlineStr">
        <is>
          <t>隔日到貨🔥 iPhone 手機殼 14 13 12 11 pro Max XS XR SE 8plus 保護殼 軟殼</t>
        </is>
      </c>
      <c r="C3266">
        <f>IMAGE("https://cf.shopee.tw/file/sg-11134201-22100-cygn0aw4fgiv49_tn")</f>
        <v/>
      </c>
      <c r="D3266" t="inlineStr">
        <is>
          <t>紫花朵(單殼),14</t>
        </is>
      </c>
      <c r="E3266" t="inlineStr"/>
      <c r="F3266">
        <f>IMAGE("https://cf.shopee.tw/file/fc5af30cc6f986378498041b72f58e1d_tn")</f>
        <v/>
      </c>
    </row>
    <row r="3267">
      <c r="A3267" t="inlineStr">
        <is>
          <t>18753271144</t>
        </is>
      </c>
      <c r="B3267" t="inlineStr">
        <is>
          <t>隔日到貨🔥 iPhone 手機殼 14 13 12 11 pro Max XS XR SE 8plus 保護殼 軟殼</t>
        </is>
      </c>
      <c r="C3267">
        <f>IMAGE("https://cf.shopee.tw/file/sg-11134201-22100-cygn0aw4fgiv49_tn")</f>
        <v/>
      </c>
      <c r="D3267" t="inlineStr">
        <is>
          <t>紫花朵(單殼),14 Plus</t>
        </is>
      </c>
      <c r="E3267" t="inlineStr">
        <is>
          <t>174723302508</t>
        </is>
      </c>
      <c r="F3267">
        <f>IMAGE("https://cf.shopee.tw/file/fc5af30cc6f986378498041b72f58e1d_tn")</f>
        <v/>
      </c>
    </row>
    <row r="3268">
      <c r="A3268" t="inlineStr">
        <is>
          <t>18753271144</t>
        </is>
      </c>
      <c r="B3268" t="inlineStr">
        <is>
          <t>隔日到貨🔥 iPhone 手機殼 14 13 12 11 pro Max XS XR SE 8plus 保護殼 軟殼</t>
        </is>
      </c>
      <c r="C3268">
        <f>IMAGE("https://cf.shopee.tw/file/sg-11134201-22100-cygn0aw4fgiv49_tn")</f>
        <v/>
      </c>
      <c r="D3268" t="inlineStr">
        <is>
          <t>紫花朵(單殼),14 pro</t>
        </is>
      </c>
      <c r="E3268" t="inlineStr">
        <is>
          <t>164723302662</t>
        </is>
      </c>
      <c r="F3268">
        <f>IMAGE("https://cf.shopee.tw/file/fc5af30cc6f986378498041b72f58e1d_tn")</f>
        <v/>
      </c>
    </row>
    <row r="3269">
      <c r="A3269" t="inlineStr">
        <is>
          <t>18753271144</t>
        </is>
      </c>
      <c r="B3269" t="inlineStr">
        <is>
          <t>隔日到貨🔥 iPhone 手機殼 14 13 12 11 pro Max XS XR SE 8plus 保護殼 軟殼</t>
        </is>
      </c>
      <c r="C3269">
        <f>IMAGE("https://cf.shopee.tw/file/sg-11134201-22100-cygn0aw4fgiv49_tn")</f>
        <v/>
      </c>
      <c r="D3269" t="inlineStr">
        <is>
          <t>紫花朵(單殼),14 pro Max</t>
        </is>
      </c>
      <c r="E3269" t="inlineStr">
        <is>
          <t>174723302513</t>
        </is>
      </c>
      <c r="F3269">
        <f>IMAGE("https://cf.shopee.tw/file/fc5af30cc6f986378498041b72f58e1d_tn")</f>
        <v/>
      </c>
    </row>
    <row r="3270">
      <c r="A3270" t="inlineStr">
        <is>
          <t>18753271144</t>
        </is>
      </c>
      <c r="B3270" t="inlineStr">
        <is>
          <t>隔日到貨🔥 iPhone 手機殼 14 13 12 11 pro Max XS XR SE 8plus 保護殼 軟殼</t>
        </is>
      </c>
      <c r="C3270">
        <f>IMAGE("https://cf.shopee.tw/file/sg-11134201-22100-cygn0aw4fgiv49_tn")</f>
        <v/>
      </c>
      <c r="D3270" t="inlineStr">
        <is>
          <t>紫花朵(單殼),iPhone 15</t>
        </is>
      </c>
      <c r="E3270" t="inlineStr">
        <is>
          <t>255101747978</t>
        </is>
      </c>
      <c r="F3270">
        <f>IMAGE("https://cf.shopee.tw/file/fc5af30cc6f986378498041b72f58e1d_tn")</f>
        <v/>
      </c>
    </row>
    <row r="3271">
      <c r="A3271" t="inlineStr">
        <is>
          <t>18753271144</t>
        </is>
      </c>
      <c r="B3271" t="inlineStr">
        <is>
          <t>隔日到貨🔥 iPhone 手機殼 14 13 12 11 pro Max XS XR SE 8plus 保護殼 軟殼</t>
        </is>
      </c>
      <c r="C3271">
        <f>IMAGE("https://cf.shopee.tw/file/sg-11134201-22100-cygn0aw4fgiv49_tn")</f>
        <v/>
      </c>
      <c r="D3271" t="inlineStr">
        <is>
          <t>紫花朵(單殼),iPhone 15 Pro</t>
        </is>
      </c>
      <c r="E3271" t="inlineStr"/>
      <c r="F3271">
        <f>IMAGE("https://cf.shopee.tw/file/fc5af30cc6f986378498041b72f58e1d_tn")</f>
        <v/>
      </c>
    </row>
    <row r="3272">
      <c r="A3272" t="inlineStr">
        <is>
          <t>18753271144</t>
        </is>
      </c>
      <c r="B3272" t="inlineStr">
        <is>
          <t>隔日到貨🔥 iPhone 手機殼 14 13 12 11 pro Max XS XR SE 8plus 保護殼 軟殼</t>
        </is>
      </c>
      <c r="C3272">
        <f>IMAGE("https://cf.shopee.tw/file/sg-11134201-22100-cygn0aw4fgiv49_tn")</f>
        <v/>
      </c>
      <c r="D3272" t="inlineStr">
        <is>
          <t>紫花朵(單殼),iPhone 15 Pro Max</t>
        </is>
      </c>
      <c r="E3272" t="inlineStr"/>
      <c r="F3272">
        <f>IMAGE("https://cf.shopee.tw/file/fc5af30cc6f986378498041b72f58e1d_tn")</f>
        <v/>
      </c>
    </row>
    <row r="3273">
      <c r="A3273" t="inlineStr">
        <is>
          <t>18753271144</t>
        </is>
      </c>
      <c r="B3273" t="inlineStr">
        <is>
          <t>隔日到貨🔥 iPhone 手機殼 14 13 12 11 pro Max XS XR SE 8plus 保護殼 軟殼</t>
        </is>
      </c>
      <c r="C3273">
        <f>IMAGE("https://cf.shopee.tw/file/sg-11134201-22100-cygn0aw4fgiv49_tn")</f>
        <v/>
      </c>
      <c r="D3273" t="inlineStr">
        <is>
          <t>紫花朵(單殼),iPhone 15 Plus</t>
        </is>
      </c>
      <c r="E3273" t="inlineStr"/>
      <c r="F3273">
        <f>IMAGE("https://cf.shopee.tw/file/fc5af30cc6f986378498041b72f58e1d_tn")</f>
        <v/>
      </c>
    </row>
    <row r="3274">
      <c r="A3274" t="inlineStr">
        <is>
          <t>18753271144</t>
        </is>
      </c>
      <c r="B3274" t="inlineStr">
        <is>
          <t>隔日到貨🔥 iPhone 手機殼 14 13 12 11 pro Max XS XR SE 8plus 保護殼 軟殼</t>
        </is>
      </c>
      <c r="C3274">
        <f>IMAGE("https://cf.shopee.tw/file/sg-11134201-22100-cygn0aw4fgiv49_tn")</f>
        <v/>
      </c>
      <c r="D3274" t="inlineStr">
        <is>
          <t>紫花朵(單殼),加購木頭紫花繩</t>
        </is>
      </c>
      <c r="E3274" t="inlineStr">
        <is>
          <t>241190568294</t>
        </is>
      </c>
      <c r="F3274">
        <f>IMAGE("https://cf.shopee.tw/file/fc5af30cc6f986378498041b72f58e1d_tn")</f>
        <v/>
      </c>
    </row>
    <row r="3275">
      <c r="A3275" t="inlineStr">
        <is>
          <t>11515936363</t>
        </is>
      </c>
      <c r="B3275" t="inlineStr">
        <is>
          <t>隔日到貨🔥 韓風熱銷款🏆 韓國ins 吊飾 鑰匙扣 鑰匙圈 文青 汽車鑰匙 公仔 掛飾 吊墜 掛鉤 吊環 墜飾</t>
        </is>
      </c>
      <c r="C3275">
        <f>IMAGE("https://cf.shopee.tw/file/de858d023d3db149cf58e5d32b34b565_tn")</f>
        <v/>
      </c>
      <c r="D3275" t="inlineStr">
        <is>
          <t>2. 荷包蛋鑰匙圈</t>
        </is>
      </c>
      <c r="E3275" t="inlineStr"/>
      <c r="F3275">
        <f>IMAGE("https://cf.shopee.tw/file/b89f496f61e593bd59c96312cafbb127_tn")</f>
        <v/>
      </c>
    </row>
    <row r="3276">
      <c r="A3276" t="inlineStr">
        <is>
          <t>11515936363</t>
        </is>
      </c>
      <c r="B3276" t="inlineStr">
        <is>
          <t>隔日到貨🔥 韓風熱銷款🏆 韓國ins 吊飾 鑰匙扣 鑰匙圈 文青 汽車鑰匙 公仔 掛飾 吊墜 掛鉤 吊環 墜飾</t>
        </is>
      </c>
      <c r="C3276">
        <f>IMAGE("https://cf.shopee.tw/file/de858d023d3db149cf58e5d32b34b565_tn")</f>
        <v/>
      </c>
      <c r="D3276" t="inlineStr">
        <is>
          <t>3. 櫻桃鑰匙圈</t>
        </is>
      </c>
      <c r="E3276" t="inlineStr"/>
      <c r="F3276">
        <f>IMAGE("https://cf.shopee.tw/file/a8cfd06c6dbdf0c7182b796ea4c4b1c3_tn")</f>
        <v/>
      </c>
    </row>
    <row r="3277">
      <c r="A3277" t="inlineStr">
        <is>
          <t>11515936363</t>
        </is>
      </c>
      <c r="B3277" t="inlineStr">
        <is>
          <t>隔日到貨🔥 韓風熱銷款🏆 韓國ins 吊飾 鑰匙扣 鑰匙圈 文青 汽車鑰匙 公仔 掛飾 吊墜 掛鉤 吊環 墜飾</t>
        </is>
      </c>
      <c r="C3277">
        <f>IMAGE("https://cf.shopee.tw/file/de858d023d3db149cf58e5d32b34b565_tn")</f>
        <v/>
      </c>
      <c r="D3277" t="inlineStr">
        <is>
          <t>4. 草莓鑰匙圈</t>
        </is>
      </c>
      <c r="E3277" t="inlineStr"/>
      <c r="F3277">
        <f>IMAGE("https://cf.shopee.tw/file/06c7225faad26dbd14394810535ac54d_tn")</f>
        <v/>
      </c>
    </row>
    <row r="3278">
      <c r="A3278" t="inlineStr">
        <is>
          <t>11515936363</t>
        </is>
      </c>
      <c r="B3278" t="inlineStr">
        <is>
          <t>隔日到貨🔥 韓風熱銷款🏆 韓國ins 吊飾 鑰匙扣 鑰匙圈 文青 汽車鑰匙 公仔 掛飾 吊墜 掛鉤 吊環 墜飾</t>
        </is>
      </c>
      <c r="C3278">
        <f>IMAGE("https://cf.shopee.tw/file/de858d023d3db149cf58e5d32b34b565_tn")</f>
        <v/>
      </c>
      <c r="D3278" t="inlineStr">
        <is>
          <t>5. 紫色花鑰匙圈</t>
        </is>
      </c>
      <c r="E3278" t="inlineStr">
        <is>
          <t>46254013226</t>
        </is>
      </c>
      <c r="F3278">
        <f>IMAGE("https://cf.shopee.tw/file/479eedc4d680e06cc120c90df7cb4f53_tn")</f>
        <v/>
      </c>
    </row>
    <row r="3279">
      <c r="A3279" t="inlineStr">
        <is>
          <t>11515936363</t>
        </is>
      </c>
      <c r="B3279" t="inlineStr">
        <is>
          <t>隔日到貨🔥 韓風熱銷款🏆 韓國ins 吊飾 鑰匙扣 鑰匙圈 文青 汽車鑰匙 公仔 掛飾 吊墜 掛鉤 吊環 墜飾</t>
        </is>
      </c>
      <c r="C3279">
        <f>IMAGE("https://cf.shopee.tw/file/de858d023d3db149cf58e5d32b34b565_tn")</f>
        <v/>
      </c>
      <c r="D3279" t="inlineStr">
        <is>
          <t>6. 黃色花鑰匙圈</t>
        </is>
      </c>
      <c r="E3279" t="inlineStr"/>
      <c r="F3279">
        <f>IMAGE("https://cf.shopee.tw/file/543303a0e77a5b496dd125c873d5d604_tn")</f>
        <v/>
      </c>
    </row>
    <row r="3280">
      <c r="A3280" t="inlineStr">
        <is>
          <t>11515936363</t>
        </is>
      </c>
      <c r="B3280" t="inlineStr">
        <is>
          <t>隔日到貨🔥 韓風熱銷款🏆 韓國ins 吊飾 鑰匙扣 鑰匙圈 文青 汽車鑰匙 公仔 掛飾 吊墜 掛鉤 吊環 墜飾</t>
        </is>
      </c>
      <c r="C3280">
        <f>IMAGE("https://cf.shopee.tw/file/de858d023d3db149cf58e5d32b34b565_tn")</f>
        <v/>
      </c>
      <c r="D3280" t="inlineStr">
        <is>
          <t>10. 紅帽bear熊鑰匙圈</t>
        </is>
      </c>
      <c r="E3280" t="inlineStr"/>
      <c r="F3280">
        <f>IMAGE("https://cf.shopee.tw/file/2eacf40683f8a31fd06998188a7377d8_tn")</f>
        <v/>
      </c>
    </row>
    <row r="3281">
      <c r="A3281" t="inlineStr">
        <is>
          <t>11515936363</t>
        </is>
      </c>
      <c r="B3281" t="inlineStr">
        <is>
          <t>隔日到貨🔥 韓風熱銷款🏆 韓國ins 吊飾 鑰匙扣 鑰匙圈 文青 汽車鑰匙 公仔 掛飾 吊墜 掛鉤 吊環 墜飾</t>
        </is>
      </c>
      <c r="C3281">
        <f>IMAGE("https://cf.shopee.tw/file/de858d023d3db149cf58e5d32b34b565_tn")</f>
        <v/>
      </c>
      <c r="D3281" t="inlineStr">
        <is>
          <t>15. 表情雙櫻桃鑰匙圈</t>
        </is>
      </c>
      <c r="E3281" t="inlineStr"/>
      <c r="F3281">
        <f>IMAGE("https://cf.shopee.tw/file/f335b912ad0435f33579b5537f7945c9_tn")</f>
        <v/>
      </c>
    </row>
    <row r="3282">
      <c r="A3282" t="inlineStr">
        <is>
          <t>11515936363</t>
        </is>
      </c>
      <c r="B3282" t="inlineStr">
        <is>
          <t>隔日到貨🔥 韓風熱銷款🏆 韓國ins 吊飾 鑰匙扣 鑰匙圈 文青 汽車鑰匙 公仔 掛飾 吊墜 掛鉤 吊環 墜飾</t>
        </is>
      </c>
      <c r="C3282">
        <f>IMAGE("https://cf.shopee.tw/file/de858d023d3db149cf58e5d32b34b565_tn")</f>
        <v/>
      </c>
      <c r="D3282" t="inlineStr">
        <is>
          <t>16. 熊拿蘋果鑰匙圈</t>
        </is>
      </c>
      <c r="E3282" t="inlineStr"/>
      <c r="F3282">
        <f>IMAGE("https://cf.shopee.tw/file/ab40cdc9feffbd7072fbf9b46b9dad9d_tn")</f>
        <v/>
      </c>
    </row>
    <row r="3283">
      <c r="A3283" t="inlineStr">
        <is>
          <t>11515936363</t>
        </is>
      </c>
      <c r="B3283" t="inlineStr">
        <is>
          <t>隔日到貨🔥 韓風熱銷款🏆 韓國ins 吊飾 鑰匙扣 鑰匙圈 文青 汽車鑰匙 公仔 掛飾 吊墜 掛鉤 吊環 墜飾</t>
        </is>
      </c>
      <c r="C3283">
        <f>IMAGE("https://cf.shopee.tw/file/de858d023d3db149cf58e5d32b34b565_tn")</f>
        <v/>
      </c>
      <c r="D3283" t="inlineStr">
        <is>
          <t>17. 黃色太陽花鑰匙圈</t>
        </is>
      </c>
      <c r="E3283" t="inlineStr"/>
      <c r="F3283">
        <f>IMAGE("https://cf.shopee.tw/file/9beaa5c6deb62fd095962576bd711d3a_tn")</f>
        <v/>
      </c>
    </row>
    <row r="3284">
      <c r="A3284" t="inlineStr">
        <is>
          <t>11515936363</t>
        </is>
      </c>
      <c r="B3284" t="inlineStr">
        <is>
          <t>隔日到貨🔥 韓風熱銷款🏆 韓國ins 吊飾 鑰匙扣 鑰匙圈 文青 汽車鑰匙 公仔 掛飾 吊墜 掛鉤 吊環 墜飾</t>
        </is>
      </c>
      <c r="C3284">
        <f>IMAGE("https://cf.shopee.tw/file/de858d023d3db149cf58e5d32b34b565_tn")</f>
        <v/>
      </c>
      <c r="D3284" t="inlineStr">
        <is>
          <t>20. 粉心表情鑰匙圈</t>
        </is>
      </c>
      <c r="E3284" t="inlineStr"/>
      <c r="F3284">
        <f>IMAGE("https://cf.shopee.tw/file/5766fbe2ffc1e9065329dd1434867db7_tn")</f>
        <v/>
      </c>
    </row>
    <row r="3285">
      <c r="A3285" t="inlineStr">
        <is>
          <t>11515936363</t>
        </is>
      </c>
      <c r="B3285" t="inlineStr">
        <is>
          <t>隔日到貨🔥 韓風熱銷款🏆 韓國ins 吊飾 鑰匙扣 鑰匙圈 文青 汽車鑰匙 公仔 掛飾 吊墜 掛鉤 吊環 墜飾</t>
        </is>
      </c>
      <c r="C3285">
        <f>IMAGE("https://cf.shopee.tw/file/de858d023d3db149cf58e5d32b34b565_tn")</f>
        <v/>
      </c>
      <c r="D3285" t="inlineStr">
        <is>
          <t>21. 黃色表情吐舌頭鑰匙圈</t>
        </is>
      </c>
      <c r="E3285" t="inlineStr"/>
      <c r="F3285">
        <f>IMAGE("https://cf.shopee.tw/file/1e887871285d7bf3cb4962cd2f9b36d4_tn")</f>
        <v/>
      </c>
    </row>
    <row r="3286">
      <c r="A3286" t="inlineStr">
        <is>
          <t>11515936363</t>
        </is>
      </c>
      <c r="B3286" t="inlineStr">
        <is>
          <t>隔日到貨🔥 韓風熱銷款🏆 韓國ins 吊飾 鑰匙扣 鑰匙圈 文青 汽車鑰匙 公仔 掛飾 吊墜 掛鉤 吊環 墜飾</t>
        </is>
      </c>
      <c r="C3286">
        <f>IMAGE("https://cf.shopee.tw/file/de858d023d3db149cf58e5d32b34b565_tn")</f>
        <v/>
      </c>
      <c r="D3286" t="inlineStr">
        <is>
          <t>26. 藍汽車鑰匙圈</t>
        </is>
      </c>
      <c r="E3286" t="inlineStr"/>
      <c r="F3286">
        <f>IMAGE("https://cf.shopee.tw/file/171469207e61e2daffa8efb98209d202_tn")</f>
        <v/>
      </c>
    </row>
    <row r="3287">
      <c r="A3287" t="inlineStr">
        <is>
          <t>11515936363</t>
        </is>
      </c>
      <c r="B3287" t="inlineStr">
        <is>
          <t>隔日到貨🔥 韓風熱銷款🏆 韓國ins 吊飾 鑰匙扣 鑰匙圈 文青 汽車鑰匙 公仔 掛飾 吊墜 掛鉤 吊環 墜飾</t>
        </is>
      </c>
      <c r="C3287">
        <f>IMAGE("https://cf.shopee.tw/file/de858d023d3db149cf58e5d32b34b565_tn")</f>
        <v/>
      </c>
      <c r="D3287" t="inlineStr">
        <is>
          <t>27. 襪子熊鑰匙圈</t>
        </is>
      </c>
      <c r="E3287" t="inlineStr"/>
      <c r="F3287">
        <f>IMAGE("https://cf.shopee.tw/file/f912248254b56b2480ab9026ab44b83d_tn")</f>
        <v/>
      </c>
    </row>
    <row r="3288">
      <c r="A3288" t="inlineStr">
        <is>
          <t>11515936363</t>
        </is>
      </c>
      <c r="B3288" t="inlineStr">
        <is>
          <t>隔日到貨🔥 韓風熱銷款🏆 韓國ins 吊飾 鑰匙扣 鑰匙圈 文青 汽車鑰匙 公仔 掛飾 吊墜 掛鉤 吊環 墜飾</t>
        </is>
      </c>
      <c r="C3288">
        <f>IMAGE("https://cf.shopee.tw/file/de858d023d3db149cf58e5d32b34b565_tn")</f>
        <v/>
      </c>
      <c r="D3288" t="inlineStr">
        <is>
          <t>28. 紅蕃茄鑰匙圈</t>
        </is>
      </c>
      <c r="E3288" t="inlineStr"/>
      <c r="F3288">
        <f>IMAGE("https://cf.shopee.tw/file/0ba00f438ec3190658e2fb19a2a7145f_tn")</f>
        <v/>
      </c>
    </row>
    <row r="3289">
      <c r="A3289" t="inlineStr">
        <is>
          <t>11515936363</t>
        </is>
      </c>
      <c r="B3289" t="inlineStr">
        <is>
          <t>隔日到貨🔥 韓風熱銷款🏆 韓國ins 吊飾 鑰匙扣 鑰匙圈 文青 汽車鑰匙 公仔 掛飾 吊墜 掛鉤 吊環 墜飾</t>
        </is>
      </c>
      <c r="C3289">
        <f>IMAGE("https://cf.shopee.tw/file/de858d023d3db149cf58e5d32b34b565_tn")</f>
        <v/>
      </c>
      <c r="D3289" t="inlineStr">
        <is>
          <t>29. 吐舌熊足球</t>
        </is>
      </c>
      <c r="E3289" t="inlineStr"/>
      <c r="F3289">
        <f>IMAGE("https://cf.shopee.tw/file/807b527d16706f458f951e2fe25363c5_tn")</f>
        <v/>
      </c>
    </row>
    <row r="3290">
      <c r="A3290" t="inlineStr">
        <is>
          <t>11515936363</t>
        </is>
      </c>
      <c r="B3290" t="inlineStr">
        <is>
          <t>隔日到貨🔥 韓風熱銷款🏆 韓國ins 吊飾 鑰匙扣 鑰匙圈 文青 汽車鑰匙 公仔 掛飾 吊墜 掛鉤 吊環 墜飾</t>
        </is>
      </c>
      <c r="C3290">
        <f>IMAGE("https://cf.shopee.tw/file/de858d023d3db149cf58e5d32b34b565_tn")</f>
        <v/>
      </c>
      <c r="D3290" t="inlineStr">
        <is>
          <t>32. 吐舌熊頭頂櫻桃</t>
        </is>
      </c>
      <c r="E3290" t="inlineStr"/>
      <c r="F3290">
        <f>IMAGE("https://cf.shopee.tw/file/6b5c3a298f85c5272e41bdf362003453_tn")</f>
        <v/>
      </c>
    </row>
    <row r="3291">
      <c r="A3291" t="inlineStr">
        <is>
          <t>11515936363</t>
        </is>
      </c>
      <c r="B3291" t="inlineStr">
        <is>
          <t>隔日到貨🔥 韓風熱銷款🏆 韓國ins 吊飾 鑰匙扣 鑰匙圈 文青 汽車鑰匙 公仔 掛飾 吊墜 掛鉤 吊環 墜飾</t>
        </is>
      </c>
      <c r="C3291">
        <f>IMAGE("https://cf.shopee.tw/file/de858d023d3db149cf58e5d32b34b565_tn")</f>
        <v/>
      </c>
      <c r="D3291" t="inlineStr">
        <is>
          <t>1. 藍色花鑰匙圈</t>
        </is>
      </c>
      <c r="E3291" t="inlineStr">
        <is>
          <t>46254013223</t>
        </is>
      </c>
      <c r="F3291">
        <f>IMAGE("https://cf.shopee.tw/file/87060e27df78933a568ed9aa219aacf1_tn")</f>
        <v/>
      </c>
    </row>
    <row r="3292">
      <c r="A3292" t="inlineStr">
        <is>
          <t>11515936363</t>
        </is>
      </c>
      <c r="B3292" t="inlineStr">
        <is>
          <t>隔日到貨🔥 韓風熱銷款🏆 韓國ins 吊飾 鑰匙扣 鑰匙圈 文青 汽車鑰匙 公仔 掛飾 吊墜 掛鉤 吊環 墜飾</t>
        </is>
      </c>
      <c r="C3292">
        <f>IMAGE("https://cf.shopee.tw/file/de858d023d3db149cf58e5d32b34b565_tn")</f>
        <v/>
      </c>
      <c r="D3292" t="inlineStr">
        <is>
          <t>7. 笑臉牛奶鑰匙圈</t>
        </is>
      </c>
      <c r="E3292" t="inlineStr"/>
      <c r="F3292">
        <f>IMAGE("https://cf.shopee.tw/file/99c871f61ef8f771196a9f9316f2006a_tn")</f>
        <v/>
      </c>
    </row>
    <row r="3293">
      <c r="A3293" t="inlineStr">
        <is>
          <t>11515936363</t>
        </is>
      </c>
      <c r="B3293" t="inlineStr">
        <is>
          <t>隔日到貨🔥 韓風熱銷款🏆 韓國ins 吊飾 鑰匙扣 鑰匙圈 文青 汽車鑰匙 公仔 掛飾 吊墜 掛鉤 吊環 墜飾</t>
        </is>
      </c>
      <c r="C3293">
        <f>IMAGE("https://cf.shopee.tw/file/de858d023d3db149cf58e5d32b34b565_tn")</f>
        <v/>
      </c>
      <c r="D3293" t="inlineStr">
        <is>
          <t>8. 棕色考拉鑰匙圈</t>
        </is>
      </c>
      <c r="E3293" t="inlineStr"/>
      <c r="F3293">
        <f>IMAGE("https://cf.shopee.tw/file/b25a48dd1b2908e8480dcc10144ba2e0_tn")</f>
        <v/>
      </c>
    </row>
    <row r="3294">
      <c r="A3294" t="inlineStr">
        <is>
          <t>11515936363</t>
        </is>
      </c>
      <c r="B3294" t="inlineStr">
        <is>
          <t>隔日到貨🔥 韓風熱銷款🏆 韓國ins 吊飾 鑰匙扣 鑰匙圈 文青 汽車鑰匙 公仔 掛飾 吊墜 掛鉤 吊環 墜飾</t>
        </is>
      </c>
      <c r="C3294">
        <f>IMAGE("https://cf.shopee.tw/file/de858d023d3db149cf58e5d32b34b565_tn")</f>
        <v/>
      </c>
      <c r="D3294" t="inlineStr">
        <is>
          <t>9. umu布丁鑰匙圈</t>
        </is>
      </c>
      <c r="E3294" t="inlineStr">
        <is>
          <t>46254013227</t>
        </is>
      </c>
      <c r="F3294">
        <f>IMAGE("https://cf.shopee.tw/file/984e928efdfa2136d0e9960b8dd341bd_tn")</f>
        <v/>
      </c>
    </row>
    <row r="3295">
      <c r="A3295" t="inlineStr">
        <is>
          <t>11515936363</t>
        </is>
      </c>
      <c r="B3295" t="inlineStr">
        <is>
          <t>隔日到貨🔥 韓風熱銷款🏆 韓國ins 吊飾 鑰匙扣 鑰匙圈 文青 汽車鑰匙 公仔 掛飾 吊墜 掛鉤 吊環 墜飾</t>
        </is>
      </c>
      <c r="C3295">
        <f>IMAGE("https://cf.shopee.tw/file/de858d023d3db149cf58e5d32b34b565_tn")</f>
        <v/>
      </c>
      <c r="D3295" t="inlineStr">
        <is>
          <t>11. 紫熊玫瑰花鑰匙圈</t>
        </is>
      </c>
      <c r="E3295" t="inlineStr"/>
      <c r="F3295">
        <f>IMAGE("https://cf.shopee.tw/file/fa6cd0ce2f89acfd16c13d052abca43b_tn")</f>
        <v/>
      </c>
    </row>
    <row r="3296">
      <c r="A3296" t="inlineStr">
        <is>
          <t>11515936363</t>
        </is>
      </c>
      <c r="B3296" t="inlineStr">
        <is>
          <t>隔日到貨🔥 韓風熱銷款🏆 韓國ins 吊飾 鑰匙扣 鑰匙圈 文青 汽車鑰匙 公仔 掛飾 吊墜 掛鉤 吊環 墜飾</t>
        </is>
      </c>
      <c r="C3296">
        <f>IMAGE("https://cf.shopee.tw/file/de858d023d3db149cf58e5d32b34b565_tn")</f>
        <v/>
      </c>
      <c r="D3296" t="inlineStr">
        <is>
          <t>12. 吃餅乾熊鑰匙圈</t>
        </is>
      </c>
      <c r="E3296" t="inlineStr">
        <is>
          <t>46254013229</t>
        </is>
      </c>
      <c r="F3296">
        <f>IMAGE("https://cf.shopee.tw/file/d61b41090364244dc00b8c279aa6707b_tn")</f>
        <v/>
      </c>
    </row>
    <row r="3297">
      <c r="A3297" t="inlineStr">
        <is>
          <t>11515936363</t>
        </is>
      </c>
      <c r="B3297" t="inlineStr">
        <is>
          <t>隔日到貨🔥 韓風熱銷款🏆 韓國ins 吊飾 鑰匙扣 鑰匙圈 文青 汽車鑰匙 公仔 掛飾 吊墜 掛鉤 吊環 墜飾</t>
        </is>
      </c>
      <c r="C3297">
        <f>IMAGE("https://cf.shopee.tw/file/de858d023d3db149cf58e5d32b34b565_tn")</f>
        <v/>
      </c>
      <c r="D3297" t="inlineStr">
        <is>
          <t>13. 內褲熊提紅包鑰匙圈</t>
        </is>
      </c>
      <c r="E3297" t="inlineStr">
        <is>
          <t>56254013138</t>
        </is>
      </c>
      <c r="F3297">
        <f>IMAGE("https://cf.shopee.tw/file/5f3614549400de9abd78cbca7604374f_tn")</f>
        <v/>
      </c>
    </row>
    <row r="3298">
      <c r="A3298" t="inlineStr">
        <is>
          <t>11515936363</t>
        </is>
      </c>
      <c r="B3298" t="inlineStr">
        <is>
          <t>隔日到貨🔥 韓風熱銷款🏆 韓國ins 吊飾 鑰匙扣 鑰匙圈 文青 汽車鑰匙 公仔 掛飾 吊墜 掛鉤 吊環 墜飾</t>
        </is>
      </c>
      <c r="C3298">
        <f>IMAGE("https://cf.shopee.tw/file/de858d023d3db149cf58e5d32b34b565_tn")</f>
        <v/>
      </c>
      <c r="D3298" t="inlineStr">
        <is>
          <t>14. 內褲熊鑰匙圈</t>
        </is>
      </c>
      <c r="E3298" t="inlineStr">
        <is>
          <t>46254013225</t>
        </is>
      </c>
      <c r="F3298">
        <f>IMAGE("https://cf.shopee.tw/file/005641016cf109630d0b9dd0c07c8dbc_tn")</f>
        <v/>
      </c>
    </row>
    <row r="3299">
      <c r="A3299" t="inlineStr">
        <is>
          <t>11515936363</t>
        </is>
      </c>
      <c r="B3299" t="inlineStr">
        <is>
          <t>隔日到貨🔥 韓風熱銷款🏆 韓國ins 吊飾 鑰匙扣 鑰匙圈 文青 汽車鑰匙 公仔 掛飾 吊墜 掛鉤 吊環 墜飾</t>
        </is>
      </c>
      <c r="C3299">
        <f>IMAGE("https://cf.shopee.tw/file/de858d023d3db149cf58e5d32b34b565_tn")</f>
        <v/>
      </c>
      <c r="D3299" t="inlineStr">
        <is>
          <t>18. 白色呆呆熊鑰匙圈</t>
        </is>
      </c>
      <c r="E3299" t="inlineStr"/>
      <c r="F3299">
        <f>IMAGE("https://cf.shopee.tw/file/4145f9dcab2bde2c95fd33c503df7d81_tn")</f>
        <v/>
      </c>
    </row>
    <row r="3300">
      <c r="A3300" t="inlineStr">
        <is>
          <t>11515936363</t>
        </is>
      </c>
      <c r="B3300" t="inlineStr">
        <is>
          <t>隔日到貨🔥 韓風熱銷款🏆 韓國ins 吊飾 鑰匙扣 鑰匙圈 文青 汽車鑰匙 公仔 掛飾 吊墜 掛鉤 吊環 墜飾</t>
        </is>
      </c>
      <c r="C3300">
        <f>IMAGE("https://cf.shopee.tw/file/de858d023d3db149cf58e5d32b34b565_tn")</f>
        <v/>
      </c>
      <c r="D3300" t="inlineStr">
        <is>
          <t>19. 咧嘴熊抱心鑰匙圈</t>
        </is>
      </c>
      <c r="E3300" t="inlineStr"/>
      <c r="F3300">
        <f>IMAGE("https://cf.shopee.tw/file/e86e6fb9635e9d76f2ade6b13c4f60c1_tn")</f>
        <v/>
      </c>
    </row>
    <row r="3301">
      <c r="A3301" t="inlineStr">
        <is>
          <t>11515936363</t>
        </is>
      </c>
      <c r="B3301" t="inlineStr">
        <is>
          <t>隔日到貨🔥 韓風熱銷款🏆 韓國ins 吊飾 鑰匙扣 鑰匙圈 文青 汽車鑰匙 公仔 掛飾 吊墜 掛鉤 吊環 墜飾</t>
        </is>
      </c>
      <c r="C3301">
        <f>IMAGE("https://cf.shopee.tw/file/de858d023d3db149cf58e5d32b34b565_tn")</f>
        <v/>
      </c>
      <c r="D3301" t="inlineStr">
        <is>
          <t>22.柴犬鑰匙圈</t>
        </is>
      </c>
      <c r="E3301" t="inlineStr"/>
      <c r="F3301">
        <f>IMAGE("https://cf.shopee.tw/file/997fca9641ffd5b97e353817ee118d9d_tn")</f>
        <v/>
      </c>
    </row>
    <row r="3302">
      <c r="A3302" t="inlineStr">
        <is>
          <t>11515936363</t>
        </is>
      </c>
      <c r="B3302" t="inlineStr">
        <is>
          <t>隔日到貨🔥 韓風熱銷款🏆 韓國ins 吊飾 鑰匙扣 鑰匙圈 文青 汽車鑰匙 公仔 掛飾 吊墜 掛鉤 吊環 墜飾</t>
        </is>
      </c>
      <c r="C3302">
        <f>IMAGE("https://cf.shopee.tw/file/de858d023d3db149cf58e5d32b34b565_tn")</f>
        <v/>
      </c>
      <c r="D3302" t="inlineStr">
        <is>
          <t>23.餅乾熊鑰匙圈</t>
        </is>
      </c>
      <c r="E3302" t="inlineStr">
        <is>
          <t>57125840051</t>
        </is>
      </c>
      <c r="F3302">
        <f>IMAGE("https://cf.shopee.tw/file/f6e1b3017141b1114f1fce783c0a54b5_tn")</f>
        <v/>
      </c>
    </row>
    <row r="3303">
      <c r="A3303" t="inlineStr">
        <is>
          <t>11515936363</t>
        </is>
      </c>
      <c r="B3303" t="inlineStr">
        <is>
          <t>隔日到貨🔥 韓風熱銷款🏆 韓國ins 吊飾 鑰匙扣 鑰匙圈 文青 汽車鑰匙 公仔 掛飾 吊墜 掛鉤 吊環 墜飾</t>
        </is>
      </c>
      <c r="C3303">
        <f>IMAGE("https://cf.shopee.tw/file/de858d023d3db149cf58e5d32b34b565_tn")</f>
        <v/>
      </c>
      <c r="D3303" t="inlineStr">
        <is>
          <t>24. 藍筆筆鑰匙圈</t>
        </is>
      </c>
      <c r="E3303" t="inlineStr"/>
      <c r="F3303">
        <f>IMAGE("https://cf.shopee.tw/file/1cc12b0650a5082874f4950961662ac8_tn")</f>
        <v/>
      </c>
    </row>
    <row r="3304">
      <c r="A3304" t="inlineStr">
        <is>
          <t>11515936363</t>
        </is>
      </c>
      <c r="B3304" t="inlineStr">
        <is>
          <t>隔日到貨🔥 韓風熱銷款🏆 韓國ins 吊飾 鑰匙扣 鑰匙圈 文青 汽車鑰匙 公仔 掛飾 吊墜 掛鉤 吊環 墜飾</t>
        </is>
      </c>
      <c r="C3304">
        <f>IMAGE("https://cf.shopee.tw/file/de858d023d3db149cf58e5d32b34b565_tn")</f>
        <v/>
      </c>
      <c r="D3304" t="inlineStr">
        <is>
          <t>25. 粉筆筆鑰匙圈</t>
        </is>
      </c>
      <c r="E3304" t="inlineStr"/>
      <c r="F3304">
        <f>IMAGE("https://cf.shopee.tw/file/b90f67e7cfe1fd6bfe69597a440dc26d_tn")</f>
        <v/>
      </c>
    </row>
    <row r="3305">
      <c r="A3305" t="inlineStr">
        <is>
          <t>11515936363</t>
        </is>
      </c>
      <c r="B3305" t="inlineStr">
        <is>
          <t>隔日到貨🔥 韓風熱銷款🏆 韓國ins 吊飾 鑰匙扣 鑰匙圈 文青 汽車鑰匙 公仔 掛飾 吊墜 掛鉤 吊環 墜飾</t>
        </is>
      </c>
      <c r="C3305">
        <f>IMAGE("https://cf.shopee.tw/file/de858d023d3db149cf58e5d32b34b565_tn")</f>
        <v/>
      </c>
      <c r="D3305" t="inlineStr">
        <is>
          <t>30. 吐舌熊求抱抱</t>
        </is>
      </c>
      <c r="E3305" t="inlineStr">
        <is>
          <t>104005855969</t>
        </is>
      </c>
      <c r="F3305">
        <f>IMAGE("https://cf.shopee.tw/file/d9ea2791180e84a347df1d96f8ee5a9b_tn")</f>
        <v/>
      </c>
    </row>
    <row r="3306">
      <c r="A3306" t="inlineStr">
        <is>
          <t>11515936363</t>
        </is>
      </c>
      <c r="B3306" t="inlineStr">
        <is>
          <t>隔日到貨🔥 韓風熱銷款🏆 韓國ins 吊飾 鑰匙扣 鑰匙圈 文青 汽車鑰匙 公仔 掛飾 吊墜 掛鉤 吊環 墜飾</t>
        </is>
      </c>
      <c r="C3306">
        <f>IMAGE("https://cf.shopee.tw/file/de858d023d3db149cf58e5d32b34b565_tn")</f>
        <v/>
      </c>
      <c r="D3306" t="inlineStr">
        <is>
          <t>31. 吐舌熊抱櫻桃</t>
        </is>
      </c>
      <c r="E3306" t="inlineStr"/>
      <c r="F3306">
        <f>IMAGE("https://cf.shopee.tw/file/e0aace42f2e412b03d396e64b6fb6874_tn")</f>
        <v/>
      </c>
    </row>
    <row r="3307">
      <c r="A3307" t="inlineStr">
        <is>
          <t>11515936363</t>
        </is>
      </c>
      <c r="B3307" t="inlineStr">
        <is>
          <t>隔日到貨🔥 韓風熱銷款🏆 韓國ins 吊飾 鑰匙扣 鑰匙圈 文青 汽車鑰匙 公仔 掛飾 吊墜 掛鉤 吊環 墜飾</t>
        </is>
      </c>
      <c r="C3307">
        <f>IMAGE("https://cf.shopee.tw/file/de858d023d3db149cf58e5d32b34b565_tn")</f>
        <v/>
      </c>
      <c r="D3307" t="inlineStr">
        <is>
          <t>33. 吐舌熊蹲著</t>
        </is>
      </c>
      <c r="E3307" t="inlineStr">
        <is>
          <t>104005855965</t>
        </is>
      </c>
      <c r="F3307">
        <f>IMAGE("https://cf.shopee.tw/file/5437cc97671e84ad769d67f7115b1aa8_tn")</f>
        <v/>
      </c>
    </row>
    <row r="3308">
      <c r="A3308" t="inlineStr">
        <is>
          <t>11515936363</t>
        </is>
      </c>
      <c r="B3308" t="inlineStr">
        <is>
          <t>隔日到貨🔥 韓風熱銷款🏆 韓國ins 吊飾 鑰匙扣 鑰匙圈 文青 汽車鑰匙 公仔 掛飾 吊墜 掛鉤 吊環 墜飾</t>
        </is>
      </c>
      <c r="C3308">
        <f>IMAGE("https://cf.shopee.tw/file/de858d023d3db149cf58e5d32b34b565_tn")</f>
        <v/>
      </c>
      <c r="D3308" t="inlineStr">
        <is>
          <t>34. 滑板熊</t>
        </is>
      </c>
      <c r="E3308" t="inlineStr"/>
      <c r="F3308">
        <f>IMAGE("https://cf.shopee.tw/file/4d8f56e596966ccabb0c2bcbf036eabe_tn")</f>
        <v/>
      </c>
    </row>
    <row r="3309">
      <c r="A3309" t="inlineStr">
        <is>
          <t>11515936363</t>
        </is>
      </c>
      <c r="B3309" t="inlineStr">
        <is>
          <t>隔日到貨🔥 韓風熱銷款🏆 韓國ins 吊飾 鑰匙扣 鑰匙圈 文青 汽車鑰匙 公仔 掛飾 吊墜 掛鉤 吊環 墜飾</t>
        </is>
      </c>
      <c r="C3309">
        <f>IMAGE("https://cf.shopee.tw/file/de858d023d3db149cf58e5d32b34b565_tn")</f>
        <v/>
      </c>
      <c r="D3309" t="inlineStr">
        <is>
          <t>35. 蛋糕熊</t>
        </is>
      </c>
      <c r="E3309" t="inlineStr"/>
      <c r="F3309">
        <f>IMAGE("https://cf.shopee.tw/file/a88a5435a24058976f6f6f5fd532c6e8_tn")</f>
        <v/>
      </c>
    </row>
    <row r="3310">
      <c r="A3310" t="inlineStr">
        <is>
          <t>11515936363</t>
        </is>
      </c>
      <c r="B3310" t="inlineStr">
        <is>
          <t>隔日到貨🔥 韓風熱銷款🏆 韓國ins 吊飾 鑰匙扣 鑰匙圈 文青 汽車鑰匙 公仔 掛飾 吊墜 掛鉤 吊環 墜飾</t>
        </is>
      </c>
      <c r="C3310">
        <f>IMAGE("https://cf.shopee.tw/file/de858d023d3db149cf58e5d32b34b565_tn")</f>
        <v/>
      </c>
      <c r="D3310" t="inlineStr">
        <is>
          <t>36. 栗色熊</t>
        </is>
      </c>
      <c r="E3310" t="inlineStr"/>
      <c r="F3310">
        <f>IMAGE("https://cf.shopee.tw/file/6de8c3866475f0ca8b89052c47b75fe1_tn")</f>
        <v/>
      </c>
    </row>
    <row r="3311">
      <c r="A3311" t="inlineStr">
        <is>
          <t>23066521062</t>
        </is>
      </c>
      <c r="B3311" t="inlineStr">
        <is>
          <t>隔日到貨🔥 iPhone 手機殼 14 13 12 11 pro Max XS XR SE 8plus 保護殼 軟殼</t>
        </is>
      </c>
      <c r="C3311">
        <f>IMAGE("https://cf.shopee.tw/file/tw-11134207-7qul4-lg6b6ldnr8xt34_tn")</f>
        <v/>
      </c>
      <c r="D3311" t="inlineStr">
        <is>
          <t>貝殼紋 黑色,11 pro</t>
        </is>
      </c>
      <c r="E3311" t="inlineStr">
        <is>
          <t>88699821443</t>
        </is>
      </c>
      <c r="F3311">
        <f>IMAGE("https://cf.shopee.tw/file/tw-11134207-7qul6-lg6b7mmd9a961b_tn")</f>
        <v/>
      </c>
    </row>
    <row r="3312">
      <c r="A3312" t="inlineStr">
        <is>
          <t>23066521062</t>
        </is>
      </c>
      <c r="B3312" t="inlineStr">
        <is>
          <t>隔日到貨🔥 iPhone 手機殼 14 13 12 11 pro Max XS XR SE 8plus 保護殼 軟殼</t>
        </is>
      </c>
      <c r="C3312">
        <f>IMAGE("https://cf.shopee.tw/file/tw-11134207-7qul4-lg6b6ldnr8xt34_tn")</f>
        <v/>
      </c>
      <c r="D3312" t="inlineStr">
        <is>
          <t>貝殼紋 黑色,13 mini</t>
        </is>
      </c>
      <c r="E3312" t="inlineStr"/>
      <c r="F3312">
        <f>IMAGE("https://cf.shopee.tw/file/tw-11134207-7qul6-lg6b7mmd9a961b_tn")</f>
        <v/>
      </c>
    </row>
    <row r="3313">
      <c r="A3313" t="inlineStr">
        <is>
          <t>23066521062</t>
        </is>
      </c>
      <c r="B3313" t="inlineStr">
        <is>
          <t>隔日到貨🔥 iPhone 手機殼 14 13 12 11 pro Max XS XR SE 8plus 保護殼 軟殼</t>
        </is>
      </c>
      <c r="C3313">
        <f>IMAGE("https://cf.shopee.tw/file/tw-11134207-7qul4-lg6b6ldnr8xt34_tn")</f>
        <v/>
      </c>
      <c r="D3313" t="inlineStr">
        <is>
          <t>貝殼紋 粉色,11</t>
        </is>
      </c>
      <c r="E3313" t="inlineStr"/>
      <c r="F3313">
        <f>IMAGE("https://cf.shopee.tw/file/tw-11134207-7qukx-lg6ql3td6re223_tn")</f>
        <v/>
      </c>
    </row>
    <row r="3314">
      <c r="A3314" t="inlineStr">
        <is>
          <t>23066521062</t>
        </is>
      </c>
      <c r="B3314" t="inlineStr">
        <is>
          <t>隔日到貨🔥 iPhone 手機殼 14 13 12 11 pro Max XS XR SE 8plus 保護殼 軟殼</t>
        </is>
      </c>
      <c r="C3314">
        <f>IMAGE("https://cf.shopee.tw/file/tw-11134207-7qul4-lg6b6ldnr8xt34_tn")</f>
        <v/>
      </c>
      <c r="D3314" t="inlineStr">
        <is>
          <t>貝殼紋 粉色,11 pro max</t>
        </is>
      </c>
      <c r="E3314" t="inlineStr"/>
      <c r="F3314">
        <f>IMAGE("https://cf.shopee.tw/file/tw-11134207-7qukx-lg6ql3td6re223_tn")</f>
        <v/>
      </c>
    </row>
    <row r="3315">
      <c r="A3315" t="inlineStr">
        <is>
          <t>23066521062</t>
        </is>
      </c>
      <c r="B3315" t="inlineStr">
        <is>
          <t>隔日到貨🔥 iPhone 手機殼 14 13 12 11 pro Max XS XR SE 8plus 保護殼 軟殼</t>
        </is>
      </c>
      <c r="C3315">
        <f>IMAGE("https://cf.shopee.tw/file/tw-11134207-7qul4-lg6b6ldnr8xt34_tn")</f>
        <v/>
      </c>
      <c r="D3315" t="inlineStr">
        <is>
          <t>貝殼紋 粉色,13</t>
        </is>
      </c>
      <c r="E3315" t="inlineStr"/>
      <c r="F3315">
        <f>IMAGE("https://cf.shopee.tw/file/tw-11134207-7qukx-lg6ql3td6re223_tn")</f>
        <v/>
      </c>
    </row>
    <row r="3316">
      <c r="A3316" t="inlineStr">
        <is>
          <t>23066521062</t>
        </is>
      </c>
      <c r="B3316" t="inlineStr">
        <is>
          <t>隔日到貨🔥 iPhone 手機殼 14 13 12 11 pro Max XS XR SE 8plus 保護殼 軟殼</t>
        </is>
      </c>
      <c r="C3316">
        <f>IMAGE("https://cf.shopee.tw/file/tw-11134207-7qul4-lg6b6ldnr8xt34_tn")</f>
        <v/>
      </c>
      <c r="D3316" t="inlineStr">
        <is>
          <t>貝殼紋 黑色,7 / 8 / SE2 / SE3</t>
        </is>
      </c>
      <c r="E3316" t="inlineStr">
        <is>
          <t>158189314160</t>
        </is>
      </c>
      <c r="F3316">
        <f>IMAGE("https://cf.shopee.tw/file/tw-11134207-7qul6-lg6b7mmd9a961b_tn")</f>
        <v/>
      </c>
    </row>
    <row r="3317">
      <c r="A3317" t="inlineStr">
        <is>
          <t>23066521062</t>
        </is>
      </c>
      <c r="B3317" t="inlineStr">
        <is>
          <t>隔日到貨🔥 iPhone 手機殼 14 13 12 11 pro Max XS XR SE 8plus 保護殼 軟殼</t>
        </is>
      </c>
      <c r="C3317">
        <f>IMAGE("https://cf.shopee.tw/file/tw-11134207-7qul4-lg6b6ldnr8xt34_tn")</f>
        <v/>
      </c>
      <c r="D3317" t="inlineStr">
        <is>
          <t>貝殼紋 黑色,7Plus / 8Plus</t>
        </is>
      </c>
      <c r="E3317" t="inlineStr">
        <is>
          <t>88699821449</t>
        </is>
      </c>
      <c r="F3317">
        <f>IMAGE("https://cf.shopee.tw/file/tw-11134207-7qul6-lg6b7mmd9a961b_tn")</f>
        <v/>
      </c>
    </row>
    <row r="3318">
      <c r="A3318" t="inlineStr">
        <is>
          <t>23066521062</t>
        </is>
      </c>
      <c r="B3318" t="inlineStr">
        <is>
          <t>隔日到貨🔥 iPhone 手機殼 14 13 12 11 pro Max XS XR SE 8plus 保護殼 軟殼</t>
        </is>
      </c>
      <c r="C3318">
        <f>IMAGE("https://cf.shopee.tw/file/tw-11134207-7qul4-lg6b6ldnr8xt34_tn")</f>
        <v/>
      </c>
      <c r="D3318" t="inlineStr">
        <is>
          <t>貝殼紋 黑色,X / XS</t>
        </is>
      </c>
      <c r="E3318" t="inlineStr">
        <is>
          <t>89353669479</t>
        </is>
      </c>
      <c r="F3318">
        <f>IMAGE("https://cf.shopee.tw/file/tw-11134207-7qul6-lg6b7mmd9a961b_tn")</f>
        <v/>
      </c>
    </row>
    <row r="3319">
      <c r="A3319" t="inlineStr">
        <is>
          <t>23066521062</t>
        </is>
      </c>
      <c r="B3319" t="inlineStr">
        <is>
          <t>隔日到貨🔥 iPhone 手機殼 14 13 12 11 pro Max XS XR SE 8plus 保護殼 軟殼</t>
        </is>
      </c>
      <c r="C3319">
        <f>IMAGE("https://cf.shopee.tw/file/tw-11134207-7qul4-lg6b6ldnr8xt34_tn")</f>
        <v/>
      </c>
      <c r="D3319" t="inlineStr">
        <is>
          <t>貝殼紋 黑色,XR</t>
        </is>
      </c>
      <c r="E3319" t="inlineStr">
        <is>
          <t>89353669486</t>
        </is>
      </c>
      <c r="F3319">
        <f>IMAGE("https://cf.shopee.tw/file/tw-11134207-7qul6-lg6b7mmd9a961b_tn")</f>
        <v/>
      </c>
    </row>
    <row r="3320">
      <c r="A3320" t="inlineStr">
        <is>
          <t>23066521062</t>
        </is>
      </c>
      <c r="B3320" t="inlineStr">
        <is>
          <t>隔日到貨🔥 iPhone 手機殼 14 13 12 11 pro Max XS XR SE 8plus 保護殼 軟殼</t>
        </is>
      </c>
      <c r="C3320">
        <f>IMAGE("https://cf.shopee.tw/file/tw-11134207-7qul4-lg6b6ldnr8xt34_tn")</f>
        <v/>
      </c>
      <c r="D3320" t="inlineStr">
        <is>
          <t>貝殼紋 黑色,XS Max</t>
        </is>
      </c>
      <c r="E3320" t="inlineStr">
        <is>
          <t>88699821445</t>
        </is>
      </c>
      <c r="F3320">
        <f>IMAGE("https://cf.shopee.tw/file/tw-11134207-7qul6-lg6b7mmd9a961b_tn")</f>
        <v/>
      </c>
    </row>
    <row r="3321">
      <c r="A3321" t="inlineStr">
        <is>
          <t>23066521062</t>
        </is>
      </c>
      <c r="B3321" t="inlineStr">
        <is>
          <t>隔日到貨🔥 iPhone 手機殼 14 13 12 11 pro Max XS XR SE 8plus 保護殼 軟殼</t>
        </is>
      </c>
      <c r="C3321">
        <f>IMAGE("https://cf.shopee.tw/file/tw-11134207-7qul4-lg6b6ldnr8xt34_tn")</f>
        <v/>
      </c>
      <c r="D3321" t="inlineStr">
        <is>
          <t>貝殼紋 黑色,11</t>
        </is>
      </c>
      <c r="E3321" t="inlineStr"/>
      <c r="F3321">
        <f>IMAGE("https://cf.shopee.tw/file/tw-11134207-7qul6-lg6b7mmd9a961b_tn")</f>
        <v/>
      </c>
    </row>
    <row r="3322">
      <c r="A3322" t="inlineStr">
        <is>
          <t>23066521062</t>
        </is>
      </c>
      <c r="B3322" t="inlineStr">
        <is>
          <t>隔日到貨🔥 iPhone 手機殼 14 13 12 11 pro Max XS XR SE 8plus 保護殼 軟殼</t>
        </is>
      </c>
      <c r="C3322">
        <f>IMAGE("https://cf.shopee.tw/file/tw-11134207-7qul4-lg6b6ldnr8xt34_tn")</f>
        <v/>
      </c>
      <c r="D3322" t="inlineStr">
        <is>
          <t>貝殼紋 黑色,11 pro max</t>
        </is>
      </c>
      <c r="E3322" t="inlineStr">
        <is>
          <t>89353669487</t>
        </is>
      </c>
      <c r="F3322">
        <f>IMAGE("https://cf.shopee.tw/file/tw-11134207-7qul6-lg6b7mmd9a961b_tn")</f>
        <v/>
      </c>
    </row>
    <row r="3323">
      <c r="A3323" t="inlineStr">
        <is>
          <t>23066521062</t>
        </is>
      </c>
      <c r="B3323" t="inlineStr">
        <is>
          <t>隔日到貨🔥 iPhone 手機殼 14 13 12 11 pro Max XS XR SE 8plus 保護殼 軟殼</t>
        </is>
      </c>
      <c r="C3323">
        <f>IMAGE("https://cf.shopee.tw/file/tw-11134207-7qul4-lg6b6ldnr8xt34_tn")</f>
        <v/>
      </c>
      <c r="D3323" t="inlineStr">
        <is>
          <t>貝殼紋 黑色,12</t>
        </is>
      </c>
      <c r="E3323" t="inlineStr">
        <is>
          <t>88699821450</t>
        </is>
      </c>
      <c r="F3323">
        <f>IMAGE("https://cf.shopee.tw/file/tw-11134207-7qul6-lg6b7mmd9a961b_tn")</f>
        <v/>
      </c>
    </row>
    <row r="3324">
      <c r="A3324" t="inlineStr">
        <is>
          <t>23066521062</t>
        </is>
      </c>
      <c r="B3324" t="inlineStr">
        <is>
          <t>隔日到貨🔥 iPhone 手機殼 14 13 12 11 pro Max XS XR SE 8plus 保護殼 軟殼</t>
        </is>
      </c>
      <c r="C3324">
        <f>IMAGE("https://cf.shopee.tw/file/tw-11134207-7qul4-lg6b6ldnr8xt34_tn")</f>
        <v/>
      </c>
      <c r="D3324" t="inlineStr">
        <is>
          <t>貝殼紋 黑色,12 pro</t>
        </is>
      </c>
      <c r="E3324" t="inlineStr">
        <is>
          <t>221718947945</t>
        </is>
      </c>
      <c r="F3324">
        <f>IMAGE("https://cf.shopee.tw/file/tw-11134207-7qul6-lg6b7mmd9a961b_tn")</f>
        <v/>
      </c>
    </row>
    <row r="3325">
      <c r="A3325" t="inlineStr">
        <is>
          <t>23066521062</t>
        </is>
      </c>
      <c r="B3325" t="inlineStr">
        <is>
          <t>隔日到貨🔥 iPhone 手機殼 14 13 12 11 pro Max XS XR SE 8plus 保護殼 軟殼</t>
        </is>
      </c>
      <c r="C3325">
        <f>IMAGE("https://cf.shopee.tw/file/tw-11134207-7qul4-lg6b6ldnr8xt34_tn")</f>
        <v/>
      </c>
      <c r="D3325" t="inlineStr">
        <is>
          <t>貝殼紋 黑色,12 pro Max</t>
        </is>
      </c>
      <c r="E3325" t="inlineStr"/>
      <c r="F3325">
        <f>IMAGE("https://cf.shopee.tw/file/tw-11134207-7qul6-lg6b7mmd9a961b_tn")</f>
        <v/>
      </c>
    </row>
    <row r="3326">
      <c r="A3326" t="inlineStr">
        <is>
          <t>23066521062</t>
        </is>
      </c>
      <c r="B3326" t="inlineStr">
        <is>
          <t>隔日到貨🔥 iPhone 手機殼 14 13 12 11 pro Max XS XR SE 8plus 保護殼 軟殼</t>
        </is>
      </c>
      <c r="C3326">
        <f>IMAGE("https://cf.shopee.tw/file/tw-11134207-7qul4-lg6b6ldnr8xt34_tn")</f>
        <v/>
      </c>
      <c r="D3326" t="inlineStr">
        <is>
          <t>貝殼紋 黑色,13</t>
        </is>
      </c>
      <c r="E3326" t="inlineStr">
        <is>
          <t>88699821446</t>
        </is>
      </c>
      <c r="F3326">
        <f>IMAGE("https://cf.shopee.tw/file/tw-11134207-7qul6-lg6b7mmd9a961b_tn")</f>
        <v/>
      </c>
    </row>
    <row r="3327">
      <c r="A3327" t="inlineStr">
        <is>
          <t>23066521062</t>
        </is>
      </c>
      <c r="B3327" t="inlineStr">
        <is>
          <t>隔日到貨🔥 iPhone 手機殼 14 13 12 11 pro Max XS XR SE 8plus 保護殼 軟殼</t>
        </is>
      </c>
      <c r="C3327">
        <f>IMAGE("https://cf.shopee.tw/file/tw-11134207-7qul4-lg6b6ldnr8xt34_tn")</f>
        <v/>
      </c>
      <c r="D3327" t="inlineStr">
        <is>
          <t>貝殼紋 黑色,13 pro</t>
        </is>
      </c>
      <c r="E3327" t="inlineStr"/>
      <c r="F3327">
        <f>IMAGE("https://cf.shopee.tw/file/tw-11134207-7qul6-lg6b7mmd9a961b_tn")</f>
        <v/>
      </c>
    </row>
    <row r="3328">
      <c r="A3328" t="inlineStr">
        <is>
          <t>23066521062</t>
        </is>
      </c>
      <c r="B3328" t="inlineStr">
        <is>
          <t>隔日到貨🔥 iPhone 手機殼 14 13 12 11 pro Max XS XR SE 8plus 保護殼 軟殼</t>
        </is>
      </c>
      <c r="C3328">
        <f>IMAGE("https://cf.shopee.tw/file/tw-11134207-7qul4-lg6b6ldnr8xt34_tn")</f>
        <v/>
      </c>
      <c r="D3328" t="inlineStr">
        <is>
          <t>貝殼紋 黑色,13 pro Max</t>
        </is>
      </c>
      <c r="E3328" t="inlineStr"/>
      <c r="F3328">
        <f>IMAGE("https://cf.shopee.tw/file/tw-11134207-7qul6-lg6b7mmd9a961b_tn")</f>
        <v/>
      </c>
    </row>
    <row r="3329">
      <c r="A3329" t="inlineStr">
        <is>
          <t>23066521062</t>
        </is>
      </c>
      <c r="B3329" t="inlineStr">
        <is>
          <t>隔日到貨🔥 iPhone 手機殼 14 13 12 11 pro Max XS XR SE 8plus 保護殼 軟殼</t>
        </is>
      </c>
      <c r="C3329">
        <f>IMAGE("https://cf.shopee.tw/file/tw-11134207-7qul4-lg6b6ldnr8xt34_tn")</f>
        <v/>
      </c>
      <c r="D3329" t="inlineStr">
        <is>
          <t>貝殼紋 黑色,14</t>
        </is>
      </c>
      <c r="E3329" t="inlineStr">
        <is>
          <t>89353669471</t>
        </is>
      </c>
      <c r="F3329">
        <f>IMAGE("https://cf.shopee.tw/file/tw-11134207-7qul6-lg6b7mmd9a961b_tn")</f>
        <v/>
      </c>
    </row>
    <row r="3330">
      <c r="A3330" t="inlineStr">
        <is>
          <t>23066521062</t>
        </is>
      </c>
      <c r="B3330" t="inlineStr">
        <is>
          <t>隔日到貨🔥 iPhone 手機殼 14 13 12 11 pro Max XS XR SE 8plus 保護殼 軟殼</t>
        </is>
      </c>
      <c r="C3330">
        <f>IMAGE("https://cf.shopee.tw/file/tw-11134207-7qul4-lg6b6ldnr8xt34_tn")</f>
        <v/>
      </c>
      <c r="D3330" t="inlineStr">
        <is>
          <t>貝殼紋 黑色,14 Plus</t>
        </is>
      </c>
      <c r="E3330" t="inlineStr"/>
      <c r="F3330">
        <f>IMAGE("https://cf.shopee.tw/file/tw-11134207-7qul6-lg6b7mmd9a961b_tn")</f>
        <v/>
      </c>
    </row>
    <row r="3331">
      <c r="A3331" t="inlineStr">
        <is>
          <t>23066521062</t>
        </is>
      </c>
      <c r="B3331" t="inlineStr">
        <is>
          <t>隔日到貨🔥 iPhone 手機殼 14 13 12 11 pro Max XS XR SE 8plus 保護殼 軟殼</t>
        </is>
      </c>
      <c r="C3331">
        <f>IMAGE("https://cf.shopee.tw/file/tw-11134207-7qul4-lg6b6ldnr8xt34_tn")</f>
        <v/>
      </c>
      <c r="D3331" t="inlineStr">
        <is>
          <t>貝殼紋 黑色,14 pro</t>
        </is>
      </c>
      <c r="E3331" t="inlineStr"/>
      <c r="F3331">
        <f>IMAGE("https://cf.shopee.tw/file/tw-11134207-7qul6-lg6b7mmd9a961b_tn")</f>
        <v/>
      </c>
    </row>
    <row r="3332">
      <c r="A3332" t="inlineStr">
        <is>
          <t>23066521062</t>
        </is>
      </c>
      <c r="B3332" t="inlineStr">
        <is>
          <t>隔日到貨🔥 iPhone 手機殼 14 13 12 11 pro Max XS XR SE 8plus 保護殼 軟殼</t>
        </is>
      </c>
      <c r="C3332">
        <f>IMAGE("https://cf.shopee.tw/file/tw-11134207-7qul4-lg6b6ldnr8xt34_tn")</f>
        <v/>
      </c>
      <c r="D3332" t="inlineStr">
        <is>
          <t>貝殼紋 黑色,14 pro Max</t>
        </is>
      </c>
      <c r="E3332" t="inlineStr">
        <is>
          <t>88699821447</t>
        </is>
      </c>
      <c r="F3332">
        <f>IMAGE("https://cf.shopee.tw/file/tw-11134207-7qul6-lg6b7mmd9a961b_tn")</f>
        <v/>
      </c>
    </row>
    <row r="3333">
      <c r="A3333" t="inlineStr">
        <is>
          <t>23066521062</t>
        </is>
      </c>
      <c r="B3333" t="inlineStr">
        <is>
          <t>隔日到貨🔥 iPhone 手機殼 14 13 12 11 pro Max XS XR SE 8plus 保護殼 軟殼</t>
        </is>
      </c>
      <c r="C3333">
        <f>IMAGE("https://cf.shopee.tw/file/tw-11134207-7qul4-lg6b6ldnr8xt34_tn")</f>
        <v/>
      </c>
      <c r="D3333" t="inlineStr">
        <is>
          <t>貝殼紋 粉色,7 / 8 / SE2 / SE3</t>
        </is>
      </c>
      <c r="E3333" t="inlineStr">
        <is>
          <t>59653702328</t>
        </is>
      </c>
      <c r="F3333">
        <f>IMAGE("https://cf.shopee.tw/file/tw-11134207-7qukx-lg6ql3td6re223_tn")</f>
        <v/>
      </c>
    </row>
    <row r="3334">
      <c r="A3334" t="inlineStr">
        <is>
          <t>23066521062</t>
        </is>
      </c>
      <c r="B3334" t="inlineStr">
        <is>
          <t>隔日到貨🔥 iPhone 手機殼 14 13 12 11 pro Max XS XR SE 8plus 保護殼 軟殼</t>
        </is>
      </c>
      <c r="C3334">
        <f>IMAGE("https://cf.shopee.tw/file/tw-11134207-7qul4-lg6b6ldnr8xt34_tn")</f>
        <v/>
      </c>
      <c r="D3334" t="inlineStr">
        <is>
          <t>貝殼紋 粉色,7Plus / 8Plus</t>
        </is>
      </c>
      <c r="E3334" t="inlineStr"/>
      <c r="F3334">
        <f>IMAGE("https://cf.shopee.tw/file/tw-11134207-7qukx-lg6ql3td6re223_tn")</f>
        <v/>
      </c>
    </row>
    <row r="3335">
      <c r="A3335" t="inlineStr">
        <is>
          <t>23066521062</t>
        </is>
      </c>
      <c r="B3335" t="inlineStr">
        <is>
          <t>隔日到貨🔥 iPhone 手機殼 14 13 12 11 pro Max XS XR SE 8plus 保護殼 軟殼</t>
        </is>
      </c>
      <c r="C3335">
        <f>IMAGE("https://cf.shopee.tw/file/tw-11134207-7qul4-lg6b6ldnr8xt34_tn")</f>
        <v/>
      </c>
      <c r="D3335" t="inlineStr">
        <is>
          <t>貝殼紋 粉色,X / XS</t>
        </is>
      </c>
      <c r="E3335" t="inlineStr">
        <is>
          <t>89353669489</t>
        </is>
      </c>
      <c r="F3335">
        <f>IMAGE("https://cf.shopee.tw/file/tw-11134207-7qukx-lg6ql3td6re223_tn")</f>
        <v/>
      </c>
    </row>
    <row r="3336">
      <c r="A3336" t="inlineStr">
        <is>
          <t>23066521062</t>
        </is>
      </c>
      <c r="B3336" t="inlineStr">
        <is>
          <t>隔日到貨🔥 iPhone 手機殼 14 13 12 11 pro Max XS XR SE 8plus 保護殼 軟殼</t>
        </is>
      </c>
      <c r="C3336">
        <f>IMAGE("https://cf.shopee.tw/file/tw-11134207-7qul4-lg6b6ldnr8xt34_tn")</f>
        <v/>
      </c>
      <c r="D3336" t="inlineStr">
        <is>
          <t>貝殼紋 粉色,XR</t>
        </is>
      </c>
      <c r="E3336" t="inlineStr"/>
      <c r="F3336">
        <f>IMAGE("https://cf.shopee.tw/file/tw-11134207-7qukx-lg6ql3td6re223_tn")</f>
        <v/>
      </c>
    </row>
    <row r="3337">
      <c r="A3337" t="inlineStr">
        <is>
          <t>23066521062</t>
        </is>
      </c>
      <c r="B3337" t="inlineStr">
        <is>
          <t>隔日到貨🔥 iPhone 手機殼 14 13 12 11 pro Max XS XR SE 8plus 保護殼 軟殼</t>
        </is>
      </c>
      <c r="C3337">
        <f>IMAGE("https://cf.shopee.tw/file/tw-11134207-7qul4-lg6b6ldnr8xt34_tn")</f>
        <v/>
      </c>
      <c r="D3337" t="inlineStr">
        <is>
          <t>貝殼紋 粉色,XS Max</t>
        </is>
      </c>
      <c r="E3337" t="inlineStr">
        <is>
          <t>88699821456</t>
        </is>
      </c>
      <c r="F3337">
        <f>IMAGE("https://cf.shopee.tw/file/tw-11134207-7qukx-lg6ql3td6re223_tn")</f>
        <v/>
      </c>
    </row>
    <row r="3338">
      <c r="A3338" t="inlineStr">
        <is>
          <t>23066521062</t>
        </is>
      </c>
      <c r="B3338" t="inlineStr">
        <is>
          <t>隔日到貨🔥 iPhone 手機殼 14 13 12 11 pro Max XS XR SE 8plus 保護殼 軟殼</t>
        </is>
      </c>
      <c r="C3338">
        <f>IMAGE("https://cf.shopee.tw/file/tw-11134207-7qul4-lg6b6ldnr8xt34_tn")</f>
        <v/>
      </c>
      <c r="D3338" t="inlineStr">
        <is>
          <t>貝殼紋 粉色,11 pro</t>
        </is>
      </c>
      <c r="E3338" t="inlineStr">
        <is>
          <t>89353669473</t>
        </is>
      </c>
      <c r="F3338">
        <f>IMAGE("https://cf.shopee.tw/file/tw-11134207-7qukx-lg6ql3td6re223_tn")</f>
        <v/>
      </c>
    </row>
    <row r="3339">
      <c r="A3339" t="inlineStr">
        <is>
          <t>23066521062</t>
        </is>
      </c>
      <c r="B3339" t="inlineStr">
        <is>
          <t>隔日到貨🔥 iPhone 手機殼 14 13 12 11 pro Max XS XR SE 8plus 保護殼 軟殼</t>
        </is>
      </c>
      <c r="C3339">
        <f>IMAGE("https://cf.shopee.tw/file/tw-11134207-7qul4-lg6b6ldnr8xt34_tn")</f>
        <v/>
      </c>
      <c r="D3339" t="inlineStr">
        <is>
          <t>貝殼紋 粉色,12</t>
        </is>
      </c>
      <c r="E3339" t="inlineStr">
        <is>
          <t>89353669474</t>
        </is>
      </c>
      <c r="F3339">
        <f>IMAGE("https://cf.shopee.tw/file/tw-11134207-7qukx-lg6ql3td6re223_tn")</f>
        <v/>
      </c>
    </row>
    <row r="3340">
      <c r="A3340" t="inlineStr">
        <is>
          <t>23066521062</t>
        </is>
      </c>
      <c r="B3340" t="inlineStr">
        <is>
          <t>隔日到貨🔥 iPhone 手機殼 14 13 12 11 pro Max XS XR SE 8plus 保護殼 軟殼</t>
        </is>
      </c>
      <c r="C3340">
        <f>IMAGE("https://cf.shopee.tw/file/tw-11134207-7qul4-lg6b6ldnr8xt34_tn")</f>
        <v/>
      </c>
      <c r="D3340" t="inlineStr">
        <is>
          <t>貝殼紋 粉色,12 pro</t>
        </is>
      </c>
      <c r="E3340" t="inlineStr">
        <is>
          <t>221718947944</t>
        </is>
      </c>
      <c r="F3340">
        <f>IMAGE("https://cf.shopee.tw/file/tw-11134207-7qukx-lg6ql3td6re223_tn")</f>
        <v/>
      </c>
    </row>
    <row r="3341">
      <c r="A3341" t="inlineStr">
        <is>
          <t>23066521062</t>
        </is>
      </c>
      <c r="B3341" t="inlineStr">
        <is>
          <t>隔日到貨🔥 iPhone 手機殼 14 13 12 11 pro Max XS XR SE 8plus 保護殼 軟殼</t>
        </is>
      </c>
      <c r="C3341">
        <f>IMAGE("https://cf.shopee.tw/file/tw-11134207-7qul4-lg6b6ldnr8xt34_tn")</f>
        <v/>
      </c>
      <c r="D3341" t="inlineStr">
        <is>
          <t>貝殼紋 粉色,12 pro Max</t>
        </is>
      </c>
      <c r="E3341" t="inlineStr">
        <is>
          <t>88699821448</t>
        </is>
      </c>
      <c r="F3341">
        <f>IMAGE("https://cf.shopee.tw/file/tw-11134207-7qukx-lg6ql3td6re223_tn")</f>
        <v/>
      </c>
    </row>
    <row r="3342">
      <c r="A3342" t="inlineStr">
        <is>
          <t>23066521062</t>
        </is>
      </c>
      <c r="B3342" t="inlineStr">
        <is>
          <t>隔日到貨🔥 iPhone 手機殼 14 13 12 11 pro Max XS XR SE 8plus 保護殼 軟殼</t>
        </is>
      </c>
      <c r="C3342">
        <f>IMAGE("https://cf.shopee.tw/file/tw-11134207-7qul4-lg6b6ldnr8xt34_tn")</f>
        <v/>
      </c>
      <c r="D3342" t="inlineStr">
        <is>
          <t>貝殼紋 粉色,13 mini</t>
        </is>
      </c>
      <c r="E3342" t="inlineStr">
        <is>
          <t>88699821452</t>
        </is>
      </c>
      <c r="F3342">
        <f>IMAGE("https://cf.shopee.tw/file/tw-11134207-7qukx-lg6ql3td6re223_tn")</f>
        <v/>
      </c>
    </row>
    <row r="3343">
      <c r="A3343" t="inlineStr">
        <is>
          <t>23066521062</t>
        </is>
      </c>
      <c r="B3343" t="inlineStr">
        <is>
          <t>隔日到貨🔥 iPhone 手機殼 14 13 12 11 pro Max XS XR SE 8plus 保護殼 軟殼</t>
        </is>
      </c>
      <c r="C3343">
        <f>IMAGE("https://cf.shopee.tw/file/tw-11134207-7qul4-lg6b6ldnr8xt34_tn")</f>
        <v/>
      </c>
      <c r="D3343" t="inlineStr">
        <is>
          <t>貝殼紋 粉色,13 pro</t>
        </is>
      </c>
      <c r="E3343" t="inlineStr"/>
      <c r="F3343">
        <f>IMAGE("https://cf.shopee.tw/file/tw-11134207-7qukx-lg6ql3td6re223_tn")</f>
        <v/>
      </c>
    </row>
    <row r="3344">
      <c r="A3344" t="inlineStr">
        <is>
          <t>23066521062</t>
        </is>
      </c>
      <c r="B3344" t="inlineStr">
        <is>
          <t>隔日到貨🔥 iPhone 手機殼 14 13 12 11 pro Max XS XR SE 8plus 保護殼 軟殼</t>
        </is>
      </c>
      <c r="C3344">
        <f>IMAGE("https://cf.shopee.tw/file/tw-11134207-7qul4-lg6b6ldnr8xt34_tn")</f>
        <v/>
      </c>
      <c r="D3344" t="inlineStr">
        <is>
          <t>貝殼紋 粉色,13 pro Max</t>
        </is>
      </c>
      <c r="E3344" t="inlineStr"/>
      <c r="F3344">
        <f>IMAGE("https://cf.shopee.tw/file/tw-11134207-7qukx-lg6ql3td6re223_tn")</f>
        <v/>
      </c>
    </row>
    <row r="3345">
      <c r="A3345" t="inlineStr">
        <is>
          <t>23066521062</t>
        </is>
      </c>
      <c r="B3345" t="inlineStr">
        <is>
          <t>隔日到貨🔥 iPhone 手機殼 14 13 12 11 pro Max XS XR SE 8plus 保護殼 軟殼</t>
        </is>
      </c>
      <c r="C3345">
        <f>IMAGE("https://cf.shopee.tw/file/tw-11134207-7qul4-lg6b6ldnr8xt34_tn")</f>
        <v/>
      </c>
      <c r="D3345" t="inlineStr">
        <is>
          <t>貝殼紋 粉色,14</t>
        </is>
      </c>
      <c r="E3345" t="inlineStr">
        <is>
          <t>88699821454</t>
        </is>
      </c>
      <c r="F3345">
        <f>IMAGE("https://cf.shopee.tw/file/tw-11134207-7qukx-lg6ql3td6re223_tn")</f>
        <v/>
      </c>
    </row>
    <row r="3346">
      <c r="A3346" t="inlineStr">
        <is>
          <t>23066521062</t>
        </is>
      </c>
      <c r="B3346" t="inlineStr">
        <is>
          <t>隔日到貨🔥 iPhone 手機殼 14 13 12 11 pro Max XS XR SE 8plus 保護殼 軟殼</t>
        </is>
      </c>
      <c r="C3346">
        <f>IMAGE("https://cf.shopee.tw/file/tw-11134207-7qul4-lg6b6ldnr8xt34_tn")</f>
        <v/>
      </c>
      <c r="D3346" t="inlineStr">
        <is>
          <t>貝殼紋 粉色,14 Plus</t>
        </is>
      </c>
      <c r="E3346" t="inlineStr">
        <is>
          <t>89353669490</t>
        </is>
      </c>
      <c r="F3346">
        <f>IMAGE("https://cf.shopee.tw/file/tw-11134207-7qukx-lg6ql3td6re223_tn")</f>
        <v/>
      </c>
    </row>
    <row r="3347">
      <c r="A3347" t="inlineStr">
        <is>
          <t>23066521062</t>
        </is>
      </c>
      <c r="B3347" t="inlineStr">
        <is>
          <t>隔日到貨🔥 iPhone 手機殼 14 13 12 11 pro Max XS XR SE 8plus 保護殼 軟殼</t>
        </is>
      </c>
      <c r="C3347">
        <f>IMAGE("https://cf.shopee.tw/file/tw-11134207-7qul4-lg6b6ldnr8xt34_tn")</f>
        <v/>
      </c>
      <c r="D3347" t="inlineStr">
        <is>
          <t>貝殼紋 粉色,14 pro</t>
        </is>
      </c>
      <c r="E3347" t="inlineStr"/>
      <c r="F3347">
        <f>IMAGE("https://cf.shopee.tw/file/tw-11134207-7qukx-lg6ql3td6re223_tn")</f>
        <v/>
      </c>
    </row>
    <row r="3348">
      <c r="A3348" t="inlineStr">
        <is>
          <t>23066521062</t>
        </is>
      </c>
      <c r="B3348" t="inlineStr">
        <is>
          <t>隔日到貨🔥 iPhone 手機殼 14 13 12 11 pro Max XS XR SE 8plus 保護殼 軟殼</t>
        </is>
      </c>
      <c r="C3348">
        <f>IMAGE("https://cf.shopee.tw/file/tw-11134207-7qul4-lg6b6ldnr8xt34_tn")</f>
        <v/>
      </c>
      <c r="D3348" t="inlineStr">
        <is>
          <t>貝殼紋 粉色,14 pro Max</t>
        </is>
      </c>
      <c r="E3348" t="inlineStr">
        <is>
          <t>89353669476</t>
        </is>
      </c>
      <c r="F3348">
        <f>IMAGE("https://cf.shopee.tw/file/tw-11134207-7qukx-lg6ql3td6re223_tn")</f>
        <v/>
      </c>
    </row>
    <row r="3349">
      <c r="A3349" t="inlineStr">
        <is>
          <t>19146617341</t>
        </is>
      </c>
      <c r="B3349" t="inlineStr">
        <is>
          <t>隔日到貨🔥 蝴蝶結 iPhone 手機殼 16 15 14 13 12 11 XS XR SE 保護殼 立體 蘋果</t>
        </is>
      </c>
      <c r="C3349">
        <f>IMAGE("https://cf.shopee.tw/file/73e442c521e7e371325ecb01c7bf3ebc_tn")</f>
        <v/>
      </c>
      <c r="D3349" t="inlineStr">
        <is>
          <t>冰透蝴蝶結(單殼),X / XS</t>
        </is>
      </c>
      <c r="E3349" t="inlineStr"/>
      <c r="F3349">
        <f>IMAGE("https://cf.shopee.tw/file/sg-11134201-23010-owgbtpox14lvbb_tn")</f>
        <v/>
      </c>
    </row>
    <row r="3350">
      <c r="A3350" t="inlineStr">
        <is>
          <t>19146617341</t>
        </is>
      </c>
      <c r="B3350" t="inlineStr">
        <is>
          <t>隔日到貨🔥 蝴蝶結 iPhone 手機殼 16 15 14 13 12 11 XS XR SE 保護殼 立體 蘋果</t>
        </is>
      </c>
      <c r="C3350">
        <f>IMAGE("https://cf.shopee.tw/file/73e442c521e7e371325ecb01c7bf3ebc_tn")</f>
        <v/>
      </c>
      <c r="D3350" t="inlineStr">
        <is>
          <t>冰透蝴蝶結(單殼),11 Pro Max</t>
        </is>
      </c>
      <c r="E3350" t="inlineStr"/>
      <c r="F3350">
        <f>IMAGE("https://cf.shopee.tw/file/sg-11134201-23010-owgbtpox14lvbb_tn")</f>
        <v/>
      </c>
    </row>
    <row r="3351">
      <c r="A3351" t="inlineStr">
        <is>
          <t>19146617341</t>
        </is>
      </c>
      <c r="B3351" t="inlineStr">
        <is>
          <t>隔日到貨🔥 蝴蝶結 iPhone 手機殼 16 15 14 13 12 11 XS XR SE 保護殼 立體 蘋果</t>
        </is>
      </c>
      <c r="C3351">
        <f>IMAGE("https://cf.shopee.tw/file/73e442c521e7e371325ecb01c7bf3ebc_tn")</f>
        <v/>
      </c>
      <c r="D3351" t="inlineStr">
        <is>
          <t>冰透蝴蝶結(單殼),12 mini</t>
        </is>
      </c>
      <c r="E3351" t="inlineStr"/>
      <c r="F3351">
        <f>IMAGE("https://cf.shopee.tw/file/sg-11134201-23010-owgbtpox14lvbb_tn")</f>
        <v/>
      </c>
    </row>
    <row r="3352">
      <c r="A3352" t="inlineStr">
        <is>
          <t>19146617341</t>
        </is>
      </c>
      <c r="B3352" t="inlineStr">
        <is>
          <t>隔日到貨🔥 蝴蝶結 iPhone 手機殼 16 15 14 13 12 11 XS XR SE 保護殼 立體 蘋果</t>
        </is>
      </c>
      <c r="C3352">
        <f>IMAGE("https://cf.shopee.tw/file/73e442c521e7e371325ecb01c7bf3ebc_tn")</f>
        <v/>
      </c>
      <c r="D3352" t="inlineStr">
        <is>
          <t>冰透蝴蝶結(單殼),13 mini</t>
        </is>
      </c>
      <c r="E3352" t="inlineStr"/>
      <c r="F3352">
        <f>IMAGE("https://cf.shopee.tw/file/sg-11134201-23010-owgbtpox14lvbb_tn")</f>
        <v/>
      </c>
    </row>
    <row r="3353">
      <c r="A3353" t="inlineStr">
        <is>
          <t>19146617341</t>
        </is>
      </c>
      <c r="B3353" t="inlineStr">
        <is>
          <t>隔日到貨🔥 蝴蝶結 iPhone 手機殼 16 15 14 13 12 11 XS XR SE 保護殼 立體 蘋果</t>
        </is>
      </c>
      <c r="C3353">
        <f>IMAGE("https://cf.shopee.tw/file/73e442c521e7e371325ecb01c7bf3ebc_tn")</f>
        <v/>
      </c>
      <c r="D3353" t="inlineStr">
        <is>
          <t>冰透蝴蝶結(單殼),14 plus</t>
        </is>
      </c>
      <c r="E3353" t="inlineStr"/>
      <c r="F3353">
        <f>IMAGE("https://cf.shopee.tw/file/sg-11134201-23010-owgbtpox14lvbb_tn")</f>
        <v/>
      </c>
    </row>
    <row r="3354">
      <c r="A3354" t="inlineStr">
        <is>
          <t>19146617341</t>
        </is>
      </c>
      <c r="B3354" t="inlineStr">
        <is>
          <t>隔日到貨🔥 蝴蝶結 iPhone 手機殼 16 15 14 13 12 11 XS XR SE 保護殼 立體 蘋果</t>
        </is>
      </c>
      <c r="C3354">
        <f>IMAGE("https://cf.shopee.tw/file/73e442c521e7e371325ecb01c7bf3ebc_tn")</f>
        <v/>
      </c>
      <c r="D3354" t="inlineStr">
        <is>
          <t>冰透蝴蝶結(單殼),7 / 8 / SE2 / SE3</t>
        </is>
      </c>
      <c r="E3354" t="inlineStr"/>
      <c r="F3354">
        <f>IMAGE("https://cf.shopee.tw/file/sg-11134201-23010-owgbtpox14lvbb_tn")</f>
        <v/>
      </c>
    </row>
    <row r="3355">
      <c r="A3355" t="inlineStr">
        <is>
          <t>19146617341</t>
        </is>
      </c>
      <c r="B3355" t="inlineStr">
        <is>
          <t>隔日到貨🔥 蝴蝶結 iPhone 手機殼 16 15 14 13 12 11 XS XR SE 保護殼 立體 蘋果</t>
        </is>
      </c>
      <c r="C3355">
        <f>IMAGE("https://cf.shopee.tw/file/73e442c521e7e371325ecb01c7bf3ebc_tn")</f>
        <v/>
      </c>
      <c r="D3355" t="inlineStr">
        <is>
          <t>冰透蝴蝶結(單殼),7plus / 8plus</t>
        </is>
      </c>
      <c r="E3355" t="inlineStr">
        <is>
          <t>164490320688</t>
        </is>
      </c>
      <c r="F3355">
        <f>IMAGE("https://cf.shopee.tw/file/sg-11134201-23010-owgbtpox14lvbb_tn")</f>
        <v/>
      </c>
    </row>
    <row r="3356">
      <c r="A3356" t="inlineStr">
        <is>
          <t>19146617341</t>
        </is>
      </c>
      <c r="B3356" t="inlineStr">
        <is>
          <t>隔日到貨🔥 蝴蝶結 iPhone 手機殼 16 15 14 13 12 11 XS XR SE 保護殼 立體 蘋果</t>
        </is>
      </c>
      <c r="C3356">
        <f>IMAGE("https://cf.shopee.tw/file/73e442c521e7e371325ecb01c7bf3ebc_tn")</f>
        <v/>
      </c>
      <c r="D3356" t="inlineStr">
        <is>
          <t>冰透蝴蝶結(單殼),XR</t>
        </is>
      </c>
      <c r="E3356" t="inlineStr">
        <is>
          <t>164490320689</t>
        </is>
      </c>
      <c r="F3356">
        <f>IMAGE("https://cf.shopee.tw/file/sg-11134201-23010-owgbtpox14lvbb_tn")</f>
        <v/>
      </c>
    </row>
    <row r="3357">
      <c r="A3357" t="inlineStr">
        <is>
          <t>19146617341</t>
        </is>
      </c>
      <c r="B3357" t="inlineStr">
        <is>
          <t>隔日到貨🔥 蝴蝶結 iPhone 手機殼 16 15 14 13 12 11 XS XR SE 保護殼 立體 蘋果</t>
        </is>
      </c>
      <c r="C3357">
        <f>IMAGE("https://cf.shopee.tw/file/73e442c521e7e371325ecb01c7bf3ebc_tn")</f>
        <v/>
      </c>
      <c r="D3357" t="inlineStr">
        <is>
          <t>冰透蝴蝶結(單殼),XS Max</t>
        </is>
      </c>
      <c r="E3357" t="inlineStr">
        <is>
          <t>164490320684</t>
        </is>
      </c>
      <c r="F3357">
        <f>IMAGE("https://cf.shopee.tw/file/sg-11134201-23010-owgbtpox14lvbb_tn")</f>
        <v/>
      </c>
    </row>
    <row r="3358">
      <c r="A3358" t="inlineStr">
        <is>
          <t>19146617341</t>
        </is>
      </c>
      <c r="B3358" t="inlineStr">
        <is>
          <t>隔日到貨🔥 蝴蝶結 iPhone 手機殼 16 15 14 13 12 11 XS XR SE 保護殼 立體 蘋果</t>
        </is>
      </c>
      <c r="C3358">
        <f>IMAGE("https://cf.shopee.tw/file/73e442c521e7e371325ecb01c7bf3ebc_tn")</f>
        <v/>
      </c>
      <c r="D3358" t="inlineStr">
        <is>
          <t>冰透蝴蝶結(單殼),11</t>
        </is>
      </c>
      <c r="E3358" t="inlineStr"/>
      <c r="F3358">
        <f>IMAGE("https://cf.shopee.tw/file/sg-11134201-23010-owgbtpox14lvbb_tn")</f>
        <v/>
      </c>
    </row>
    <row r="3359">
      <c r="A3359" t="inlineStr">
        <is>
          <t>19146617341</t>
        </is>
      </c>
      <c r="B3359" t="inlineStr">
        <is>
          <t>隔日到貨🔥 蝴蝶結 iPhone 手機殼 16 15 14 13 12 11 XS XR SE 保護殼 立體 蘋果</t>
        </is>
      </c>
      <c r="C3359">
        <f>IMAGE("https://cf.shopee.tw/file/73e442c521e7e371325ecb01c7bf3ebc_tn")</f>
        <v/>
      </c>
      <c r="D3359" t="inlineStr">
        <is>
          <t>冰透蝴蝶結(單殼),11 pro</t>
        </is>
      </c>
      <c r="E3359" t="inlineStr">
        <is>
          <t>164490320695</t>
        </is>
      </c>
      <c r="F3359">
        <f>IMAGE("https://cf.shopee.tw/file/sg-11134201-23010-owgbtpox14lvbb_tn")</f>
        <v/>
      </c>
    </row>
    <row r="3360">
      <c r="A3360" t="inlineStr">
        <is>
          <t>19146617341</t>
        </is>
      </c>
      <c r="B3360" t="inlineStr">
        <is>
          <t>隔日到貨🔥 蝴蝶結 iPhone 手機殼 16 15 14 13 12 11 XS XR SE 保護殼 立體 蘋果</t>
        </is>
      </c>
      <c r="C3360">
        <f>IMAGE("https://cf.shopee.tw/file/73e442c521e7e371325ecb01c7bf3ebc_tn")</f>
        <v/>
      </c>
      <c r="D3360" t="inlineStr">
        <is>
          <t>冰透蝴蝶結(單殼),12</t>
        </is>
      </c>
      <c r="E3360" t="inlineStr">
        <is>
          <t>164490320685</t>
        </is>
      </c>
      <c r="F3360">
        <f>IMAGE("https://cf.shopee.tw/file/sg-11134201-23010-owgbtpox14lvbb_tn")</f>
        <v/>
      </c>
    </row>
    <row r="3361">
      <c r="A3361" t="inlineStr">
        <is>
          <t>19146617341</t>
        </is>
      </c>
      <c r="B3361" t="inlineStr">
        <is>
          <t>隔日到貨🔥 蝴蝶結 iPhone 手機殼 16 15 14 13 12 11 XS XR SE 保護殼 立體 蘋果</t>
        </is>
      </c>
      <c r="C3361">
        <f>IMAGE("https://cf.shopee.tw/file/73e442c521e7e371325ecb01c7bf3ebc_tn")</f>
        <v/>
      </c>
      <c r="D3361" t="inlineStr">
        <is>
          <t>冰透蝴蝶結(單殼),12 pro</t>
        </is>
      </c>
      <c r="E3361" t="inlineStr">
        <is>
          <t>155791754907</t>
        </is>
      </c>
      <c r="F3361">
        <f>IMAGE("https://cf.shopee.tw/file/sg-11134201-23010-owgbtpox14lvbb_tn")</f>
        <v/>
      </c>
    </row>
    <row r="3362">
      <c r="A3362" t="inlineStr">
        <is>
          <t>19146617341</t>
        </is>
      </c>
      <c r="B3362" t="inlineStr">
        <is>
          <t>隔日到貨🔥 蝴蝶結 iPhone 手機殼 16 15 14 13 12 11 XS XR SE 保護殼 立體 蘋果</t>
        </is>
      </c>
      <c r="C3362">
        <f>IMAGE("https://cf.shopee.tw/file/73e442c521e7e371325ecb01c7bf3ebc_tn")</f>
        <v/>
      </c>
      <c r="D3362" t="inlineStr">
        <is>
          <t>冰透蝴蝶結(單殼),12 pro Max</t>
        </is>
      </c>
      <c r="E3362" t="inlineStr">
        <is>
          <t>164490320690</t>
        </is>
      </c>
      <c r="F3362">
        <f>IMAGE("https://cf.shopee.tw/file/sg-11134201-23010-owgbtpox14lvbb_tn")</f>
        <v/>
      </c>
    </row>
    <row r="3363">
      <c r="A3363" t="inlineStr">
        <is>
          <t>19146617341</t>
        </is>
      </c>
      <c r="B3363" t="inlineStr">
        <is>
          <t>隔日到貨🔥 蝴蝶結 iPhone 手機殼 16 15 14 13 12 11 XS XR SE 保護殼 立體 蘋果</t>
        </is>
      </c>
      <c r="C3363">
        <f>IMAGE("https://cf.shopee.tw/file/73e442c521e7e371325ecb01c7bf3ebc_tn")</f>
        <v/>
      </c>
      <c r="D3363" t="inlineStr">
        <is>
          <t>冰透蝴蝶結(單殼),13</t>
        </is>
      </c>
      <c r="E3363" t="inlineStr">
        <is>
          <t>164490320696</t>
        </is>
      </c>
      <c r="F3363">
        <f>IMAGE("https://cf.shopee.tw/file/sg-11134201-23010-owgbtpox14lvbb_tn")</f>
        <v/>
      </c>
    </row>
    <row r="3364">
      <c r="A3364" t="inlineStr">
        <is>
          <t>19146617341</t>
        </is>
      </c>
      <c r="B3364" t="inlineStr">
        <is>
          <t>隔日到貨🔥 蝴蝶結 iPhone 手機殼 16 15 14 13 12 11 XS XR SE 保護殼 立體 蘋果</t>
        </is>
      </c>
      <c r="C3364">
        <f>IMAGE("https://cf.shopee.tw/file/73e442c521e7e371325ecb01c7bf3ebc_tn")</f>
        <v/>
      </c>
      <c r="D3364" t="inlineStr">
        <is>
          <t>冰透蝴蝶結(單殼),13 pro</t>
        </is>
      </c>
      <c r="E3364" t="inlineStr"/>
      <c r="F3364">
        <f>IMAGE("https://cf.shopee.tw/file/sg-11134201-23010-owgbtpox14lvbb_tn")</f>
        <v/>
      </c>
    </row>
    <row r="3365">
      <c r="A3365" t="inlineStr">
        <is>
          <t>19146617341</t>
        </is>
      </c>
      <c r="B3365" t="inlineStr">
        <is>
          <t>隔日到貨🔥 蝴蝶結 iPhone 手機殼 16 15 14 13 12 11 XS XR SE 保護殼 立體 蘋果</t>
        </is>
      </c>
      <c r="C3365">
        <f>IMAGE("https://cf.shopee.tw/file/73e442c521e7e371325ecb01c7bf3ebc_tn")</f>
        <v/>
      </c>
      <c r="D3365" t="inlineStr">
        <is>
          <t>冰透蝴蝶結(單殼),13 pro Max</t>
        </is>
      </c>
      <c r="E3365" t="inlineStr">
        <is>
          <t>155791754908</t>
        </is>
      </c>
      <c r="F3365">
        <f>IMAGE("https://cf.shopee.tw/file/sg-11134201-23010-owgbtpox14lvbb_tn")</f>
        <v/>
      </c>
    </row>
    <row r="3366">
      <c r="A3366" t="inlineStr">
        <is>
          <t>19146617341</t>
        </is>
      </c>
      <c r="B3366" t="inlineStr">
        <is>
          <t>隔日到貨🔥 蝴蝶結 iPhone 手機殼 16 15 14 13 12 11 XS XR SE 保護殼 立體 蘋果</t>
        </is>
      </c>
      <c r="C3366">
        <f>IMAGE("https://cf.shopee.tw/file/73e442c521e7e371325ecb01c7bf3ebc_tn")</f>
        <v/>
      </c>
      <c r="D3366" t="inlineStr">
        <is>
          <t>冰透蝴蝶結(單殼),14</t>
        </is>
      </c>
      <c r="E3366" t="inlineStr">
        <is>
          <t>164490320686</t>
        </is>
      </c>
      <c r="F3366">
        <f>IMAGE("https://cf.shopee.tw/file/sg-11134201-23010-owgbtpox14lvbb_tn")</f>
        <v/>
      </c>
    </row>
    <row r="3367">
      <c r="A3367" t="inlineStr">
        <is>
          <t>19146617341</t>
        </is>
      </c>
      <c r="B3367" t="inlineStr">
        <is>
          <t>隔日到貨🔥 蝴蝶結 iPhone 手機殼 16 15 14 13 12 11 XS XR SE 保護殼 立體 蘋果</t>
        </is>
      </c>
      <c r="C3367">
        <f>IMAGE("https://cf.shopee.tw/file/73e442c521e7e371325ecb01c7bf3ebc_tn")</f>
        <v/>
      </c>
      <c r="D3367" t="inlineStr">
        <is>
          <t>冰透蝴蝶結(單殼),14 pro</t>
        </is>
      </c>
      <c r="E3367" t="inlineStr">
        <is>
          <t>155791754909</t>
        </is>
      </c>
      <c r="F3367">
        <f>IMAGE("https://cf.shopee.tw/file/sg-11134201-23010-owgbtpox14lvbb_tn")</f>
        <v/>
      </c>
    </row>
    <row r="3368">
      <c r="A3368" t="inlineStr">
        <is>
          <t>19146617341</t>
        </is>
      </c>
      <c r="B3368" t="inlineStr">
        <is>
          <t>隔日到貨🔥 蝴蝶結 iPhone 手機殼 16 15 14 13 12 11 XS XR SE 保護殼 立體 蘋果</t>
        </is>
      </c>
      <c r="C3368">
        <f>IMAGE("https://cf.shopee.tw/file/73e442c521e7e371325ecb01c7bf3ebc_tn")</f>
        <v/>
      </c>
      <c r="D3368" t="inlineStr">
        <is>
          <t>冰透蝴蝶結(單殼),14 pro Max</t>
        </is>
      </c>
      <c r="E3368" t="inlineStr"/>
      <c r="F3368">
        <f>IMAGE("https://cf.shopee.tw/file/sg-11134201-23010-owgbtpox14lvbb_tn")</f>
        <v/>
      </c>
    </row>
    <row r="3369">
      <c r="A3369" t="inlineStr">
        <is>
          <t>19146617341</t>
        </is>
      </c>
      <c r="B3369" t="inlineStr">
        <is>
          <t>隔日到貨🔥 蝴蝶結 iPhone 手機殼 16 15 14 13 12 11 XS XR SE 保護殼 立體 蘋果</t>
        </is>
      </c>
      <c r="C3369">
        <f>IMAGE("https://cf.shopee.tw/file/73e442c521e7e371325ecb01c7bf3ebc_tn")</f>
        <v/>
      </c>
      <c r="D3369" t="inlineStr">
        <is>
          <t>冰透蝴蝶結(單殼),15</t>
        </is>
      </c>
      <c r="E3369" t="inlineStr">
        <is>
          <t>214585476810</t>
        </is>
      </c>
      <c r="F3369">
        <f>IMAGE("https://cf.shopee.tw/file/sg-11134201-23010-owgbtpox14lvbb_tn")</f>
        <v/>
      </c>
    </row>
    <row r="3370">
      <c r="A3370" t="inlineStr">
        <is>
          <t>19146617341</t>
        </is>
      </c>
      <c r="B3370" t="inlineStr">
        <is>
          <t>隔日到貨🔥 蝴蝶結 iPhone 手機殼 16 15 14 13 12 11 XS XR SE 保護殼 立體 蘋果</t>
        </is>
      </c>
      <c r="C3370">
        <f>IMAGE("https://cf.shopee.tw/file/73e442c521e7e371325ecb01c7bf3ebc_tn")</f>
        <v/>
      </c>
      <c r="D3370" t="inlineStr">
        <is>
          <t>冰透蝴蝶結(單殼),15 Plus</t>
        </is>
      </c>
      <c r="E3370" t="inlineStr">
        <is>
          <t>214585476807</t>
        </is>
      </c>
      <c r="F3370">
        <f>IMAGE("https://cf.shopee.tw/file/sg-11134201-23010-owgbtpox14lvbb_tn")</f>
        <v/>
      </c>
    </row>
    <row r="3371">
      <c r="A3371" t="inlineStr">
        <is>
          <t>19146617341</t>
        </is>
      </c>
      <c r="B3371" t="inlineStr">
        <is>
          <t>隔日到貨🔥 蝴蝶結 iPhone 手機殼 16 15 14 13 12 11 XS XR SE 保護殼 立體 蘋果</t>
        </is>
      </c>
      <c r="C3371">
        <f>IMAGE("https://cf.shopee.tw/file/73e442c521e7e371325ecb01c7bf3ebc_tn")</f>
        <v/>
      </c>
      <c r="D3371" t="inlineStr">
        <is>
          <t>冰透蝴蝶結(單殼),15 pro</t>
        </is>
      </c>
      <c r="E3371" t="inlineStr"/>
      <c r="F3371">
        <f>IMAGE("https://cf.shopee.tw/file/sg-11134201-23010-owgbtpox14lvbb_tn")</f>
        <v/>
      </c>
    </row>
    <row r="3372">
      <c r="A3372" t="inlineStr">
        <is>
          <t>19146617341</t>
        </is>
      </c>
      <c r="B3372" t="inlineStr">
        <is>
          <t>隔日到貨🔥 蝴蝶結 iPhone 手機殼 16 15 14 13 12 11 XS XR SE 保護殼 立體 蘋果</t>
        </is>
      </c>
      <c r="C3372">
        <f>IMAGE("https://cf.shopee.tw/file/73e442c521e7e371325ecb01c7bf3ebc_tn")</f>
        <v/>
      </c>
      <c r="D3372" t="inlineStr">
        <is>
          <t>冰透蝴蝶結(單殼),15 pro Max</t>
        </is>
      </c>
      <c r="E3372" t="inlineStr"/>
      <c r="F3372">
        <f>IMAGE("https://cf.shopee.tw/file/sg-11134201-23010-owgbtpox14lvbb_tn")</f>
        <v/>
      </c>
    </row>
    <row r="3373">
      <c r="A3373" t="inlineStr">
        <is>
          <t>19146617341</t>
        </is>
      </c>
      <c r="B3373" t="inlineStr">
        <is>
          <t>隔日到貨🔥 蝴蝶結 iPhone 手機殼 16 15 14 13 12 11 XS XR SE 保護殼 立體 蘋果</t>
        </is>
      </c>
      <c r="C3373">
        <f>IMAGE("https://cf.shopee.tw/file/73e442c521e7e371325ecb01c7bf3ebc_tn")</f>
        <v/>
      </c>
      <c r="D3373" t="inlineStr">
        <is>
          <t>冰透蝴蝶結(單殼),16</t>
        </is>
      </c>
      <c r="E3373" t="inlineStr">
        <is>
          <t>251751653308</t>
        </is>
      </c>
      <c r="F3373">
        <f>IMAGE("https://cf.shopee.tw/file/sg-11134201-23010-owgbtpox14lvbb_tn")</f>
        <v/>
      </c>
    </row>
    <row r="3374">
      <c r="A3374" t="inlineStr">
        <is>
          <t>19146617341</t>
        </is>
      </c>
      <c r="B3374" t="inlineStr">
        <is>
          <t>隔日到貨🔥 蝴蝶結 iPhone 手機殼 16 15 14 13 12 11 XS XR SE 保護殼 立體 蘋果</t>
        </is>
      </c>
      <c r="C3374">
        <f>IMAGE("https://cf.shopee.tw/file/73e442c521e7e371325ecb01c7bf3ebc_tn")</f>
        <v/>
      </c>
      <c r="D3374" t="inlineStr">
        <is>
          <t>冰透蝴蝶結(單殼),16 Plus</t>
        </is>
      </c>
      <c r="E3374" t="inlineStr"/>
      <c r="F3374">
        <f>IMAGE("https://cf.shopee.tw/file/sg-11134201-23010-owgbtpox14lvbb_tn")</f>
        <v/>
      </c>
    </row>
    <row r="3375">
      <c r="A3375" t="inlineStr">
        <is>
          <t>19146617341</t>
        </is>
      </c>
      <c r="B3375" t="inlineStr">
        <is>
          <t>隔日到貨🔥 蝴蝶結 iPhone 手機殼 16 15 14 13 12 11 XS XR SE 保護殼 立體 蘋果</t>
        </is>
      </c>
      <c r="C3375">
        <f>IMAGE("https://cf.shopee.tw/file/73e442c521e7e371325ecb01c7bf3ebc_tn")</f>
        <v/>
      </c>
      <c r="D3375" t="inlineStr">
        <is>
          <t>冰透蝴蝶結(單殼),16 pro</t>
        </is>
      </c>
      <c r="E3375" t="inlineStr">
        <is>
          <t>147495986240</t>
        </is>
      </c>
      <c r="F3375">
        <f>IMAGE("https://cf.shopee.tw/file/sg-11134201-23010-owgbtpox14lvbb_tn")</f>
        <v/>
      </c>
    </row>
    <row r="3376">
      <c r="A3376" t="inlineStr">
        <is>
          <t>19146617341</t>
        </is>
      </c>
      <c r="B3376" t="inlineStr">
        <is>
          <t>隔日到貨🔥 蝴蝶結 iPhone 手機殼 16 15 14 13 12 11 XS XR SE 保護殼 立體 蘋果</t>
        </is>
      </c>
      <c r="C3376">
        <f>IMAGE("https://cf.shopee.tw/file/73e442c521e7e371325ecb01c7bf3ebc_tn")</f>
        <v/>
      </c>
      <c r="D3376" t="inlineStr">
        <is>
          <t>冰透蝴蝶結(單殼),16 pro Max</t>
        </is>
      </c>
      <c r="E3376" t="inlineStr">
        <is>
          <t>147495986241</t>
        </is>
      </c>
      <c r="F3376">
        <f>IMAGE("https://cf.shopee.tw/file/sg-11134201-23010-owgbtpox14lvbb_tn")</f>
        <v/>
      </c>
    </row>
    <row r="3377">
      <c r="A3377" t="inlineStr">
        <is>
          <t>19146617341</t>
        </is>
      </c>
      <c r="B3377" t="inlineStr">
        <is>
          <t>隔日到貨🔥 蝴蝶結 iPhone 手機殼 16 15 14 13 12 11 XS XR SE 保護殼 立體 蘋果</t>
        </is>
      </c>
      <c r="C3377">
        <f>IMAGE("https://cf.shopee.tw/file/73e442c521e7e371325ecb01c7bf3ebc_tn")</f>
        <v/>
      </c>
      <c r="D3377" t="inlineStr">
        <is>
          <t>冰透蝴蝶結(單殼),加購白愛心掛繩</t>
        </is>
      </c>
      <c r="E3377" t="inlineStr"/>
      <c r="F3377">
        <f>IMAGE("https://cf.shopee.tw/file/sg-11134201-23010-owgbtpox14lvbb_tn")</f>
        <v/>
      </c>
    </row>
    <row r="3378">
      <c r="A3378" t="inlineStr">
        <is>
          <t>16188668520</t>
        </is>
      </c>
      <c r="B3378" t="inlineStr">
        <is>
          <t>隔日到貨🔥 iPhone 手機殼 14 13 12 11 pro Max XS XR SE 8plus 保護殼 軟殼</t>
        </is>
      </c>
      <c r="C3378">
        <f>IMAGE("https://cf.shopee.tw/file/tw-11134207-7r98t-lxnvw5ldtliecc_tn")</f>
        <v/>
      </c>
      <c r="D3378" t="inlineStr">
        <is>
          <t>綠愛心(單殼),iPhone 13</t>
        </is>
      </c>
      <c r="E3378" t="inlineStr">
        <is>
          <t>212972115223</t>
        </is>
      </c>
      <c r="F3378">
        <f>IMAGE("https://cf.shopee.tw/file/sg-11134201-22100-5nryubogj8iv4a_tn")</f>
        <v/>
      </c>
    </row>
    <row r="3379">
      <c r="A3379" t="inlineStr">
        <is>
          <t>16188668520</t>
        </is>
      </c>
      <c r="B3379" t="inlineStr">
        <is>
          <t>隔日到貨🔥 iPhone 手機殼 14 13 12 11 pro Max XS XR SE 8plus 保護殼 軟殼</t>
        </is>
      </c>
      <c r="C3379">
        <f>IMAGE("https://cf.shopee.tw/file/tw-11134207-7r98t-lxnvw5ldtliecc_tn")</f>
        <v/>
      </c>
      <c r="D3379" t="inlineStr">
        <is>
          <t>綠愛心(單殼),iPhone 7/8/SE2/SE3</t>
        </is>
      </c>
      <c r="E3379" t="inlineStr"/>
      <c r="F3379">
        <f>IMAGE("https://cf.shopee.tw/file/sg-11134201-22100-5nryubogj8iv4a_tn")</f>
        <v/>
      </c>
    </row>
    <row r="3380">
      <c r="A3380" t="inlineStr">
        <is>
          <t>16188668520</t>
        </is>
      </c>
      <c r="B3380" t="inlineStr">
        <is>
          <t>隔日到貨🔥 iPhone 手機殼 14 13 12 11 pro Max XS XR SE 8plus 保護殼 軟殼</t>
        </is>
      </c>
      <c r="C3380">
        <f>IMAGE("https://cf.shopee.tw/file/tw-11134207-7r98t-lxnvw5ldtliecc_tn")</f>
        <v/>
      </c>
      <c r="D3380" t="inlineStr">
        <is>
          <t>綠愛心(單殼),iPhone 7Plus/8Plus</t>
        </is>
      </c>
      <c r="E3380" t="inlineStr">
        <is>
          <t>212972115226</t>
        </is>
      </c>
      <c r="F3380">
        <f>IMAGE("https://cf.shopee.tw/file/sg-11134201-22100-5nryubogj8iv4a_tn")</f>
        <v/>
      </c>
    </row>
    <row r="3381">
      <c r="A3381" t="inlineStr">
        <is>
          <t>16188668520</t>
        </is>
      </c>
      <c r="B3381" t="inlineStr">
        <is>
          <t>隔日到貨🔥 iPhone 手機殼 14 13 12 11 pro Max XS XR SE 8plus 保護殼 軟殼</t>
        </is>
      </c>
      <c r="C3381">
        <f>IMAGE("https://cf.shopee.tw/file/tw-11134207-7r98t-lxnvw5ldtliecc_tn")</f>
        <v/>
      </c>
      <c r="D3381" t="inlineStr">
        <is>
          <t>綠愛心(單殼),iPhone X/XS</t>
        </is>
      </c>
      <c r="E3381" t="inlineStr">
        <is>
          <t>212972115221</t>
        </is>
      </c>
      <c r="F3381">
        <f>IMAGE("https://cf.shopee.tw/file/sg-11134201-22100-5nryubogj8iv4a_tn")</f>
        <v/>
      </c>
    </row>
    <row r="3382">
      <c r="A3382" t="inlineStr">
        <is>
          <t>16188668520</t>
        </is>
      </c>
      <c r="B3382" t="inlineStr">
        <is>
          <t>隔日到貨🔥 iPhone 手機殼 14 13 12 11 pro Max XS XR SE 8plus 保護殼 軟殼</t>
        </is>
      </c>
      <c r="C3382">
        <f>IMAGE("https://cf.shopee.tw/file/tw-11134207-7r98t-lxnvw5ldtliecc_tn")</f>
        <v/>
      </c>
      <c r="D3382" t="inlineStr">
        <is>
          <t>綠愛心(單殼),iPhone XR</t>
        </is>
      </c>
      <c r="E3382" t="inlineStr"/>
      <c r="F3382">
        <f>IMAGE("https://cf.shopee.tw/file/sg-11134201-22100-5nryubogj8iv4a_tn")</f>
        <v/>
      </c>
    </row>
    <row r="3383">
      <c r="A3383" t="inlineStr">
        <is>
          <t>16188668520</t>
        </is>
      </c>
      <c r="B3383" t="inlineStr">
        <is>
          <t>隔日到貨🔥 iPhone 手機殼 14 13 12 11 pro Max XS XR SE 8plus 保護殼 軟殼</t>
        </is>
      </c>
      <c r="C3383">
        <f>IMAGE("https://cf.shopee.tw/file/tw-11134207-7r98t-lxnvw5ldtliecc_tn")</f>
        <v/>
      </c>
      <c r="D3383" t="inlineStr">
        <is>
          <t>綠愛心(單殼),iPhone 11</t>
        </is>
      </c>
      <c r="E3383" t="inlineStr">
        <is>
          <t>212972115228</t>
        </is>
      </c>
      <c r="F3383">
        <f>IMAGE("https://cf.shopee.tw/file/sg-11134201-22100-5nryubogj8iv4a_tn")</f>
        <v/>
      </c>
    </row>
    <row r="3384">
      <c r="A3384" t="inlineStr">
        <is>
          <t>16188668520</t>
        </is>
      </c>
      <c r="B3384" t="inlineStr">
        <is>
          <t>隔日到貨🔥 iPhone 手機殼 14 13 12 11 pro Max XS XR SE 8plus 保護殼 軟殼</t>
        </is>
      </c>
      <c r="C3384">
        <f>IMAGE("https://cf.shopee.tw/file/tw-11134207-7r98t-lxnvw5ldtliecc_tn")</f>
        <v/>
      </c>
      <c r="D3384" t="inlineStr">
        <is>
          <t>綠愛心(單殼),iPhone 11 Pro</t>
        </is>
      </c>
      <c r="E3384" t="inlineStr"/>
      <c r="F3384">
        <f>IMAGE("https://cf.shopee.tw/file/sg-11134201-22100-5nryubogj8iv4a_tn")</f>
        <v/>
      </c>
    </row>
    <row r="3385">
      <c r="A3385" t="inlineStr">
        <is>
          <t>16188668520</t>
        </is>
      </c>
      <c r="B3385" t="inlineStr">
        <is>
          <t>隔日到貨🔥 iPhone 手機殼 14 13 12 11 pro Max XS XR SE 8plus 保護殼 軟殼</t>
        </is>
      </c>
      <c r="C3385">
        <f>IMAGE("https://cf.shopee.tw/file/tw-11134207-7r98t-lxnvw5ldtliecc_tn")</f>
        <v/>
      </c>
      <c r="D3385" t="inlineStr">
        <is>
          <t>綠愛心(單殼),iPhone 12</t>
        </is>
      </c>
      <c r="E3385" t="inlineStr">
        <is>
          <t>212972115230</t>
        </is>
      </c>
      <c r="F3385">
        <f>IMAGE("https://cf.shopee.tw/file/sg-11134201-22100-5nryubogj8iv4a_tn")</f>
        <v/>
      </c>
    </row>
    <row r="3386">
      <c r="A3386" t="inlineStr">
        <is>
          <t>16188668520</t>
        </is>
      </c>
      <c r="B3386" t="inlineStr">
        <is>
          <t>隔日到貨🔥 iPhone 手機殼 14 13 12 11 pro Max XS XR SE 8plus 保護殼 軟殼</t>
        </is>
      </c>
      <c r="C3386">
        <f>IMAGE("https://cf.shopee.tw/file/tw-11134207-7r98t-lxnvw5ldtliecc_tn")</f>
        <v/>
      </c>
      <c r="D3386" t="inlineStr">
        <is>
          <t>綠愛心(單殼),iPhone 12 Pro</t>
        </is>
      </c>
      <c r="E3386" t="inlineStr">
        <is>
          <t>212972115222</t>
        </is>
      </c>
      <c r="F3386">
        <f>IMAGE("https://cf.shopee.tw/file/sg-11134201-22100-5nryubogj8iv4a_tn")</f>
        <v/>
      </c>
    </row>
    <row r="3387">
      <c r="A3387" t="inlineStr">
        <is>
          <t>16188668520</t>
        </is>
      </c>
      <c r="B3387" t="inlineStr">
        <is>
          <t>隔日到貨🔥 iPhone 手機殼 14 13 12 11 pro Max XS XR SE 8plus 保護殼 軟殼</t>
        </is>
      </c>
      <c r="C3387">
        <f>IMAGE("https://cf.shopee.tw/file/tw-11134207-7r98t-lxnvw5ldtliecc_tn")</f>
        <v/>
      </c>
      <c r="D3387" t="inlineStr">
        <is>
          <t>綠愛心(單殼),iPhone 12 Pro Max</t>
        </is>
      </c>
      <c r="E3387" t="inlineStr">
        <is>
          <t>212972115231</t>
        </is>
      </c>
      <c r="F3387">
        <f>IMAGE("https://cf.shopee.tw/file/sg-11134201-22100-5nryubogj8iv4a_tn")</f>
        <v/>
      </c>
    </row>
    <row r="3388">
      <c r="A3388" t="inlineStr">
        <is>
          <t>16188668520</t>
        </is>
      </c>
      <c r="B3388" t="inlineStr">
        <is>
          <t>隔日到貨🔥 iPhone 手機殼 14 13 12 11 pro Max XS XR SE 8plus 保護殼 軟殼</t>
        </is>
      </c>
      <c r="C3388">
        <f>IMAGE("https://cf.shopee.tw/file/tw-11134207-7r98t-lxnvw5ldtliecc_tn")</f>
        <v/>
      </c>
      <c r="D3388" t="inlineStr">
        <is>
          <t>綠愛心(單殼),iPhone 13 Pro</t>
        </is>
      </c>
      <c r="E3388" t="inlineStr">
        <is>
          <t>212972115220</t>
        </is>
      </c>
      <c r="F3388">
        <f>IMAGE("https://cf.shopee.tw/file/sg-11134201-22100-5nryubogj8iv4a_tn")</f>
        <v/>
      </c>
    </row>
    <row r="3389">
      <c r="A3389" t="inlineStr">
        <is>
          <t>16188668520</t>
        </is>
      </c>
      <c r="B3389" t="inlineStr">
        <is>
          <t>隔日到貨🔥 iPhone 手機殼 14 13 12 11 pro Max XS XR SE 8plus 保護殼 軟殼</t>
        </is>
      </c>
      <c r="C3389">
        <f>IMAGE("https://cf.shopee.tw/file/tw-11134207-7r98t-lxnvw5ldtliecc_tn")</f>
        <v/>
      </c>
      <c r="D3389" t="inlineStr">
        <is>
          <t>綠愛心(單殼),iPhone 13 Pro Max</t>
        </is>
      </c>
      <c r="E3389" t="inlineStr"/>
      <c r="F3389">
        <f>IMAGE("https://cf.shopee.tw/file/sg-11134201-22100-5nryubogj8iv4a_tn")</f>
        <v/>
      </c>
    </row>
    <row r="3390">
      <c r="A3390" t="inlineStr">
        <is>
          <t>16188668520</t>
        </is>
      </c>
      <c r="B3390" t="inlineStr">
        <is>
          <t>隔日到貨🔥 iPhone 手機殼 14 13 12 11 pro Max XS XR SE 8plus 保護殼 軟殼</t>
        </is>
      </c>
      <c r="C3390">
        <f>IMAGE("https://cf.shopee.tw/file/tw-11134207-7r98t-lxnvw5ldtliecc_tn")</f>
        <v/>
      </c>
      <c r="D3390" t="inlineStr">
        <is>
          <t>綠愛心(單殼),iPhone 14</t>
        </is>
      </c>
      <c r="E3390" t="inlineStr"/>
      <c r="F3390">
        <f>IMAGE("https://cf.shopee.tw/file/sg-11134201-22100-5nryubogj8iv4a_tn")</f>
        <v/>
      </c>
    </row>
    <row r="3391">
      <c r="A3391" t="inlineStr">
        <is>
          <t>16188668520</t>
        </is>
      </c>
      <c r="B3391" t="inlineStr">
        <is>
          <t>隔日到貨🔥 iPhone 手機殼 14 13 12 11 pro Max XS XR SE 8plus 保護殼 軟殼</t>
        </is>
      </c>
      <c r="C3391">
        <f>IMAGE("https://cf.shopee.tw/file/tw-11134207-7r98t-lxnvw5ldtliecc_tn")</f>
        <v/>
      </c>
      <c r="D3391" t="inlineStr">
        <is>
          <t>綠愛心(單殼),iPhone 14 Plus</t>
        </is>
      </c>
      <c r="E3391" t="inlineStr"/>
      <c r="F3391">
        <f>IMAGE("https://cf.shopee.tw/file/sg-11134201-22100-5nryubogj8iv4a_tn")</f>
        <v/>
      </c>
    </row>
    <row r="3392">
      <c r="A3392" t="inlineStr">
        <is>
          <t>16188668520</t>
        </is>
      </c>
      <c r="B3392" t="inlineStr">
        <is>
          <t>隔日到貨🔥 iPhone 手機殼 14 13 12 11 pro Max XS XR SE 8plus 保護殼 軟殼</t>
        </is>
      </c>
      <c r="C3392">
        <f>IMAGE("https://cf.shopee.tw/file/tw-11134207-7r98t-lxnvw5ldtliecc_tn")</f>
        <v/>
      </c>
      <c r="D3392" t="inlineStr">
        <is>
          <t>綠愛心(單殼),iPhone 14 Pro</t>
        </is>
      </c>
      <c r="E3392" t="inlineStr"/>
      <c r="F3392">
        <f>IMAGE("https://cf.shopee.tw/file/sg-11134201-22100-5nryubogj8iv4a_tn")</f>
        <v/>
      </c>
    </row>
    <row r="3393">
      <c r="A3393" t="inlineStr">
        <is>
          <t>16188668520</t>
        </is>
      </c>
      <c r="B3393" t="inlineStr">
        <is>
          <t>隔日到貨🔥 iPhone 手機殼 14 13 12 11 pro Max XS XR SE 8plus 保護殼 軟殼</t>
        </is>
      </c>
      <c r="C3393">
        <f>IMAGE("https://cf.shopee.tw/file/tw-11134207-7r98t-lxnvw5ldtliecc_tn")</f>
        <v/>
      </c>
      <c r="D3393" t="inlineStr">
        <is>
          <t>綠愛心(單殼),iPhone 14 Pro Max</t>
        </is>
      </c>
      <c r="E3393" t="inlineStr">
        <is>
          <t>212972115229</t>
        </is>
      </c>
      <c r="F3393">
        <f>IMAGE("https://cf.shopee.tw/file/sg-11134201-22100-5nryubogj8iv4a_tn")</f>
        <v/>
      </c>
    </row>
    <row r="3394">
      <c r="A3394" t="inlineStr">
        <is>
          <t>16188668520</t>
        </is>
      </c>
      <c r="B3394" t="inlineStr">
        <is>
          <t>隔日到貨🔥 iPhone 手機殼 14 13 12 11 pro Max XS XR SE 8plus 保護殼 軟殼</t>
        </is>
      </c>
      <c r="C3394">
        <f>IMAGE("https://cf.shopee.tw/file/tw-11134207-7r98t-lxnvw5ldtliecc_tn")</f>
        <v/>
      </c>
      <c r="D3394" t="inlineStr">
        <is>
          <t>綠愛心(單殼),iPhone 11 Pro Max</t>
        </is>
      </c>
      <c r="E3394" t="inlineStr">
        <is>
          <t>29748423933</t>
        </is>
      </c>
      <c r="F3394">
        <f>IMAGE("https://cf.shopee.tw/file/sg-11134201-22100-5nryubogj8iv4a_tn")</f>
        <v/>
      </c>
    </row>
    <row r="3395">
      <c r="A3395" t="inlineStr">
        <is>
          <t>16188668520</t>
        </is>
      </c>
      <c r="B3395" t="inlineStr">
        <is>
          <t>隔日到貨🔥 iPhone 手機殼 14 13 12 11 pro Max XS XR SE 8plus 保護殼 軟殼</t>
        </is>
      </c>
      <c r="C3395">
        <f>IMAGE("https://cf.shopee.tw/file/tw-11134207-7r98t-lxnvw5ldtliecc_tn")</f>
        <v/>
      </c>
      <c r="D3395" t="inlineStr">
        <is>
          <t>綠愛心(單殼),iPhone 15</t>
        </is>
      </c>
      <c r="E3395" t="inlineStr">
        <is>
          <t>255101740450</t>
        </is>
      </c>
      <c r="F3395">
        <f>IMAGE("https://cf.shopee.tw/file/sg-11134201-22100-5nryubogj8iv4a_tn")</f>
        <v/>
      </c>
    </row>
    <row r="3396">
      <c r="A3396" t="inlineStr">
        <is>
          <t>16188668520</t>
        </is>
      </c>
      <c r="B3396" t="inlineStr">
        <is>
          <t>隔日到貨🔥 iPhone 手機殼 14 13 12 11 pro Max XS XR SE 8plus 保護殼 軟殼</t>
        </is>
      </c>
      <c r="C3396">
        <f>IMAGE("https://cf.shopee.tw/file/tw-11134207-7r98t-lxnvw5ldtliecc_tn")</f>
        <v/>
      </c>
      <c r="D3396" t="inlineStr">
        <is>
          <t>綠愛心(單殼),iPhone 15 Pro</t>
        </is>
      </c>
      <c r="E3396" t="inlineStr"/>
      <c r="F3396">
        <f>IMAGE("https://cf.shopee.tw/file/sg-11134201-22100-5nryubogj8iv4a_tn")</f>
        <v/>
      </c>
    </row>
    <row r="3397">
      <c r="A3397" t="inlineStr">
        <is>
          <t>16188668520</t>
        </is>
      </c>
      <c r="B3397" t="inlineStr">
        <is>
          <t>隔日到貨🔥 iPhone 手機殼 14 13 12 11 pro Max XS XR SE 8plus 保護殼 軟殼</t>
        </is>
      </c>
      <c r="C3397">
        <f>IMAGE("https://cf.shopee.tw/file/tw-11134207-7r98t-lxnvw5ldtliecc_tn")</f>
        <v/>
      </c>
      <c r="D3397" t="inlineStr">
        <is>
          <t>綠愛心(單殼),iPhone 15 Pro max</t>
        </is>
      </c>
      <c r="E3397" t="inlineStr"/>
      <c r="F3397">
        <f>IMAGE("https://cf.shopee.tw/file/sg-11134201-22100-5nryubogj8iv4a_tn")</f>
        <v/>
      </c>
    </row>
    <row r="3398">
      <c r="A3398" t="inlineStr">
        <is>
          <t>16188668520</t>
        </is>
      </c>
      <c r="B3398" t="inlineStr">
        <is>
          <t>隔日到貨🔥 iPhone 手機殼 14 13 12 11 pro Max XS XR SE 8plus 保護殼 軟殼</t>
        </is>
      </c>
      <c r="C3398">
        <f>IMAGE("https://cf.shopee.tw/file/tw-11134207-7r98t-lxnvw5ldtliecc_tn")</f>
        <v/>
      </c>
      <c r="D3398" t="inlineStr">
        <is>
          <t>綠愛心(單殼),iPhone 15 Plus</t>
        </is>
      </c>
      <c r="E3398" t="inlineStr">
        <is>
          <t>255101740453</t>
        </is>
      </c>
      <c r="F3398">
        <f>IMAGE("https://cf.shopee.tw/file/sg-11134201-22100-5nryubogj8iv4a_tn")</f>
        <v/>
      </c>
    </row>
    <row r="3399">
      <c r="A3399" t="inlineStr">
        <is>
          <t>16188668520</t>
        </is>
      </c>
      <c r="B3399" t="inlineStr">
        <is>
          <t>隔日到貨🔥 iPhone 手機殼 14 13 12 11 pro Max XS XR SE 8plus 保護殼 軟殼</t>
        </is>
      </c>
      <c r="C3399">
        <f>IMAGE("https://cf.shopee.tw/file/tw-11134207-7r98t-lxnvw5ldtliecc_tn")</f>
        <v/>
      </c>
      <c r="D3399" t="inlineStr">
        <is>
          <t>綠愛心(單殼),加購珠光愛心繩</t>
        </is>
      </c>
      <c r="E3399" t="inlineStr">
        <is>
          <t>232996030633</t>
        </is>
      </c>
      <c r="F3399">
        <f>IMAGE("https://cf.shopee.tw/file/sg-11134201-22100-5nryubogj8iv4a_tn")</f>
        <v/>
      </c>
    </row>
    <row r="3400">
      <c r="A3400" t="inlineStr">
        <is>
          <t>23775917956</t>
        </is>
      </c>
      <c r="B3400" t="inlineStr">
        <is>
          <t>隔日到貨🔥 ins風 韓版 鏡子 梳子 梳鏡一體 化妝鏡 折疊鏡 氣墊梳 隨身鏡 簡約 可愛 女學生必備 小鏡子</t>
        </is>
      </c>
      <c r="C3400">
        <f>IMAGE("https://cf.shopee.tw/file/tw-11134207-7qul2-lk27cq24yj0me2_tn")</f>
        <v/>
      </c>
      <c r="D3400" t="inlineStr">
        <is>
          <t>棕色底</t>
        </is>
      </c>
      <c r="E3400" t="inlineStr">
        <is>
          <t>221882457471</t>
        </is>
      </c>
      <c r="F3400">
        <f>IMAGE("https://cf.shopee.tw/file/tw-11134207-7qul4-lk27cq24lvt943_tn")</f>
        <v/>
      </c>
    </row>
    <row r="3401">
      <c r="A3401" t="inlineStr">
        <is>
          <t>23775917956</t>
        </is>
      </c>
      <c r="B3401" t="inlineStr">
        <is>
          <t>隔日到貨🔥 ins風 韓版 鏡子 梳子 梳鏡一體 化妝鏡 折疊鏡 氣墊梳 隨身鏡 簡約 可愛 女學生必備 小鏡子</t>
        </is>
      </c>
      <c r="C3401">
        <f>IMAGE("https://cf.shopee.tw/file/tw-11134207-7qul2-lk27cq24yj0me2_tn")</f>
        <v/>
      </c>
      <c r="D3401" t="inlineStr">
        <is>
          <t>白色底</t>
        </is>
      </c>
      <c r="E3401" t="inlineStr">
        <is>
          <t>221882457472</t>
        </is>
      </c>
      <c r="F3401">
        <f>IMAGE("https://cf.shopee.tw/file/tw-11134207-7qul6-lk27cq24khc6df_tn")</f>
        <v/>
      </c>
    </row>
    <row r="3402">
      <c r="A3402" t="inlineStr">
        <is>
          <t>23775917956</t>
        </is>
      </c>
      <c r="B3402" t="inlineStr">
        <is>
          <t>隔日到貨🔥 ins風 韓版 鏡子 梳子 梳鏡一體 化妝鏡 折疊鏡 氣墊梳 隨身鏡 簡約 可愛 女學生必備 小鏡子</t>
        </is>
      </c>
      <c r="C3402">
        <f>IMAGE("https://cf.shopee.tw/file/tw-11134207-7qul2-lk27cq24yj0me2_tn")</f>
        <v/>
      </c>
      <c r="D3402" t="inlineStr">
        <is>
          <t>黃色底</t>
        </is>
      </c>
      <c r="E3402" t="inlineStr">
        <is>
          <t>221882457473</t>
        </is>
      </c>
      <c r="F3402">
        <f>IMAGE("https://cf.shopee.tw/file/tw-11134207-7quky-lk27cq2e4mdp66_tn")</f>
        <v/>
      </c>
    </row>
    <row r="3403">
      <c r="A3403" t="inlineStr">
        <is>
          <t>22825461851</t>
        </is>
      </c>
      <c r="B3403" t="inlineStr">
        <is>
          <t>隔日到貨🔥 小兔 刺繡襪 S31 長襪 長襪 中筒襪 襪子女 白長襪 女襪 女生襪子 白色襪子 白襪 女白襪</t>
        </is>
      </c>
      <c r="C3403">
        <f>IMAGE("https://cf.shopee.tw/file/tw-11134207-23020-ecc4acregonv95_tn")</f>
        <v/>
      </c>
      <c r="D3403" t="inlineStr">
        <is>
          <t>黑色小兔</t>
        </is>
      </c>
      <c r="E3403" t="inlineStr">
        <is>
          <t>230995918156</t>
        </is>
      </c>
      <c r="F3403">
        <f>IMAGE("https://cf.shopee.tw/file/tw-11134207-23020-1mpen41ggonv46_tn")</f>
        <v/>
      </c>
    </row>
    <row r="3404">
      <c r="A3404" t="inlineStr">
        <is>
          <t>22825461851</t>
        </is>
      </c>
      <c r="B3404" t="inlineStr">
        <is>
          <t>隔日到貨🔥 小兔 刺繡襪 S31 長襪 長襪 中筒襪 襪子女 白長襪 女襪 女生襪子 白色襪子 白襪 女白襪</t>
        </is>
      </c>
      <c r="C3404">
        <f>IMAGE("https://cf.shopee.tw/file/tw-11134207-23020-ecc4acregonv95_tn")</f>
        <v/>
      </c>
      <c r="D3404" t="inlineStr">
        <is>
          <t>白色小兔</t>
        </is>
      </c>
      <c r="E3404" t="inlineStr"/>
      <c r="F3404">
        <f>IMAGE("https://cf.shopee.tw/file/tw-11134207-23020-5lzomb5ggonvc8_tn")</f>
        <v/>
      </c>
    </row>
    <row r="3405">
      <c r="A3405" t="inlineStr">
        <is>
          <t>22825461851</t>
        </is>
      </c>
      <c r="B3405" t="inlineStr">
        <is>
          <t>隔日到貨🔥 小兔 刺繡襪 S31 長襪 長襪 中筒襪 襪子女 白長襪 女襪 女生襪子 白色襪子 白襪 女白襪</t>
        </is>
      </c>
      <c r="C3405">
        <f>IMAGE("https://cf.shopee.tw/file/tw-11134207-23020-ecc4acregonv95_tn")</f>
        <v/>
      </c>
      <c r="D3405" t="inlineStr">
        <is>
          <t>米色小兔</t>
        </is>
      </c>
      <c r="E3405" t="inlineStr">
        <is>
          <t>230995918158</t>
        </is>
      </c>
      <c r="F3405">
        <f>IMAGE("https://cf.shopee.tw/file/tw-11134207-23020-gbzuap0ggonv8d_tn")</f>
        <v/>
      </c>
    </row>
    <row r="3406">
      <c r="A3406" t="inlineStr">
        <is>
          <t>22825461851</t>
        </is>
      </c>
      <c r="B3406" t="inlineStr">
        <is>
          <t>隔日到貨🔥 小兔 刺繡襪 S31 長襪 長襪 中筒襪 襪子女 白長襪 女襪 女生襪子 白色襪子 白襪 女白襪</t>
        </is>
      </c>
      <c r="C3406">
        <f>IMAGE("https://cf.shopee.tw/file/tw-11134207-23020-ecc4acregonv95_tn")</f>
        <v/>
      </c>
      <c r="D3406" t="inlineStr">
        <is>
          <t>咖啡小兔</t>
        </is>
      </c>
      <c r="E3406" t="inlineStr"/>
      <c r="F3406">
        <f>IMAGE("https://cf.shopee.tw/file/tw-11134207-23020-gf3bhhshgonv0e_tn")</f>
        <v/>
      </c>
    </row>
    <row r="3407">
      <c r="A3407" t="inlineStr">
        <is>
          <t>22825461851</t>
        </is>
      </c>
      <c r="B3407" t="inlineStr">
        <is>
          <t>隔日到貨🔥 小兔 刺繡襪 S31 長襪 長襪 中筒襪 襪子女 白長襪 女襪 女生襪子 白色襪子 白襪 女白襪</t>
        </is>
      </c>
      <c r="C3407">
        <f>IMAGE("https://cf.shopee.tw/file/tw-11134207-23020-ecc4acregonv95_tn")</f>
        <v/>
      </c>
      <c r="D3407" t="inlineStr">
        <is>
          <t>奶白小兔</t>
        </is>
      </c>
      <c r="E3407" t="inlineStr">
        <is>
          <t>230995918160</t>
        </is>
      </c>
      <c r="F3407">
        <f>IMAGE("https://cf.shopee.tw/file/tw-11134207-23020-1as5fdihgonv1c_tn")</f>
        <v/>
      </c>
    </row>
    <row r="3408">
      <c r="A3408" t="inlineStr">
        <is>
          <t>22825461851</t>
        </is>
      </c>
      <c r="B3408" t="inlineStr">
        <is>
          <t>隔日到貨🔥 小兔 刺繡襪 S31 長襪 長襪 中筒襪 襪子女 白長襪 女襪 女生襪子 白色襪子 白襪 女白襪</t>
        </is>
      </c>
      <c r="C3408">
        <f>IMAGE("https://cf.shopee.tw/file/tw-11134207-23020-ecc4acregonv95_tn")</f>
        <v/>
      </c>
      <c r="D3408" t="inlineStr">
        <is>
          <t>卡其小兔</t>
        </is>
      </c>
      <c r="E3408" t="inlineStr">
        <is>
          <t>230995918161</t>
        </is>
      </c>
      <c r="F3408">
        <f>IMAGE("https://cf.shopee.tw/file/tw-11134207-23020-1ublplphgonv24_tn")</f>
        <v/>
      </c>
    </row>
    <row r="3409">
      <c r="A3409" t="inlineStr">
        <is>
          <t>29362821878</t>
        </is>
      </c>
      <c r="B3409" t="inlineStr">
        <is>
          <t>隔日到貨🔥 ins 貓咪狗狗刺繡化妝包 B19 化妝包 筆袋 超大容量 收納包 洗漱包 鉛筆盒 刺繡 包包 日系</t>
        </is>
      </c>
      <c r="C3409">
        <f>IMAGE("https://cf.shopee.tw/file/tw-11134207-7ras9-m0v8c2n336cn10_tn")</f>
        <v/>
      </c>
      <c r="D3409" t="inlineStr">
        <is>
          <t>棕色狗狗</t>
        </is>
      </c>
      <c r="E3409" t="inlineStr">
        <is>
          <t>205430529524</t>
        </is>
      </c>
      <c r="F3409">
        <f>IMAGE("https://cf.shopee.tw/file/tw-11134207-7rask-m0v997cfpknn65_tn")</f>
        <v/>
      </c>
    </row>
    <row r="3410">
      <c r="A3410" t="inlineStr">
        <is>
          <t>29362821878</t>
        </is>
      </c>
      <c r="B3410" t="inlineStr">
        <is>
          <t>隔日到貨🔥 ins 貓咪狗狗刺繡化妝包 B19 化妝包 筆袋 超大容量 收納包 洗漱包 鉛筆盒 刺繡 包包 日系</t>
        </is>
      </c>
      <c r="C3410">
        <f>IMAGE("https://cf.shopee.tw/file/tw-11134207-7ras9-m0v8c2n336cn10_tn")</f>
        <v/>
      </c>
      <c r="D3410" t="inlineStr">
        <is>
          <t>米色貓咪</t>
        </is>
      </c>
      <c r="E3410" t="inlineStr"/>
      <c r="F3410">
        <f>IMAGE("https://cf.shopee.tw/file/tw-11134207-7rasb-m0v997cg50wjed_tn")</f>
        <v/>
      </c>
    </row>
    <row r="3411">
      <c r="A3411" t="inlineStr">
        <is>
          <t>23882645109</t>
        </is>
      </c>
      <c r="B3411" t="inlineStr">
        <is>
          <t>隔日到貨🔥 軟毛牙刷 3支裝 軟毛牙刷 牙刷 兒童牙刷 寶寶牙刷 牙刷 軟牙刷 細毛牙刷</t>
        </is>
      </c>
      <c r="C3411">
        <f>IMAGE("https://cf.shopee.tw/file/tw-11134207-7r990-lmljciemwf4pce_tn")</f>
        <v/>
      </c>
      <c r="D3411" t="inlineStr">
        <is>
          <t>三隻裝</t>
        </is>
      </c>
      <c r="E3411" t="inlineStr">
        <is>
          <t>166136407396</t>
        </is>
      </c>
      <c r="F3411">
        <f>IMAGE("https://cf.shopee.tw/file/tw-11134207-7r992-lmle678ggp09b6_tn")</f>
        <v/>
      </c>
    </row>
    <row r="3412">
      <c r="A3412" t="inlineStr">
        <is>
          <t>22617008349</t>
        </is>
      </c>
      <c r="B3412" t="inlineStr">
        <is>
          <t>隔日到貨🔥 韓系 ins 熱銷款🏆 日系尼龍小包包 B6 可放長夾 單肩 帆布 斜背 側背包 單肩包 學生包 斜背包</t>
        </is>
      </c>
      <c r="C3412">
        <f>IMAGE("https://cf.shopee.tw/file/tw-11134207-7quky-lh1lhu46yhbd68_tn")</f>
        <v/>
      </c>
      <c r="D3412" t="inlineStr">
        <is>
          <t>黑色</t>
        </is>
      </c>
      <c r="E3412" t="inlineStr">
        <is>
          <t>220710990719</t>
        </is>
      </c>
      <c r="F3412">
        <f>IMAGE("https://cf.shopee.tw/file/sg-11134201-23010-cdirprtbk1lv02_tn")</f>
        <v/>
      </c>
    </row>
    <row r="3413">
      <c r="A3413" t="inlineStr">
        <is>
          <t>22617008349</t>
        </is>
      </c>
      <c r="B3413" t="inlineStr">
        <is>
          <t>隔日到貨🔥 韓系 ins 熱銷款🏆 日系尼龍小包包 B6 可放長夾 單肩 帆布 斜背 側背包 單肩包 學生包 斜背包</t>
        </is>
      </c>
      <c r="C3413">
        <f>IMAGE("https://cf.shopee.tw/file/tw-11134207-7quky-lh1lhu46yhbd68_tn")</f>
        <v/>
      </c>
      <c r="D3413" t="inlineStr">
        <is>
          <t>米白</t>
        </is>
      </c>
      <c r="E3413" t="inlineStr">
        <is>
          <t>220710990720</t>
        </is>
      </c>
      <c r="F3413">
        <f>IMAGE("https://cf.shopee.tw/file/tw-11134207-7qul5-lh1lhu46yhikf5_tn")</f>
        <v/>
      </c>
    </row>
    <row r="3414">
      <c r="A3414" t="inlineStr">
        <is>
          <t>22617008349</t>
        </is>
      </c>
      <c r="B3414" t="inlineStr">
        <is>
          <t>隔日到貨🔥 韓系 ins 熱銷款🏆 日系尼龍小包包 B6 可放長夾 單肩 帆布 斜背 側背包 單肩包 學生包 斜背包</t>
        </is>
      </c>
      <c r="C3414">
        <f>IMAGE("https://cf.shopee.tw/file/tw-11134207-7quky-lh1lhu46yhbd68_tn")</f>
        <v/>
      </c>
      <c r="D3414" t="inlineStr">
        <is>
          <t>淺綠色</t>
        </is>
      </c>
      <c r="E3414" t="inlineStr">
        <is>
          <t>220710990716</t>
        </is>
      </c>
      <c r="F3414">
        <f>IMAGE("https://cf.shopee.tw/file/sg-11134201-23010-mm92qqzbk1lv62_tn")</f>
        <v/>
      </c>
    </row>
    <row r="3415">
      <c r="A3415" t="inlineStr">
        <is>
          <t>22617008349</t>
        </is>
      </c>
      <c r="B3415" t="inlineStr">
        <is>
          <t>隔日到貨🔥 韓系 ins 熱銷款🏆 日系尼龍小包包 B6 可放長夾 單肩 帆布 斜背 側背包 單肩包 學生包 斜背包</t>
        </is>
      </c>
      <c r="C3415">
        <f>IMAGE("https://cf.shopee.tw/file/tw-11134207-7quky-lh1lhu46yhbd68_tn")</f>
        <v/>
      </c>
      <c r="D3415" t="inlineStr">
        <is>
          <t>藍色</t>
        </is>
      </c>
      <c r="E3415" t="inlineStr">
        <is>
          <t>220710990717</t>
        </is>
      </c>
      <c r="F3415">
        <f>IMAGE("https://cf.shopee.tw/file/sg-11134201-23010-cn53kf3bk1lv2c_tn")</f>
        <v/>
      </c>
    </row>
    <row r="3416">
      <c r="A3416" t="inlineStr">
        <is>
          <t>22617008349</t>
        </is>
      </c>
      <c r="B3416" t="inlineStr">
        <is>
          <t>隔日到貨🔥 韓系 ins 熱銷款🏆 日系尼龍小包包 B6 可放長夾 單肩 帆布 斜背 側背包 單肩包 學生包 斜背包</t>
        </is>
      </c>
      <c r="C3416">
        <f>IMAGE("https://cf.shopee.tw/file/tw-11134207-7quky-lh1lhu46yhbd68_tn")</f>
        <v/>
      </c>
      <c r="D3416" t="inlineStr">
        <is>
          <t>粉紅色</t>
        </is>
      </c>
      <c r="E3416" t="inlineStr">
        <is>
          <t>220710990718</t>
        </is>
      </c>
      <c r="F3416">
        <f>IMAGE("https://cf.shopee.tw/file/sg-11134201-23010-cbodzb7bk1lv6c_tn")</f>
        <v/>
      </c>
    </row>
    <row r="3417">
      <c r="A3417" t="inlineStr">
        <is>
          <t>12339426172</t>
        </is>
      </c>
      <c r="B3417" t="inlineStr">
        <is>
          <t>隔日到貨🔥 Airpods 保護套 4代 1代 2代 3代 pro pro2 軟殼 保護殼 防摔殼 卡其色 素色</t>
        </is>
      </c>
      <c r="C3417">
        <f>IMAGE("https://cf.shopee.tw/file/c1b5124cc318cd45c5973c5599c0c258_tn")</f>
        <v/>
      </c>
      <c r="D3417" t="inlineStr">
        <is>
          <t>卡其色 + 掛鉤,1代 / 2代</t>
        </is>
      </c>
      <c r="E3417" t="inlineStr">
        <is>
          <t>77672455506</t>
        </is>
      </c>
      <c r="F3417">
        <f>IMAGE("https://cf.shopee.tw/file/8708f63309e0f54b172b75fc7d5d2a92_tn")</f>
        <v/>
      </c>
    </row>
    <row r="3418">
      <c r="A3418" t="inlineStr">
        <is>
          <t>12339426172</t>
        </is>
      </c>
      <c r="B3418" t="inlineStr">
        <is>
          <t>隔日到貨🔥 Airpods 保護套 4代 1代 2代 3代 pro pro2 軟殼 保護殼 防摔殼 卡其色 素色</t>
        </is>
      </c>
      <c r="C3418">
        <f>IMAGE("https://cf.shopee.tw/file/c1b5124cc318cd45c5973c5599c0c258_tn")</f>
        <v/>
      </c>
      <c r="D3418" t="inlineStr">
        <is>
          <t>卡其色 + 掛鉤,Pro1代/Pro2代 (通用）</t>
        </is>
      </c>
      <c r="E3418" t="inlineStr"/>
      <c r="F3418">
        <f>IMAGE("https://cf.shopee.tw/file/8708f63309e0f54b172b75fc7d5d2a92_tn")</f>
        <v/>
      </c>
    </row>
    <row r="3419">
      <c r="A3419" t="inlineStr">
        <is>
          <t>12339426172</t>
        </is>
      </c>
      <c r="B3419" t="inlineStr">
        <is>
          <t>隔日到貨🔥 Airpods 保護套 4代 1代 2代 3代 pro pro2 軟殼 保護殼 防摔殼 卡其色 素色</t>
        </is>
      </c>
      <c r="C3419">
        <f>IMAGE("https://cf.shopee.tw/file/c1b5124cc318cd45c5973c5599c0c258_tn")</f>
        <v/>
      </c>
      <c r="D3419" t="inlineStr">
        <is>
          <t>卡其色 + 掛鉤,［3代］</t>
        </is>
      </c>
      <c r="E3419" t="inlineStr">
        <is>
          <t>58123793572</t>
        </is>
      </c>
      <c r="F3419">
        <f>IMAGE("https://cf.shopee.tw/file/8708f63309e0f54b172b75fc7d5d2a92_tn")</f>
        <v/>
      </c>
    </row>
    <row r="3420">
      <c r="A3420" t="inlineStr">
        <is>
          <t>12339426172</t>
        </is>
      </c>
      <c r="B3420" t="inlineStr">
        <is>
          <t>隔日到貨🔥 Airpods 保護套 4代 1代 2代 3代 pro pro2 軟殼 保護殼 防摔殼 卡其色 素色</t>
        </is>
      </c>
      <c r="C3420">
        <f>IMAGE("https://cf.shopee.tw/file/c1b5124cc318cd45c5973c5599c0c258_tn")</f>
        <v/>
      </c>
      <c r="D3420" t="inlineStr">
        <is>
          <t>卡其色 + 掛鉤,4代</t>
        </is>
      </c>
      <c r="E3420" t="inlineStr">
        <is>
          <t>129082693636</t>
        </is>
      </c>
      <c r="F3420">
        <f>IMAGE("https://cf.shopee.tw/file/8708f63309e0f54b172b75fc7d5d2a92_tn")</f>
        <v/>
      </c>
    </row>
    <row r="3421">
      <c r="A3421" t="inlineStr">
        <is>
          <t>12339426172</t>
        </is>
      </c>
      <c r="B3421" t="inlineStr">
        <is>
          <t>隔日到貨🔥 Airpods 保護套 4代 1代 2代 3代 pro pro2 軟殼 保護殼 防摔殼 卡其色 素色</t>
        </is>
      </c>
      <c r="C3421">
        <f>IMAGE("https://cf.shopee.tw/file/c1b5124cc318cd45c5973c5599c0c258_tn")</f>
        <v/>
      </c>
      <c r="D3421" t="inlineStr">
        <is>
          <t>棕色 + 掛鉤,1代 / 2代</t>
        </is>
      </c>
      <c r="E3421" t="inlineStr">
        <is>
          <t>77672455508</t>
        </is>
      </c>
      <c r="F3421">
        <f>IMAGE("https://cf.shopee.tw/file/221f8de640f9e45c52f9bba6cb8d1b25_tn")</f>
        <v/>
      </c>
    </row>
    <row r="3422">
      <c r="A3422" t="inlineStr">
        <is>
          <t>12339426172</t>
        </is>
      </c>
      <c r="B3422" t="inlineStr">
        <is>
          <t>隔日到貨🔥 Airpods 保護套 4代 1代 2代 3代 pro pro2 軟殼 保護殼 防摔殼 卡其色 素色</t>
        </is>
      </c>
      <c r="C3422">
        <f>IMAGE("https://cf.shopee.tw/file/c1b5124cc318cd45c5973c5599c0c258_tn")</f>
        <v/>
      </c>
      <c r="D3422" t="inlineStr">
        <is>
          <t>棕色 + 掛鉤,Pro1代/Pro2代 (通用）</t>
        </is>
      </c>
      <c r="E3422" t="inlineStr">
        <is>
          <t>85591383152</t>
        </is>
      </c>
      <c r="F3422">
        <f>IMAGE("https://cf.shopee.tw/file/221f8de640f9e45c52f9bba6cb8d1b25_tn")</f>
        <v/>
      </c>
    </row>
    <row r="3423">
      <c r="A3423" t="inlineStr">
        <is>
          <t>12339426172</t>
        </is>
      </c>
      <c r="B3423" t="inlineStr">
        <is>
          <t>隔日到貨🔥 Airpods 保護套 4代 1代 2代 3代 pro pro2 軟殼 保護殼 防摔殼 卡其色 素色</t>
        </is>
      </c>
      <c r="C3423">
        <f>IMAGE("https://cf.shopee.tw/file/c1b5124cc318cd45c5973c5599c0c258_tn")</f>
        <v/>
      </c>
      <c r="D3423" t="inlineStr">
        <is>
          <t>棕色 + 掛鉤,［3代］</t>
        </is>
      </c>
      <c r="E3423" t="inlineStr"/>
      <c r="F3423">
        <f>IMAGE("https://cf.shopee.tw/file/221f8de640f9e45c52f9bba6cb8d1b25_tn")</f>
        <v/>
      </c>
    </row>
    <row r="3424">
      <c r="A3424" t="inlineStr">
        <is>
          <t>12339426172</t>
        </is>
      </c>
      <c r="B3424" t="inlineStr">
        <is>
          <t>隔日到貨🔥 Airpods 保護套 4代 1代 2代 3代 pro pro2 軟殼 保護殼 防摔殼 卡其色 素色</t>
        </is>
      </c>
      <c r="C3424">
        <f>IMAGE("https://cf.shopee.tw/file/c1b5124cc318cd45c5973c5599c0c258_tn")</f>
        <v/>
      </c>
      <c r="D3424" t="inlineStr">
        <is>
          <t>棕色 + 掛鉤,4代</t>
        </is>
      </c>
      <c r="E3424" t="inlineStr"/>
      <c r="F3424">
        <f>IMAGE("https://cf.shopee.tw/file/221f8de640f9e45c52f9bba6cb8d1b25_tn")</f>
        <v/>
      </c>
    </row>
    <row r="3425">
      <c r="A3425" t="inlineStr">
        <is>
          <t>26004255723</t>
        </is>
      </c>
      <c r="B3425" t="inlineStr">
        <is>
          <t>隔日到貨🔥 iPhone 16 手機殼 15 14 pro 13 12 11 保護殼 軟殼 蘋果 花朵殼 流沙支架</t>
        </is>
      </c>
      <c r="C3425">
        <f>IMAGE("https://cf.shopee.tw/file/tw-11134207-7r98w-lx3hxusjxpgw91_tn")</f>
        <v/>
      </c>
      <c r="D3425" t="inlineStr">
        <is>
          <t>粉芯碎花(單殼),11</t>
        </is>
      </c>
      <c r="E3425" t="inlineStr">
        <is>
          <t>109200486583</t>
        </is>
      </c>
      <c r="F3425">
        <f>IMAGE("https://cf.shopee.tw/file/tw-11134207-7rbk9-m8dcyoecdbph00_tn")</f>
        <v/>
      </c>
    </row>
    <row r="3426">
      <c r="A3426" t="inlineStr">
        <is>
          <t>26004255723</t>
        </is>
      </c>
      <c r="B3426" t="inlineStr">
        <is>
          <t>隔日到貨🔥 iPhone 16 手機殼 15 14 pro 13 12 11 保護殼 軟殼 蘋果 花朵殼 流沙支架</t>
        </is>
      </c>
      <c r="C3426">
        <f>IMAGE("https://cf.shopee.tw/file/tw-11134207-7r98w-lx3hxusjxpgw91_tn")</f>
        <v/>
      </c>
      <c r="D3426" t="inlineStr">
        <is>
          <t>粉芯碎花(單殼),11 Pro Max</t>
        </is>
      </c>
      <c r="E3426" t="inlineStr"/>
      <c r="F3426">
        <f>IMAGE("https://cf.shopee.tw/file/tw-11134207-7rbk9-m8dcyoecdbph00_tn")</f>
        <v/>
      </c>
    </row>
    <row r="3427">
      <c r="A3427" t="inlineStr">
        <is>
          <t>26004255723</t>
        </is>
      </c>
      <c r="B3427" t="inlineStr">
        <is>
          <t>隔日到貨🔥 iPhone 16 手機殼 15 14 pro 13 12 11 保護殼 軟殼 蘋果 花朵殼 流沙支架</t>
        </is>
      </c>
      <c r="C3427">
        <f>IMAGE("https://cf.shopee.tw/file/tw-11134207-7r98w-lx3hxusjxpgw91_tn")</f>
        <v/>
      </c>
      <c r="D3427" t="inlineStr">
        <is>
          <t>粉芯碎花(單殼),12</t>
        </is>
      </c>
      <c r="E3427" t="inlineStr"/>
      <c r="F3427">
        <f>IMAGE("https://cf.shopee.tw/file/tw-11134207-7rbk9-m8dcyoecdbph00_tn")</f>
        <v/>
      </c>
    </row>
    <row r="3428">
      <c r="A3428" t="inlineStr">
        <is>
          <t>26004255723</t>
        </is>
      </c>
      <c r="B3428" t="inlineStr">
        <is>
          <t>隔日到貨🔥 iPhone 16 手機殼 15 14 pro 13 12 11 保護殼 軟殼 蘋果 花朵殼 流沙支架</t>
        </is>
      </c>
      <c r="C3428">
        <f>IMAGE("https://cf.shopee.tw/file/tw-11134207-7r98w-lx3hxusjxpgw91_tn")</f>
        <v/>
      </c>
      <c r="D3428" t="inlineStr">
        <is>
          <t>粉芯碎花(單殼),12 Pro</t>
        </is>
      </c>
      <c r="E3428" t="inlineStr"/>
      <c r="F3428">
        <f>IMAGE("https://cf.shopee.tw/file/tw-11134207-7rbk9-m8dcyoecdbph00_tn")</f>
        <v/>
      </c>
    </row>
    <row r="3429">
      <c r="A3429" t="inlineStr">
        <is>
          <t>26004255723</t>
        </is>
      </c>
      <c r="B3429" t="inlineStr">
        <is>
          <t>隔日到貨🔥 iPhone 16 手機殼 15 14 pro 13 12 11 保護殼 軟殼 蘋果 花朵殼 流沙支架</t>
        </is>
      </c>
      <c r="C3429">
        <f>IMAGE("https://cf.shopee.tw/file/tw-11134207-7r98w-lx3hxusjxpgw91_tn")</f>
        <v/>
      </c>
      <c r="D3429" t="inlineStr">
        <is>
          <t>粉芯碎花(單殼),12 Pro Max</t>
        </is>
      </c>
      <c r="E3429" t="inlineStr"/>
      <c r="F3429">
        <f>IMAGE("https://cf.shopee.tw/file/tw-11134207-7rbk9-m8dcyoecdbph00_tn")</f>
        <v/>
      </c>
    </row>
    <row r="3430">
      <c r="A3430" t="inlineStr">
        <is>
          <t>26004255723</t>
        </is>
      </c>
      <c r="B3430" t="inlineStr">
        <is>
          <t>隔日到貨🔥 iPhone 16 手機殼 15 14 pro 13 12 11 保護殼 軟殼 蘋果 花朵殼 流沙支架</t>
        </is>
      </c>
      <c r="C3430">
        <f>IMAGE("https://cf.shopee.tw/file/tw-11134207-7r98w-lx3hxusjxpgw91_tn")</f>
        <v/>
      </c>
      <c r="D3430" t="inlineStr">
        <is>
          <t>粉芯碎花(單殼),13</t>
        </is>
      </c>
      <c r="E3430" t="inlineStr">
        <is>
          <t>128988343534</t>
        </is>
      </c>
      <c r="F3430">
        <f>IMAGE("https://cf.shopee.tw/file/tw-11134207-7rbk9-m8dcyoecdbph00_tn")</f>
        <v/>
      </c>
    </row>
    <row r="3431">
      <c r="A3431" t="inlineStr">
        <is>
          <t>26004255723</t>
        </is>
      </c>
      <c r="B3431" t="inlineStr">
        <is>
          <t>隔日到貨🔥 iPhone 16 手機殼 15 14 pro 13 12 11 保護殼 軟殼 蘋果 花朵殼 流沙支架</t>
        </is>
      </c>
      <c r="C3431">
        <f>IMAGE("https://cf.shopee.tw/file/tw-11134207-7r98w-lx3hxusjxpgw91_tn")</f>
        <v/>
      </c>
      <c r="D3431" t="inlineStr">
        <is>
          <t>粉芯碎花(單殼),13 Pro</t>
        </is>
      </c>
      <c r="E3431" t="inlineStr"/>
      <c r="F3431">
        <f>IMAGE("https://cf.shopee.tw/file/tw-11134207-7rbk9-m8dcyoecdbph00_tn")</f>
        <v/>
      </c>
    </row>
    <row r="3432">
      <c r="A3432" t="inlineStr">
        <is>
          <t>26004255723</t>
        </is>
      </c>
      <c r="B3432" t="inlineStr">
        <is>
          <t>隔日到貨🔥 iPhone 16 手機殼 15 14 pro 13 12 11 保護殼 軟殼 蘋果 花朵殼 流沙支架</t>
        </is>
      </c>
      <c r="C3432">
        <f>IMAGE("https://cf.shopee.tw/file/tw-11134207-7r98w-lx3hxusjxpgw91_tn")</f>
        <v/>
      </c>
      <c r="D3432" t="inlineStr">
        <is>
          <t>粉芯碎花(單殼),13 Pro Max</t>
        </is>
      </c>
      <c r="E3432" t="inlineStr">
        <is>
          <t>128988343536</t>
        </is>
      </c>
      <c r="F3432">
        <f>IMAGE("https://cf.shopee.tw/file/tw-11134207-7rbk9-m8dcyoecdbph00_tn")</f>
        <v/>
      </c>
    </row>
    <row r="3433">
      <c r="A3433" t="inlineStr">
        <is>
          <t>26004255723</t>
        </is>
      </c>
      <c r="B3433" t="inlineStr">
        <is>
          <t>隔日到貨🔥 iPhone 16 手機殼 15 14 pro 13 12 11 保護殼 軟殼 蘋果 花朵殼 流沙支架</t>
        </is>
      </c>
      <c r="C3433">
        <f>IMAGE("https://cf.shopee.tw/file/tw-11134207-7r98w-lx3hxusjxpgw91_tn")</f>
        <v/>
      </c>
      <c r="D3433" t="inlineStr">
        <is>
          <t>粉芯碎花(單殼),14</t>
        </is>
      </c>
      <c r="E3433" t="inlineStr"/>
      <c r="F3433">
        <f>IMAGE("https://cf.shopee.tw/file/tw-11134207-7rbk9-m8dcyoecdbph00_tn")</f>
        <v/>
      </c>
    </row>
    <row r="3434">
      <c r="A3434" t="inlineStr">
        <is>
          <t>26004255723</t>
        </is>
      </c>
      <c r="B3434" t="inlineStr">
        <is>
          <t>隔日到貨🔥 iPhone 16 手機殼 15 14 pro 13 12 11 保護殼 軟殼 蘋果 花朵殼 流沙支架</t>
        </is>
      </c>
      <c r="C3434">
        <f>IMAGE("https://cf.shopee.tw/file/tw-11134207-7r98w-lx3hxusjxpgw91_tn")</f>
        <v/>
      </c>
      <c r="D3434" t="inlineStr">
        <is>
          <t>粉芯碎花(單殼),14 Plus</t>
        </is>
      </c>
      <c r="E3434" t="inlineStr">
        <is>
          <t>128988343538</t>
        </is>
      </c>
      <c r="F3434">
        <f>IMAGE("https://cf.shopee.tw/file/tw-11134207-7rbk9-m8dcyoecdbph00_tn")</f>
        <v/>
      </c>
    </row>
    <row r="3435">
      <c r="A3435" t="inlineStr">
        <is>
          <t>26004255723</t>
        </is>
      </c>
      <c r="B3435" t="inlineStr">
        <is>
          <t>隔日到貨🔥 iPhone 16 手機殼 15 14 pro 13 12 11 保護殼 軟殼 蘋果 花朵殼 流沙支架</t>
        </is>
      </c>
      <c r="C3435">
        <f>IMAGE("https://cf.shopee.tw/file/tw-11134207-7r98w-lx3hxusjxpgw91_tn")</f>
        <v/>
      </c>
      <c r="D3435" t="inlineStr">
        <is>
          <t>粉芯碎花(單殼),14 Pro</t>
        </is>
      </c>
      <c r="E3435" t="inlineStr">
        <is>
          <t>128988343539</t>
        </is>
      </c>
      <c r="F3435">
        <f>IMAGE("https://cf.shopee.tw/file/tw-11134207-7rbk9-m8dcyoecdbph00_tn")</f>
        <v/>
      </c>
    </row>
    <row r="3436">
      <c r="A3436" t="inlineStr">
        <is>
          <t>26004255723</t>
        </is>
      </c>
      <c r="B3436" t="inlineStr">
        <is>
          <t>隔日到貨🔥 iPhone 16 手機殼 15 14 pro 13 12 11 保護殼 軟殼 蘋果 花朵殼 流沙支架</t>
        </is>
      </c>
      <c r="C3436">
        <f>IMAGE("https://cf.shopee.tw/file/tw-11134207-7r98w-lx3hxusjxpgw91_tn")</f>
        <v/>
      </c>
      <c r="D3436" t="inlineStr">
        <is>
          <t>粉芯碎花(單殼),14 Pro Max</t>
        </is>
      </c>
      <c r="E3436" t="inlineStr"/>
      <c r="F3436">
        <f>IMAGE("https://cf.shopee.tw/file/tw-11134207-7rbk9-m8dcyoecdbph00_tn")</f>
        <v/>
      </c>
    </row>
    <row r="3437">
      <c r="A3437" t="inlineStr">
        <is>
          <t>26004255723</t>
        </is>
      </c>
      <c r="B3437" t="inlineStr">
        <is>
          <t>隔日到貨🔥 iPhone 16 手機殼 15 14 pro 13 12 11 保護殼 軟殼 蘋果 花朵殼 流沙支架</t>
        </is>
      </c>
      <c r="C3437">
        <f>IMAGE("https://cf.shopee.tw/file/tw-11134207-7r98w-lx3hxusjxpgw91_tn")</f>
        <v/>
      </c>
      <c r="D3437" t="inlineStr">
        <is>
          <t>粉芯碎花(單殼),15</t>
        </is>
      </c>
      <c r="E3437" t="inlineStr">
        <is>
          <t>222949770031</t>
        </is>
      </c>
      <c r="F3437">
        <f>IMAGE("https://cf.shopee.tw/file/tw-11134207-7rbk9-m8dcyoecdbph00_tn")</f>
        <v/>
      </c>
    </row>
    <row r="3438">
      <c r="A3438" t="inlineStr">
        <is>
          <t>26004255723</t>
        </is>
      </c>
      <c r="B3438" t="inlineStr">
        <is>
          <t>隔日到貨🔥 iPhone 16 手機殼 15 14 pro 13 12 11 保護殼 軟殼 蘋果 花朵殼 流沙支架</t>
        </is>
      </c>
      <c r="C3438">
        <f>IMAGE("https://cf.shopee.tw/file/tw-11134207-7r98w-lx3hxusjxpgw91_tn")</f>
        <v/>
      </c>
      <c r="D3438" t="inlineStr">
        <is>
          <t>粉芯碎花(單殼),15 Plus</t>
        </is>
      </c>
      <c r="E3438" t="inlineStr">
        <is>
          <t>128988343541</t>
        </is>
      </c>
      <c r="F3438">
        <f>IMAGE("https://cf.shopee.tw/file/tw-11134207-7rbk9-m8dcyoecdbph00_tn")</f>
        <v/>
      </c>
    </row>
    <row r="3439">
      <c r="A3439" t="inlineStr">
        <is>
          <t>26004255723</t>
        </is>
      </c>
      <c r="B3439" t="inlineStr">
        <is>
          <t>隔日到貨🔥 iPhone 16 手機殼 15 14 pro 13 12 11 保護殼 軟殼 蘋果 花朵殼 流沙支架</t>
        </is>
      </c>
      <c r="C3439">
        <f>IMAGE("https://cf.shopee.tw/file/tw-11134207-7r98w-lx3hxusjxpgw91_tn")</f>
        <v/>
      </c>
      <c r="D3439" t="inlineStr">
        <is>
          <t>粉芯碎花(單殼),15 Pro</t>
        </is>
      </c>
      <c r="E3439" t="inlineStr"/>
      <c r="F3439">
        <f>IMAGE("https://cf.shopee.tw/file/tw-11134207-7rbk9-m8dcyoecdbph00_tn")</f>
        <v/>
      </c>
    </row>
    <row r="3440">
      <c r="A3440" t="inlineStr">
        <is>
          <t>26004255723</t>
        </is>
      </c>
      <c r="B3440" t="inlineStr">
        <is>
          <t>隔日到貨🔥 iPhone 16 手機殼 15 14 pro 13 12 11 保護殼 軟殼 蘋果 花朵殼 流沙支架</t>
        </is>
      </c>
      <c r="C3440">
        <f>IMAGE("https://cf.shopee.tw/file/tw-11134207-7r98w-lx3hxusjxpgw91_tn")</f>
        <v/>
      </c>
      <c r="D3440" t="inlineStr">
        <is>
          <t>粉芯碎花(單殼),15 Pro Max</t>
        </is>
      </c>
      <c r="E3440" t="inlineStr"/>
      <c r="F3440">
        <f>IMAGE("https://cf.shopee.tw/file/tw-11134207-7rbk9-m8dcyoecdbph00_tn")</f>
        <v/>
      </c>
    </row>
    <row r="3441">
      <c r="A3441" t="inlineStr">
        <is>
          <t>26004255723</t>
        </is>
      </c>
      <c r="B3441" t="inlineStr">
        <is>
          <t>隔日到貨🔥 iPhone 16 手機殼 15 14 pro 13 12 11 保護殼 軟殼 蘋果 花朵殼 流沙支架</t>
        </is>
      </c>
      <c r="C3441">
        <f>IMAGE("https://cf.shopee.tw/file/tw-11134207-7r98w-lx3hxusjxpgw91_tn")</f>
        <v/>
      </c>
      <c r="D3441" t="inlineStr">
        <is>
          <t>粉芯碎花(單殼),16</t>
        </is>
      </c>
      <c r="E3441" t="inlineStr">
        <is>
          <t>185450812011</t>
        </is>
      </c>
      <c r="F3441">
        <f>IMAGE("https://cf.shopee.tw/file/tw-11134207-7rbk9-m8dcyoecdbph00_tn")</f>
        <v/>
      </c>
    </row>
    <row r="3442">
      <c r="A3442" t="inlineStr">
        <is>
          <t>26004255723</t>
        </is>
      </c>
      <c r="B3442" t="inlineStr">
        <is>
          <t>隔日到貨🔥 iPhone 16 手機殼 15 14 pro 13 12 11 保護殼 軟殼 蘋果 花朵殼 流沙支架</t>
        </is>
      </c>
      <c r="C3442">
        <f>IMAGE("https://cf.shopee.tw/file/tw-11134207-7r98w-lx3hxusjxpgw91_tn")</f>
        <v/>
      </c>
      <c r="D3442" t="inlineStr">
        <is>
          <t>粉芯碎花(單殼),16 Plus</t>
        </is>
      </c>
      <c r="E3442" t="inlineStr"/>
      <c r="F3442">
        <f>IMAGE("https://cf.shopee.tw/file/tw-11134207-7rbk9-m8dcyoecdbph00_tn")</f>
        <v/>
      </c>
    </row>
    <row r="3443">
      <c r="A3443" t="inlineStr">
        <is>
          <t>26004255723</t>
        </is>
      </c>
      <c r="B3443" t="inlineStr">
        <is>
          <t>隔日到貨🔥 iPhone 16 手機殼 15 14 pro 13 12 11 保護殼 軟殼 蘋果 花朵殼 流沙支架</t>
        </is>
      </c>
      <c r="C3443">
        <f>IMAGE("https://cf.shopee.tw/file/tw-11134207-7r98w-lx3hxusjxpgw91_tn")</f>
        <v/>
      </c>
      <c r="D3443" t="inlineStr">
        <is>
          <t>粉芯碎花(單殼),16 Pro</t>
        </is>
      </c>
      <c r="E3443" t="inlineStr">
        <is>
          <t>185450812013</t>
        </is>
      </c>
      <c r="F3443">
        <f>IMAGE("https://cf.shopee.tw/file/tw-11134207-7rbk9-m8dcyoecdbph00_tn")</f>
        <v/>
      </c>
    </row>
    <row r="3444">
      <c r="A3444" t="inlineStr">
        <is>
          <t>26004255723</t>
        </is>
      </c>
      <c r="B3444" t="inlineStr">
        <is>
          <t>隔日到貨🔥 iPhone 16 手機殼 15 14 pro 13 12 11 保護殼 軟殼 蘋果 花朵殼 流沙支架</t>
        </is>
      </c>
      <c r="C3444">
        <f>IMAGE("https://cf.shopee.tw/file/tw-11134207-7r98w-lx3hxusjxpgw91_tn")</f>
        <v/>
      </c>
      <c r="D3444" t="inlineStr">
        <is>
          <t>粉芯碎花(單殼),16 Pro Max</t>
        </is>
      </c>
      <c r="E3444" t="inlineStr">
        <is>
          <t>185450812014</t>
        </is>
      </c>
      <c r="F3444">
        <f>IMAGE("https://cf.shopee.tw/file/tw-11134207-7rbk9-m8dcyoecdbph00_tn")</f>
        <v/>
      </c>
    </row>
    <row r="3445">
      <c r="A3445" t="inlineStr">
        <is>
          <t>26004255723</t>
        </is>
      </c>
      <c r="B3445" t="inlineStr">
        <is>
          <t>隔日到貨🔥 iPhone 16 手機殼 15 14 pro 13 12 11 保護殼 軟殼 蘋果 花朵殼 流沙支架</t>
        </is>
      </c>
      <c r="C3445">
        <f>IMAGE("https://cf.shopee.tw/file/tw-11134207-7r98w-lx3hxusjxpgw91_tn")</f>
        <v/>
      </c>
      <c r="D3445" t="inlineStr">
        <is>
          <t>粉芯碎花(單殼),加購流沙支架</t>
        </is>
      </c>
      <c r="E3445" t="inlineStr">
        <is>
          <t>246190512904</t>
        </is>
      </c>
      <c r="F3445">
        <f>IMAGE("https://cf.shopee.tw/file/tw-11134207-7rbk9-m8dcyoecdbph00_tn")</f>
        <v/>
      </c>
    </row>
    <row r="3446">
      <c r="A3446" t="inlineStr">
        <is>
          <t>22451079470</t>
        </is>
      </c>
      <c r="B3446" t="inlineStr">
        <is>
          <t>隔日到貨🔥 不銹鋼吸管 環保吸管 玻璃吸管 吸管 直吸管 彎吸管 波霸吸管 兒童吸管 手搖飲料吸管 不銹鋼吸管</t>
        </is>
      </c>
      <c r="C3446">
        <f>IMAGE("https://cf.shopee.tw/file/tw-11134207-7r98o-lkjiun7s6zsv80_tn")</f>
        <v/>
      </c>
      <c r="D3446" t="inlineStr">
        <is>
          <t>不鏽鋼 直吸管</t>
        </is>
      </c>
      <c r="E3446" t="inlineStr">
        <is>
          <t>225510969635</t>
        </is>
      </c>
      <c r="F3446">
        <f>IMAGE("https://cf.shopee.tw/file/tw-11134207-7qula-lkc952m448ly95_tn")</f>
        <v/>
      </c>
    </row>
    <row r="3447">
      <c r="A3447" t="inlineStr">
        <is>
          <t>22451079470</t>
        </is>
      </c>
      <c r="B3447" t="inlineStr">
        <is>
          <t>隔日到貨🔥 不銹鋼吸管 環保吸管 玻璃吸管 吸管 直吸管 彎吸管 波霸吸管 兒童吸管 手搖飲料吸管 不銹鋼吸管</t>
        </is>
      </c>
      <c r="C3447">
        <f>IMAGE("https://cf.shopee.tw/file/tw-11134207-7r98o-lkjiun7s6zsv80_tn")</f>
        <v/>
      </c>
      <c r="D3447" t="inlineStr">
        <is>
          <t>不鏽鋼 彎吸管</t>
        </is>
      </c>
      <c r="E3447" t="inlineStr">
        <is>
          <t>225510969636</t>
        </is>
      </c>
      <c r="F3447">
        <f>IMAGE("https://cf.shopee.tw/file/tw-11134207-7qula-lkc952m4494o78_tn")</f>
        <v/>
      </c>
    </row>
    <row r="3448">
      <c r="A3448" t="inlineStr">
        <is>
          <t>22451079470</t>
        </is>
      </c>
      <c r="B3448" t="inlineStr">
        <is>
          <t>隔日到貨🔥 不銹鋼吸管 環保吸管 玻璃吸管 吸管 直吸管 彎吸管 波霸吸管 兒童吸管 手搖飲料吸管 不銹鋼吸管</t>
        </is>
      </c>
      <c r="C3448">
        <f>IMAGE("https://cf.shopee.tw/file/tw-11134207-7r98o-lkjiun7s6zsv80_tn")</f>
        <v/>
      </c>
      <c r="D3448" t="inlineStr">
        <is>
          <t>玻璃吸管</t>
        </is>
      </c>
      <c r="E3448" t="inlineStr">
        <is>
          <t>98947406668</t>
        </is>
      </c>
      <c r="F3448">
        <f>IMAGE("https://cf.shopee.tw/file/tw-11134207-7r98z-lwu5ft2xu2w6a8_tn")</f>
        <v/>
      </c>
    </row>
    <row r="3449">
      <c r="A3449" t="inlineStr">
        <is>
          <t>7084354740</t>
        </is>
      </c>
      <c r="B3449" t="inlineStr">
        <is>
          <t>隔日到貨🔥 寬版扭結髮帶 針織髮帶 交叉髮帶 髮帶 素面針織彈力髮帶 運動 瑜珈 洗臉髮帶 寬版針織發帶</t>
        </is>
      </c>
      <c r="C3449">
        <f>IMAGE("https://cf.shopee.tw/file/21acb5f00893c2972863d51355b29bcb_tn")</f>
        <v/>
      </c>
      <c r="D3449" t="inlineStr">
        <is>
          <t>卡其色</t>
        </is>
      </c>
      <c r="E3449" t="inlineStr">
        <is>
          <t>34587614153</t>
        </is>
      </c>
      <c r="F3449">
        <f>IMAGE("https://cf.shopee.tw/file/tw-11134207-23030-w5ivxyzkbdov7a_tn")</f>
        <v/>
      </c>
    </row>
    <row r="3450">
      <c r="A3450" t="inlineStr">
        <is>
          <t>7084354740</t>
        </is>
      </c>
      <c r="B3450" t="inlineStr">
        <is>
          <t>隔日到貨🔥 寬版扭結髮帶 針織髮帶 交叉髮帶 髮帶 素面針織彈力髮帶 運動 瑜珈 洗臉髮帶 寬版針織發帶</t>
        </is>
      </c>
      <c r="C3450">
        <f>IMAGE("https://cf.shopee.tw/file/21acb5f00893c2972863d51355b29bcb_tn")</f>
        <v/>
      </c>
      <c r="D3450" t="inlineStr">
        <is>
          <t>薑黃</t>
        </is>
      </c>
      <c r="E3450" t="inlineStr"/>
      <c r="F3450">
        <f>IMAGE("https://cf.shopee.tw/file/tw-11134207-23030-cl71v6blbdov69_tn")</f>
        <v/>
      </c>
    </row>
    <row r="3451">
      <c r="A3451" t="inlineStr">
        <is>
          <t>7084354740</t>
        </is>
      </c>
      <c r="B3451" t="inlineStr">
        <is>
          <t>隔日到貨🔥 寬版扭結髮帶 針織髮帶 交叉髮帶 髮帶 素面針織彈力髮帶 運動 瑜珈 洗臉髮帶 寬版針織發帶</t>
        </is>
      </c>
      <c r="C3451">
        <f>IMAGE("https://cf.shopee.tw/file/21acb5f00893c2972863d51355b29bcb_tn")</f>
        <v/>
      </c>
      <c r="D3451" t="inlineStr">
        <is>
          <t>藏青</t>
        </is>
      </c>
      <c r="E3451" t="inlineStr">
        <is>
          <t>34587614151</t>
        </is>
      </c>
      <c r="F3451">
        <f>IMAGE("https://cf.shopee.tw/file/5aa6dbf84752179d2bc24be652f9753f_tn")</f>
        <v/>
      </c>
    </row>
    <row r="3452">
      <c r="A3452" t="inlineStr">
        <is>
          <t>7084354740</t>
        </is>
      </c>
      <c r="B3452" t="inlineStr">
        <is>
          <t>隔日到貨🔥 寬版扭結髮帶 針織髮帶 交叉髮帶 髮帶 素面針織彈力髮帶 運動 瑜珈 洗臉髮帶 寬版針織發帶</t>
        </is>
      </c>
      <c r="C3452">
        <f>IMAGE("https://cf.shopee.tw/file/21acb5f00893c2972863d51355b29bcb_tn")</f>
        <v/>
      </c>
      <c r="D3452" t="inlineStr">
        <is>
          <t>淺灰</t>
        </is>
      </c>
      <c r="E3452" t="inlineStr">
        <is>
          <t>34587614147</t>
        </is>
      </c>
      <c r="F3452">
        <f>IMAGE("https://cf.shopee.tw/file/tw-11134207-23030-5ax1ud8kbdoved_tn")</f>
        <v/>
      </c>
    </row>
    <row r="3453">
      <c r="A3453" t="inlineStr">
        <is>
          <t>7084354740</t>
        </is>
      </c>
      <c r="B3453" t="inlineStr">
        <is>
          <t>隔日到貨🔥 寬版扭結髮帶 針織髮帶 交叉髮帶 髮帶 素面針織彈力髮帶 運動 瑜珈 洗臉髮帶 寬版針織發帶</t>
        </is>
      </c>
      <c r="C3453">
        <f>IMAGE("https://cf.shopee.tw/file/21acb5f00893c2972863d51355b29bcb_tn")</f>
        <v/>
      </c>
      <c r="D3453" t="inlineStr">
        <is>
          <t>酒紅</t>
        </is>
      </c>
      <c r="E3453" t="inlineStr">
        <is>
          <t>34587614152</t>
        </is>
      </c>
      <c r="F3453">
        <f>IMAGE("https://cf.shopee.tw/file/tw-11134207-23030-g1w3n57jbdov60_tn")</f>
        <v/>
      </c>
    </row>
    <row r="3454">
      <c r="A3454" t="inlineStr">
        <is>
          <t>7084354740</t>
        </is>
      </c>
      <c r="B3454" t="inlineStr">
        <is>
          <t>隔日到貨🔥 寬版扭結髮帶 針織髮帶 交叉髮帶 髮帶 素面針織彈力髮帶 運動 瑜珈 洗臉髮帶 寬版針織發帶</t>
        </is>
      </c>
      <c r="C3454">
        <f>IMAGE("https://cf.shopee.tw/file/21acb5f00893c2972863d51355b29bcb_tn")</f>
        <v/>
      </c>
      <c r="D3454" t="inlineStr">
        <is>
          <t>皮粉</t>
        </is>
      </c>
      <c r="E3454" t="inlineStr">
        <is>
          <t>34587614149</t>
        </is>
      </c>
      <c r="F3454">
        <f>IMAGE("https://cf.shopee.tw/file/tw-11134207-23030-knh6qyklbdov8e_tn")</f>
        <v/>
      </c>
    </row>
    <row r="3455">
      <c r="A3455" t="inlineStr">
        <is>
          <t>7084354740</t>
        </is>
      </c>
      <c r="B3455" t="inlineStr">
        <is>
          <t>隔日到貨🔥 寬版扭結髮帶 針織髮帶 交叉髮帶 髮帶 素面針織彈力髮帶 運動 瑜珈 洗臉髮帶 寬版針織發帶</t>
        </is>
      </c>
      <c r="C3455">
        <f>IMAGE("https://cf.shopee.tw/file/21acb5f00893c2972863d51355b29bcb_tn")</f>
        <v/>
      </c>
      <c r="D3455" t="inlineStr">
        <is>
          <t>深灰</t>
        </is>
      </c>
      <c r="E3455" t="inlineStr">
        <is>
          <t>34587614150</t>
        </is>
      </c>
      <c r="F3455">
        <f>IMAGE("https://cf.shopee.tw/file/tw-11134207-23030-kja0x4flbdove6_tn")</f>
        <v/>
      </c>
    </row>
    <row r="3456">
      <c r="A3456" t="inlineStr">
        <is>
          <t>7084354740</t>
        </is>
      </c>
      <c r="B3456" t="inlineStr">
        <is>
          <t>隔日到貨🔥 寬版扭結髮帶 針織髮帶 交叉髮帶 髮帶 素面針織彈力髮帶 運動 瑜珈 洗臉髮帶 寬版針織發帶</t>
        </is>
      </c>
      <c r="C3456">
        <f>IMAGE("https://cf.shopee.tw/file/21acb5f00893c2972863d51355b29bcb_tn")</f>
        <v/>
      </c>
      <c r="D3456" t="inlineStr">
        <is>
          <t>黑色</t>
        </is>
      </c>
      <c r="E3456" t="inlineStr">
        <is>
          <t>34587614145</t>
        </is>
      </c>
      <c r="F3456">
        <f>IMAGE("https://cf.shopee.tw/file/8e0496c93fef1c638143a7e73f3f6087_tn")</f>
        <v/>
      </c>
    </row>
    <row r="3457">
      <c r="A3457" t="inlineStr">
        <is>
          <t>7084354740</t>
        </is>
      </c>
      <c r="B3457" t="inlineStr">
        <is>
          <t>隔日到貨🔥 寬版扭結髮帶 針織髮帶 交叉髮帶 髮帶 素面針織彈力髮帶 運動 瑜珈 洗臉髮帶 寬版針織發帶</t>
        </is>
      </c>
      <c r="C3457">
        <f>IMAGE("https://cf.shopee.tw/file/21acb5f00893c2972863d51355b29bcb_tn")</f>
        <v/>
      </c>
      <c r="D3457" t="inlineStr">
        <is>
          <t>米色</t>
        </is>
      </c>
      <c r="E3457" t="inlineStr">
        <is>
          <t>175677495988</t>
        </is>
      </c>
      <c r="F3457">
        <f>IMAGE("https://cf.shopee.tw/file/tw-11134207-23030-s0fphzvkbdov50_tn")</f>
        <v/>
      </c>
    </row>
    <row r="3458">
      <c r="A3458" t="inlineStr">
        <is>
          <t>12464289714</t>
        </is>
      </c>
      <c r="B3458" t="inlineStr">
        <is>
          <t>隔日到貨🔥 Apple Pencil 1代/2代 薄款 矽膠筆套 ipad筆套 筆尖套 撞色套組 適用 筆尖套</t>
        </is>
      </c>
      <c r="C3458">
        <f>IMAGE("https://cf.shopee.tw/file/778b20816089cf522cf05d95a4b8c2bb_tn")</f>
        <v/>
      </c>
      <c r="D3458" t="inlineStr">
        <is>
          <t>薰衣紫,1代</t>
        </is>
      </c>
      <c r="E3458" t="inlineStr"/>
      <c r="F3458">
        <f>IMAGE("https://cf.shopee.tw/file/1de6d30a2007bcbe210e7486c62df53a_tn")</f>
        <v/>
      </c>
    </row>
    <row r="3459">
      <c r="A3459" t="inlineStr">
        <is>
          <t>12464289714</t>
        </is>
      </c>
      <c r="B3459" t="inlineStr">
        <is>
          <t>隔日到貨🔥 Apple Pencil 1代/2代 薄款 矽膠筆套 ipad筆套 筆尖套 撞色套組 適用 筆尖套</t>
        </is>
      </c>
      <c r="C3459">
        <f>IMAGE("https://cf.shopee.tw/file/778b20816089cf522cf05d95a4b8c2bb_tn")</f>
        <v/>
      </c>
      <c r="D3459" t="inlineStr">
        <is>
          <t>天空藍,1代</t>
        </is>
      </c>
      <c r="E3459" t="inlineStr"/>
      <c r="F3459">
        <f>IMAGE("https://cf.shopee.tw/file/476e988bbdc95046d55d7b33dba165cf_tn")</f>
        <v/>
      </c>
    </row>
    <row r="3460">
      <c r="A3460" t="inlineStr">
        <is>
          <t>12464289714</t>
        </is>
      </c>
      <c r="B3460" t="inlineStr">
        <is>
          <t>隔日到貨🔥 Apple Pencil 1代/2代 薄款 矽膠筆套 ipad筆套 筆尖套 撞色套組 適用 筆尖套</t>
        </is>
      </c>
      <c r="C3460">
        <f>IMAGE("https://cf.shopee.tw/file/778b20816089cf522cf05d95a4b8c2bb_tn")</f>
        <v/>
      </c>
      <c r="D3460" t="inlineStr">
        <is>
          <t>天空藍,2代</t>
        </is>
      </c>
      <c r="E3460" t="inlineStr">
        <is>
          <t>141225386627</t>
        </is>
      </c>
      <c r="F3460">
        <f>IMAGE("https://cf.shopee.tw/file/476e988bbdc95046d55d7b33dba165cf_tn")</f>
        <v/>
      </c>
    </row>
    <row r="3461">
      <c r="A3461" t="inlineStr">
        <is>
          <t>12464289714</t>
        </is>
      </c>
      <c r="B3461" t="inlineStr">
        <is>
          <t>隔日到貨🔥 Apple Pencil 1代/2代 薄款 矽膠筆套 ipad筆套 筆尖套 撞色套組 適用 筆尖套</t>
        </is>
      </c>
      <c r="C3461">
        <f>IMAGE("https://cf.shopee.tw/file/778b20816089cf522cf05d95a4b8c2bb_tn")</f>
        <v/>
      </c>
      <c r="D3461" t="inlineStr">
        <is>
          <t>深邃黑,1代</t>
        </is>
      </c>
      <c r="E3461" t="inlineStr"/>
      <c r="F3461">
        <f>IMAGE("https://cf.shopee.tw/file/58a2f6d614f28e19131284566f3ed75a_tn")</f>
        <v/>
      </c>
    </row>
    <row r="3462">
      <c r="A3462" t="inlineStr">
        <is>
          <t>12464289714</t>
        </is>
      </c>
      <c r="B3462" t="inlineStr">
        <is>
          <t>隔日到貨🔥 Apple Pencil 1代/2代 薄款 矽膠筆套 ipad筆套 筆尖套 撞色套組 適用 筆尖套</t>
        </is>
      </c>
      <c r="C3462">
        <f>IMAGE("https://cf.shopee.tw/file/778b20816089cf522cf05d95a4b8c2bb_tn")</f>
        <v/>
      </c>
      <c r="D3462" t="inlineStr">
        <is>
          <t>深邃黑,2代</t>
        </is>
      </c>
      <c r="E3462" t="inlineStr">
        <is>
          <t>141225386621</t>
        </is>
      </c>
      <c r="F3462">
        <f>IMAGE("https://cf.shopee.tw/file/58a2f6d614f28e19131284566f3ed75a_tn")</f>
        <v/>
      </c>
    </row>
    <row r="3463">
      <c r="A3463" t="inlineStr">
        <is>
          <t>12464289714</t>
        </is>
      </c>
      <c r="B3463" t="inlineStr">
        <is>
          <t>隔日到貨🔥 Apple Pencil 1代/2代 薄款 矽膠筆套 ipad筆套 筆尖套 撞色套組 適用 筆尖套</t>
        </is>
      </c>
      <c r="C3463">
        <f>IMAGE("https://cf.shopee.tw/file/778b20816089cf522cf05d95a4b8c2bb_tn")</f>
        <v/>
      </c>
      <c r="D3463" t="inlineStr">
        <is>
          <t>櫻花粉,1代</t>
        </is>
      </c>
      <c r="E3463" t="inlineStr">
        <is>
          <t>141225386622</t>
        </is>
      </c>
      <c r="F3463">
        <f>IMAGE("https://cf.shopee.tw/file/53fa90f93280cef9923f71bc73499016_tn")</f>
        <v/>
      </c>
    </row>
    <row r="3464">
      <c r="A3464" t="inlineStr">
        <is>
          <t>12464289714</t>
        </is>
      </c>
      <c r="B3464" t="inlineStr">
        <is>
          <t>隔日到貨🔥 Apple Pencil 1代/2代 薄款 矽膠筆套 ipad筆套 筆尖套 撞色套組 適用 筆尖套</t>
        </is>
      </c>
      <c r="C3464">
        <f>IMAGE("https://cf.shopee.tw/file/778b20816089cf522cf05d95a4b8c2bb_tn")</f>
        <v/>
      </c>
      <c r="D3464" t="inlineStr">
        <is>
          <t>櫻花粉,2代</t>
        </is>
      </c>
      <c r="E3464" t="inlineStr">
        <is>
          <t>141225386628</t>
        </is>
      </c>
      <c r="F3464">
        <f>IMAGE("https://cf.shopee.tw/file/53fa90f93280cef9923f71bc73499016_tn")</f>
        <v/>
      </c>
    </row>
    <row r="3465">
      <c r="A3465" t="inlineStr">
        <is>
          <t>12464289714</t>
        </is>
      </c>
      <c r="B3465" t="inlineStr">
        <is>
          <t>隔日到貨🔥 Apple Pencil 1代/2代 薄款 矽膠筆套 ipad筆套 筆尖套 撞色套組 適用 筆尖套</t>
        </is>
      </c>
      <c r="C3465">
        <f>IMAGE("https://cf.shopee.tw/file/778b20816089cf522cf05d95a4b8c2bb_tn")</f>
        <v/>
      </c>
      <c r="D3465" t="inlineStr">
        <is>
          <t>薰衣紫,2代</t>
        </is>
      </c>
      <c r="E3465" t="inlineStr">
        <is>
          <t>141225386624</t>
        </is>
      </c>
      <c r="F3465">
        <f>IMAGE("https://cf.shopee.tw/file/1de6d30a2007bcbe210e7486c62df53a_tn")</f>
        <v/>
      </c>
    </row>
    <row r="3466">
      <c r="A3466" t="inlineStr">
        <is>
          <t>12464289714</t>
        </is>
      </c>
      <c r="B3466" t="inlineStr">
        <is>
          <t>隔日到貨🔥 Apple Pencil 1代/2代 薄款 矽膠筆套 ipad筆套 筆尖套 撞色套組 適用 筆尖套</t>
        </is>
      </c>
      <c r="C3466">
        <f>IMAGE("https://cf.shopee.tw/file/778b20816089cf522cf05d95a4b8c2bb_tn")</f>
        <v/>
      </c>
      <c r="D3466" t="inlineStr">
        <is>
          <t>黃鉛筆,1代</t>
        </is>
      </c>
      <c r="E3466" t="inlineStr">
        <is>
          <t>141225386629</t>
        </is>
      </c>
      <c r="F3466">
        <f>IMAGE("https://cf.shopee.tw/file/1c973533640f79bc7c590970209be844_tn")</f>
        <v/>
      </c>
    </row>
    <row r="3467">
      <c r="A3467" t="inlineStr">
        <is>
          <t>12464289714</t>
        </is>
      </c>
      <c r="B3467" t="inlineStr">
        <is>
          <t>隔日到貨🔥 Apple Pencil 1代/2代 薄款 矽膠筆套 ipad筆套 筆尖套 撞色套組 適用 筆尖套</t>
        </is>
      </c>
      <c r="C3467">
        <f>IMAGE("https://cf.shopee.tw/file/778b20816089cf522cf05d95a4b8c2bb_tn")</f>
        <v/>
      </c>
      <c r="D3467" t="inlineStr">
        <is>
          <t>黃鉛筆,2代</t>
        </is>
      </c>
      <c r="E3467" t="inlineStr">
        <is>
          <t>141225386625</t>
        </is>
      </c>
      <c r="F3467">
        <f>IMAGE("https://cf.shopee.tw/file/1c973533640f79bc7c590970209be844_tn")</f>
        <v/>
      </c>
    </row>
    <row r="3468">
      <c r="A3468" t="inlineStr">
        <is>
          <t>12464289714</t>
        </is>
      </c>
      <c r="B3468" t="inlineStr">
        <is>
          <t>隔日到貨🔥 Apple Pencil 1代/2代 薄款 矽膠筆套 ipad筆套 筆尖套 撞色套組 適用 筆尖套</t>
        </is>
      </c>
      <c r="C3468">
        <f>IMAGE("https://cf.shopee.tw/file/778b20816089cf522cf05d95a4b8c2bb_tn")</f>
        <v/>
      </c>
      <c r="D3468" t="inlineStr">
        <is>
          <t>田野綠,1代</t>
        </is>
      </c>
      <c r="E3468" t="inlineStr">
        <is>
          <t>133261985334</t>
        </is>
      </c>
      <c r="F3468">
        <f>IMAGE("https://cf.shopee.tw/file/41f516068bc268472b99071a36da8a66_tn")</f>
        <v/>
      </c>
    </row>
    <row r="3469">
      <c r="A3469" t="inlineStr">
        <is>
          <t>12464289714</t>
        </is>
      </c>
      <c r="B3469" t="inlineStr">
        <is>
          <t>隔日到貨🔥 Apple Pencil 1代/2代 薄款 矽膠筆套 ipad筆套 筆尖套 撞色套組 適用 筆尖套</t>
        </is>
      </c>
      <c r="C3469">
        <f>IMAGE("https://cf.shopee.tw/file/778b20816089cf522cf05d95a4b8c2bb_tn")</f>
        <v/>
      </c>
      <c r="D3469" t="inlineStr">
        <is>
          <t>田野綠,2代</t>
        </is>
      </c>
      <c r="E3469" t="inlineStr"/>
      <c r="F3469">
        <f>IMAGE("https://cf.shopee.tw/file/41f516068bc268472b99071a36da8a66_tn")</f>
        <v/>
      </c>
    </row>
    <row r="3470">
      <c r="A3470" t="inlineStr">
        <is>
          <t>17800848481</t>
        </is>
      </c>
      <c r="B3470" t="inlineStr">
        <is>
          <t>隔日到貨🔥 口罩熊 毛絨 吊飾 鑰匙扣 鑰匙圈 汽車鑰匙 公仔 掛飾 吊墜 掛鉤 吊環 墜飾 可愛</t>
        </is>
      </c>
      <c r="C3470">
        <f>IMAGE("https://cf.shopee.tw/file/2ce4653f135f38f973db12d2fae5b277_tn")</f>
        <v/>
      </c>
      <c r="D3470" t="inlineStr">
        <is>
          <t>1. 白色口罩熊</t>
        </is>
      </c>
      <c r="E3470" t="inlineStr">
        <is>
          <t>160035831487</t>
        </is>
      </c>
      <c r="F3470">
        <f>IMAGE("https://cf.shopee.tw/file/2e94c388840f39d0c0a9833b05e629aa_tn")</f>
        <v/>
      </c>
    </row>
    <row r="3471">
      <c r="A3471" t="inlineStr">
        <is>
          <t>17800848481</t>
        </is>
      </c>
      <c r="B3471" t="inlineStr">
        <is>
          <t>隔日到貨🔥 口罩熊 毛絨 吊飾 鑰匙扣 鑰匙圈 汽車鑰匙 公仔 掛飾 吊墜 掛鉤 吊環 墜飾 可愛</t>
        </is>
      </c>
      <c r="C3471">
        <f>IMAGE("https://cf.shopee.tw/file/2ce4653f135f38f973db12d2fae5b277_tn")</f>
        <v/>
      </c>
      <c r="D3471" t="inlineStr">
        <is>
          <t>2. 棕色口罩熊</t>
        </is>
      </c>
      <c r="E3471" t="inlineStr">
        <is>
          <t>160035831485</t>
        </is>
      </c>
      <c r="F3471">
        <f>IMAGE("https://cf.shopee.tw/file/8bd33202709a058277b52247d2111aae_tn")</f>
        <v/>
      </c>
    </row>
    <row r="3472">
      <c r="A3472" t="inlineStr">
        <is>
          <t>17800848481</t>
        </is>
      </c>
      <c r="B3472" t="inlineStr">
        <is>
          <t>隔日到貨🔥 口罩熊 毛絨 吊飾 鑰匙扣 鑰匙圈 汽車鑰匙 公仔 掛飾 吊墜 掛鉤 吊環 墜飾 可愛</t>
        </is>
      </c>
      <c r="C3472">
        <f>IMAGE("https://cf.shopee.tw/file/2ce4653f135f38f973db12d2fae5b277_tn")</f>
        <v/>
      </c>
      <c r="D3472" t="inlineStr">
        <is>
          <t>3. 黑色口罩熊</t>
        </is>
      </c>
      <c r="E3472" t="inlineStr">
        <is>
          <t>160035831486</t>
        </is>
      </c>
      <c r="F3472">
        <f>IMAGE("https://cf.shopee.tw/file/c7b5d1ce2f22c7e4a82849790690b120_tn")</f>
        <v/>
      </c>
    </row>
    <row r="3473">
      <c r="A3473" t="inlineStr">
        <is>
          <t>28768482000</t>
        </is>
      </c>
      <c r="B3473" t="inlineStr">
        <is>
          <t>隔日到貨🔥 韓系內褲 女生內褲 純棉內褲 女生無痕內褲 粉嫩純色 舒適內褲 內褲 緊身 女內褲 無痕內褲</t>
        </is>
      </c>
      <c r="C3473">
        <f>IMAGE("https://cf.shopee.tw/file/tw-11134207-7rasd-m2xiad8kcmmje8_tn")</f>
        <v/>
      </c>
      <c r="D3473" t="inlineStr">
        <is>
          <t>灰藍,L</t>
        </is>
      </c>
      <c r="E3473" t="inlineStr"/>
      <c r="F3473">
        <f>IMAGE("https://cf.shopee.tw/file/tw-11134207-7rasg-m2xkc6ugejd730_tn")</f>
        <v/>
      </c>
    </row>
    <row r="3474">
      <c r="A3474" t="inlineStr">
        <is>
          <t>28768482000</t>
        </is>
      </c>
      <c r="B3474" t="inlineStr">
        <is>
          <t>隔日到貨🔥 韓系內褲 女生內褲 純棉內褲 女生無痕內褲 粉嫩純色 舒適內褲 內褲 緊身 女內褲 無痕內褲</t>
        </is>
      </c>
      <c r="C3474">
        <f>IMAGE("https://cf.shopee.tw/file/tw-11134207-7rasd-m2xiad8kcmmje8_tn")</f>
        <v/>
      </c>
      <c r="D3474" t="inlineStr">
        <is>
          <t>灰藍,XL</t>
        </is>
      </c>
      <c r="E3474" t="inlineStr"/>
      <c r="F3474">
        <f>IMAGE("https://cf.shopee.tw/file/tw-11134207-7rasg-m2xkc6ugejd730_tn")</f>
        <v/>
      </c>
    </row>
    <row r="3475">
      <c r="A3475" t="inlineStr">
        <is>
          <t>28768482000</t>
        </is>
      </c>
      <c r="B3475" t="inlineStr">
        <is>
          <t>隔日到貨🔥 韓系內褲 女生內褲 純棉內褲 女生無痕內褲 粉嫩純色 舒適內褲 內褲 緊身 女內褲 無痕內褲</t>
        </is>
      </c>
      <c r="C3475">
        <f>IMAGE("https://cf.shopee.tw/file/tw-11134207-7rasd-m2xiad8kcmmje8_tn")</f>
        <v/>
      </c>
      <c r="D3475" t="inlineStr">
        <is>
          <t>韓粉,L</t>
        </is>
      </c>
      <c r="E3475" t="inlineStr">
        <is>
          <t>59490561955</t>
        </is>
      </c>
      <c r="F3475">
        <f>IMAGE("https://cf.shopee.tw/file/tw-11134207-7rasc-m2xkc6ugtzm30c_tn")</f>
        <v/>
      </c>
    </row>
    <row r="3476">
      <c r="A3476" t="inlineStr">
        <is>
          <t>28768482000</t>
        </is>
      </c>
      <c r="B3476" t="inlineStr">
        <is>
          <t>隔日到貨🔥 韓系內褲 女生內褲 純棉內褲 女生無痕內褲 粉嫩純色 舒適內褲 內褲 緊身 女內褲 無痕內褲</t>
        </is>
      </c>
      <c r="C3476">
        <f>IMAGE("https://cf.shopee.tw/file/tw-11134207-7rasd-m2xiad8kcmmje8_tn")</f>
        <v/>
      </c>
      <c r="D3476" t="inlineStr">
        <is>
          <t>粉色,L</t>
        </is>
      </c>
      <c r="E3476" t="inlineStr"/>
      <c r="F3476">
        <f>IMAGE("https://cf.shopee.tw/file/tw-11134207-7rasl-m2xkc6ugtzl732_tn")</f>
        <v/>
      </c>
    </row>
    <row r="3477">
      <c r="A3477" t="inlineStr">
        <is>
          <t>28768482000</t>
        </is>
      </c>
      <c r="B3477" t="inlineStr">
        <is>
          <t>隔日到貨🔥 韓系內褲 女生內褲 純棉內褲 女生無痕內褲 粉嫩純色 舒適內褲 內褲 緊身 女內褲 無痕內褲</t>
        </is>
      </c>
      <c r="C3477">
        <f>IMAGE("https://cf.shopee.tw/file/tw-11134207-7rasd-m2xiad8kcmmje8_tn")</f>
        <v/>
      </c>
      <c r="D3477" t="inlineStr">
        <is>
          <t>粉色,XL</t>
        </is>
      </c>
      <c r="E3477" t="inlineStr"/>
      <c r="F3477">
        <f>IMAGE("https://cf.shopee.tw/file/tw-11134207-7rasl-m2xkc6ugtzl732_tn")</f>
        <v/>
      </c>
    </row>
    <row r="3478">
      <c r="A3478" t="inlineStr">
        <is>
          <t>28768482000</t>
        </is>
      </c>
      <c r="B3478" t="inlineStr">
        <is>
          <t>隔日到貨🔥 韓系內褲 女生內褲 純棉內褲 女生無痕內褲 粉嫩純色 舒適內褲 內褲 緊身 女內褲 無痕內褲</t>
        </is>
      </c>
      <c r="C3478">
        <f>IMAGE("https://cf.shopee.tw/file/tw-11134207-7rasd-m2xiad8kcmmje8_tn")</f>
        <v/>
      </c>
      <c r="D3478" t="inlineStr">
        <is>
          <t>淺灰,XL</t>
        </is>
      </c>
      <c r="E3478" t="inlineStr">
        <is>
          <t>59490561960</t>
        </is>
      </c>
      <c r="F3478">
        <f>IMAGE("https://cf.shopee.tw/file/tw-11134207-7rasl-m2xkc6uh9fuz63_tn")</f>
        <v/>
      </c>
    </row>
    <row r="3479">
      <c r="A3479" t="inlineStr">
        <is>
          <t>28768482000</t>
        </is>
      </c>
      <c r="B3479" t="inlineStr">
        <is>
          <t>隔日到貨🔥 韓系內褲 女生內褲 純棉內褲 女生無痕內褲 粉嫩純色 舒適內褲 內褲 緊身 女內褲 無痕內褲</t>
        </is>
      </c>
      <c r="C3479">
        <f>IMAGE("https://cf.shopee.tw/file/tw-11134207-7rasd-m2xiad8kcmmje8_tn")</f>
        <v/>
      </c>
      <c r="D3479" t="inlineStr">
        <is>
          <t>白色,L</t>
        </is>
      </c>
      <c r="E3479" t="inlineStr"/>
      <c r="F3479">
        <f>IMAGE("https://cf.shopee.tw/file/tw-11134207-7rasd-m2xkc6ugejcb48_tn")</f>
        <v/>
      </c>
    </row>
    <row r="3480">
      <c r="A3480" t="inlineStr">
        <is>
          <t>28768482000</t>
        </is>
      </c>
      <c r="B3480" t="inlineStr">
        <is>
          <t>隔日到貨🔥 韓系內褲 女生內褲 純棉內褲 女生無痕內褲 粉嫩純色 舒適內褲 內褲 緊身 女內褲 無痕內褲</t>
        </is>
      </c>
      <c r="C3480">
        <f>IMAGE("https://cf.shopee.tw/file/tw-11134207-7rasd-m2xiad8kcmmje8_tn")</f>
        <v/>
      </c>
      <c r="D3480" t="inlineStr">
        <is>
          <t>白色,XL</t>
        </is>
      </c>
      <c r="E3480" t="inlineStr">
        <is>
          <t>59840552472</t>
        </is>
      </c>
      <c r="F3480">
        <f>IMAGE("https://cf.shopee.tw/file/tw-11134207-7rasd-m2xkc6ugejcb48_tn")</f>
        <v/>
      </c>
    </row>
    <row r="3481">
      <c r="A3481" t="inlineStr">
        <is>
          <t>28768482000</t>
        </is>
      </c>
      <c r="B3481" t="inlineStr">
        <is>
          <t>隔日到貨🔥 韓系內褲 女生內褲 純棉內褲 女生無痕內褲 粉嫩純色 舒適內褲 內褲 緊身 女內褲 無痕內褲</t>
        </is>
      </c>
      <c r="C3481">
        <f>IMAGE("https://cf.shopee.tw/file/tw-11134207-7rasd-m2xiad8kcmmje8_tn")</f>
        <v/>
      </c>
      <c r="D3481" t="inlineStr">
        <is>
          <t>韓粉,XL</t>
        </is>
      </c>
      <c r="E3481" t="inlineStr">
        <is>
          <t>59490561956</t>
        </is>
      </c>
      <c r="F3481">
        <f>IMAGE("https://cf.shopee.tw/file/tw-11134207-7rasc-m2xkc6ugtzm30c_tn")</f>
        <v/>
      </c>
    </row>
    <row r="3482">
      <c r="A3482" t="inlineStr">
        <is>
          <t>28768482000</t>
        </is>
      </c>
      <c r="B3482" t="inlineStr">
        <is>
          <t>隔日到貨🔥 韓系內褲 女生內褲 純棉內褲 女生無痕內褲 粉嫩純色 舒適內褲 內褲 緊身 女內褲 無痕內褲</t>
        </is>
      </c>
      <c r="C3482">
        <f>IMAGE("https://cf.shopee.tw/file/tw-11134207-7rasd-m2xiad8kcmmje8_tn")</f>
        <v/>
      </c>
      <c r="D3482" t="inlineStr">
        <is>
          <t>淺灰,L</t>
        </is>
      </c>
      <c r="E3482" t="inlineStr">
        <is>
          <t>59490561959</t>
        </is>
      </c>
      <c r="F3482">
        <f>IMAGE("https://cf.shopee.tw/file/tw-11134207-7rasl-m2xkc6uh9fuz63_tn")</f>
        <v/>
      </c>
    </row>
    <row r="3483">
      <c r="A3483" t="inlineStr">
        <is>
          <t>24077547688</t>
        </is>
      </c>
      <c r="B3483" t="inlineStr">
        <is>
          <t>隔日到貨🔥 冰絲無痕波浪安全褲 睡褲 平口褲 打底褲 寬鬆防走光不捲邊 內搭褲 短褲 內褲 夏日冰感舒適</t>
        </is>
      </c>
      <c r="C3483">
        <f>IMAGE("https://cf.shopee.tw/file/tw-11134207-7r990-luwx97aj6z7v03_tn")</f>
        <v/>
      </c>
      <c r="D3483" t="inlineStr">
        <is>
          <t>黑色</t>
        </is>
      </c>
      <c r="E3483" t="inlineStr">
        <is>
          <t>137909849518</t>
        </is>
      </c>
      <c r="F3483">
        <f>IMAGE("https://deo.shopeemobile.com/shopee/shopee-seller-live-sg/mmf_portal_seller_root_dir/static/modules/product-list/image/default-item-model-image.2601159.png")</f>
        <v/>
      </c>
    </row>
    <row r="3484">
      <c r="A3484" t="inlineStr">
        <is>
          <t>24077547688</t>
        </is>
      </c>
      <c r="B3484" t="inlineStr">
        <is>
          <t>隔日到貨🔥 冰絲無痕波浪安全褲 睡褲 平口褲 打底褲 寬鬆防走光不捲邊 內搭褲 短褲 內褲 夏日冰感舒適</t>
        </is>
      </c>
      <c r="C3484">
        <f>IMAGE("https://cf.shopee.tw/file/tw-11134207-7r990-luwx97aj6z7v03_tn")</f>
        <v/>
      </c>
      <c r="D3484" t="inlineStr">
        <is>
          <t>白色</t>
        </is>
      </c>
      <c r="E3484" t="inlineStr">
        <is>
          <t>137909849519</t>
        </is>
      </c>
      <c r="F3484">
        <f>IMAGE("https://deo.shopeemobile.com/shopee/shopee-seller-live-sg/mmf_portal_seller_root_dir/static/modules/product-list/image/default-item-model-image.2601159.png")</f>
        <v/>
      </c>
    </row>
    <row r="3485">
      <c r="A3485" t="inlineStr">
        <is>
          <t>24077547688</t>
        </is>
      </c>
      <c r="B3485" t="inlineStr">
        <is>
          <t>隔日到貨🔥 冰絲無痕波浪安全褲 睡褲 平口褲 打底褲 寬鬆防走光不捲邊 內搭褲 短褲 內褲 夏日冰感舒適</t>
        </is>
      </c>
      <c r="C3485">
        <f>IMAGE("https://cf.shopee.tw/file/tw-11134207-7r990-luwx97aj6z7v03_tn")</f>
        <v/>
      </c>
      <c r="D3485" t="inlineStr">
        <is>
          <t>膚色</t>
        </is>
      </c>
      <c r="E3485" t="inlineStr">
        <is>
          <t>148609350660</t>
        </is>
      </c>
      <c r="F3485">
        <f>IMAGE("https://deo.shopeemobile.com/shopee/shopee-seller-live-sg/mmf_portal_seller_root_dir/static/modules/product-list/image/default-item-model-image.2601159.png")</f>
        <v/>
      </c>
    </row>
    <row r="3486">
      <c r="A3486" t="inlineStr">
        <is>
          <t>15051596425</t>
        </is>
      </c>
      <c r="B3486" t="inlineStr">
        <is>
          <t>隔日到貨🔥 化妝包 卡通刺繡 B1 透明PVC 小熊 收納包 便攜 洗漱包 包包 日韓 少女 可愛 考拉</t>
        </is>
      </c>
      <c r="C3486">
        <f>IMAGE("https://cf.shopee.tw/file/00ee22cdfc78173222855a792200f607_tn")</f>
        <v/>
      </c>
      <c r="D3486" t="inlineStr">
        <is>
          <t>小熊</t>
        </is>
      </c>
      <c r="E3486" t="inlineStr"/>
      <c r="F3486">
        <f>IMAGE("https://cf.shopee.tw/file/38ba1fcf29d9182a396dbf6e01f40b4b_tn")</f>
        <v/>
      </c>
    </row>
    <row r="3487">
      <c r="A3487" t="inlineStr">
        <is>
          <t>15051596425</t>
        </is>
      </c>
      <c r="B3487" t="inlineStr">
        <is>
          <t>隔日到貨🔥 化妝包 卡通刺繡 B1 透明PVC 小熊 收納包 便攜 洗漱包 包包 日韓 少女 可愛 考拉</t>
        </is>
      </c>
      <c r="C3487">
        <f>IMAGE("https://cf.shopee.tw/file/00ee22cdfc78173222855a792200f607_tn")</f>
        <v/>
      </c>
      <c r="D3487" t="inlineStr">
        <is>
          <t>考拉</t>
        </is>
      </c>
      <c r="E3487" t="inlineStr">
        <is>
          <t>38345099947</t>
        </is>
      </c>
      <c r="F3487">
        <f>IMAGE("https://cf.shopee.tw/file/d381e52d6b045450e539716224e2563c_tn")</f>
        <v/>
      </c>
    </row>
    <row r="3488">
      <c r="A3488" t="inlineStr">
        <is>
          <t>15051596425</t>
        </is>
      </c>
      <c r="B3488" t="inlineStr">
        <is>
          <t>隔日到貨🔥 化妝包 卡通刺繡 B1 透明PVC 小熊 收納包 便攜 洗漱包 包包 日韓 少女 可愛 考拉</t>
        </is>
      </c>
      <c r="C3488">
        <f>IMAGE("https://cf.shopee.tw/file/00ee22cdfc78173222855a792200f607_tn")</f>
        <v/>
      </c>
      <c r="D3488" t="inlineStr">
        <is>
          <t>深色熊</t>
        </is>
      </c>
      <c r="E3488" t="inlineStr">
        <is>
          <t>181139827228</t>
        </is>
      </c>
      <c r="F3488">
        <f>IMAGE("https://cf.shopee.tw/file/b35a1650e54dcb013f40d034065a2f7f_tn")</f>
        <v/>
      </c>
    </row>
    <row r="3489">
      <c r="A3489" t="inlineStr">
        <is>
          <t>19458452593</t>
        </is>
      </c>
      <c r="B3489" t="inlineStr">
        <is>
          <t>隔日到貨🔥 iPhone 手機殼 15 14 pro 13 12 11 XS XR SE X 保護殼 軟殼 蘋果</t>
        </is>
      </c>
      <c r="C3489">
        <f>IMAGE("https://cf.shopee.tw/file/sg-11134201-22100-cywb828hj8iv78_tn")</f>
        <v/>
      </c>
      <c r="D3489" t="inlineStr">
        <is>
          <t>冷淡黑花(透明殼),11 Pro</t>
        </is>
      </c>
      <c r="E3489" t="inlineStr">
        <is>
          <t>174936777998</t>
        </is>
      </c>
      <c r="F3489">
        <f>IMAGE("https://cf.shopee.tw/file/sg-11134201-22100-1g8mxp37k8ivd3_tn")</f>
        <v/>
      </c>
    </row>
    <row r="3490">
      <c r="A3490" t="inlineStr">
        <is>
          <t>19458452593</t>
        </is>
      </c>
      <c r="B3490" t="inlineStr">
        <is>
          <t>隔日到貨🔥 iPhone 手機殼 15 14 pro 13 12 11 XS XR SE X 保護殼 軟殼 蘋果</t>
        </is>
      </c>
      <c r="C3490">
        <f>IMAGE("https://cf.shopee.tw/file/sg-11134201-22100-cywb828hj8iv78_tn")</f>
        <v/>
      </c>
      <c r="D3490" t="inlineStr">
        <is>
          <t>冷淡黑花(透明殼),7/8/SE2/SE3</t>
        </is>
      </c>
      <c r="E3490" t="inlineStr">
        <is>
          <t>174936780000</t>
        </is>
      </c>
      <c r="F3490">
        <f>IMAGE("https://cf.shopee.tw/file/sg-11134201-22100-1g8mxp37k8ivd3_tn")</f>
        <v/>
      </c>
    </row>
    <row r="3491">
      <c r="A3491" t="inlineStr">
        <is>
          <t>19458452593</t>
        </is>
      </c>
      <c r="B3491" t="inlineStr">
        <is>
          <t>隔日到貨🔥 iPhone 手機殼 15 14 pro 13 12 11 XS XR SE X 保護殼 軟殼 蘋果</t>
        </is>
      </c>
      <c r="C3491">
        <f>IMAGE("https://cf.shopee.tw/file/sg-11134201-22100-cywb828hj8iv78_tn")</f>
        <v/>
      </c>
      <c r="D3491" t="inlineStr">
        <is>
          <t>冷淡黑花(透明殼),7Plus/8Plus</t>
        </is>
      </c>
      <c r="E3491" t="inlineStr">
        <is>
          <t>174936780005</t>
        </is>
      </c>
      <c r="F3491">
        <f>IMAGE("https://cf.shopee.tw/file/sg-11134201-22100-1g8mxp37k8ivd3_tn")</f>
        <v/>
      </c>
    </row>
    <row r="3492">
      <c r="A3492" t="inlineStr">
        <is>
          <t>19458452593</t>
        </is>
      </c>
      <c r="B3492" t="inlineStr">
        <is>
          <t>隔日到貨🔥 iPhone 手機殼 15 14 pro 13 12 11 XS XR SE X 保護殼 軟殼 蘋果</t>
        </is>
      </c>
      <c r="C3492">
        <f>IMAGE("https://cf.shopee.tw/file/sg-11134201-22100-cywb828hj8iv78_tn")</f>
        <v/>
      </c>
      <c r="D3492" t="inlineStr">
        <is>
          <t>冷淡黑花(透明殼),X/XS</t>
        </is>
      </c>
      <c r="E3492" t="inlineStr">
        <is>
          <t>174936780008</t>
        </is>
      </c>
      <c r="F3492">
        <f>IMAGE("https://cf.shopee.tw/file/sg-11134201-22100-1g8mxp37k8ivd3_tn")</f>
        <v/>
      </c>
    </row>
    <row r="3493">
      <c r="A3493" t="inlineStr">
        <is>
          <t>19458452593</t>
        </is>
      </c>
      <c r="B3493" t="inlineStr">
        <is>
          <t>隔日到貨🔥 iPhone 手機殼 15 14 pro 13 12 11 XS XR SE X 保護殼 軟殼 蘋果</t>
        </is>
      </c>
      <c r="C3493">
        <f>IMAGE("https://cf.shopee.tw/file/sg-11134201-22100-cywb828hj8iv78_tn")</f>
        <v/>
      </c>
      <c r="D3493" t="inlineStr">
        <is>
          <t>冷淡黑花(透明殼),XR</t>
        </is>
      </c>
      <c r="E3493" t="inlineStr"/>
      <c r="F3493">
        <f>IMAGE("https://cf.shopee.tw/file/sg-11134201-22100-1g8mxp37k8ivd3_tn")</f>
        <v/>
      </c>
    </row>
    <row r="3494">
      <c r="A3494" t="inlineStr">
        <is>
          <t>19458452593</t>
        </is>
      </c>
      <c r="B3494" t="inlineStr">
        <is>
          <t>隔日到貨🔥 iPhone 手機殼 15 14 pro 13 12 11 XS XR SE X 保護殼 軟殼 蘋果</t>
        </is>
      </c>
      <c r="C3494">
        <f>IMAGE("https://cf.shopee.tw/file/sg-11134201-22100-cywb828hj8iv78_tn")</f>
        <v/>
      </c>
      <c r="D3494" t="inlineStr">
        <is>
          <t>冷淡黑花(透明殼),11</t>
        </is>
      </c>
      <c r="E3494" t="inlineStr">
        <is>
          <t>174936780006</t>
        </is>
      </c>
      <c r="F3494">
        <f>IMAGE("https://cf.shopee.tw/file/sg-11134201-22100-1g8mxp37k8ivd3_tn")</f>
        <v/>
      </c>
    </row>
    <row r="3495">
      <c r="A3495" t="inlineStr">
        <is>
          <t>19458452593</t>
        </is>
      </c>
      <c r="B3495" t="inlineStr">
        <is>
          <t>隔日到貨🔥 iPhone 手機殼 15 14 pro 13 12 11 XS XR SE X 保護殼 軟殼 蘋果</t>
        </is>
      </c>
      <c r="C3495">
        <f>IMAGE("https://cf.shopee.tw/file/sg-11134201-22100-cywb828hj8iv78_tn")</f>
        <v/>
      </c>
      <c r="D3495" t="inlineStr">
        <is>
          <t>冷淡黑花(透明殼),11 Pro Max</t>
        </is>
      </c>
      <c r="E3495" t="inlineStr">
        <is>
          <t>231278380932</t>
        </is>
      </c>
      <c r="F3495">
        <f>IMAGE("https://cf.shopee.tw/file/sg-11134201-22100-1g8mxp37k8ivd3_tn")</f>
        <v/>
      </c>
    </row>
    <row r="3496">
      <c r="A3496" t="inlineStr">
        <is>
          <t>19458452593</t>
        </is>
      </c>
      <c r="B3496" t="inlineStr">
        <is>
          <t>隔日到貨🔥 iPhone 手機殼 15 14 pro 13 12 11 XS XR SE X 保護殼 軟殼 蘋果</t>
        </is>
      </c>
      <c r="C3496">
        <f>IMAGE("https://cf.shopee.tw/file/sg-11134201-22100-cywb828hj8iv78_tn")</f>
        <v/>
      </c>
      <c r="D3496" t="inlineStr">
        <is>
          <t>冷淡黑花(透明殼),12</t>
        </is>
      </c>
      <c r="E3496" t="inlineStr">
        <is>
          <t>174936780009</t>
        </is>
      </c>
      <c r="F3496">
        <f>IMAGE("https://cf.shopee.tw/file/sg-11134201-22100-1g8mxp37k8ivd3_tn")</f>
        <v/>
      </c>
    </row>
    <row r="3497">
      <c r="A3497" t="inlineStr">
        <is>
          <t>19458452593</t>
        </is>
      </c>
      <c r="B3497" t="inlineStr">
        <is>
          <t>隔日到貨🔥 iPhone 手機殼 15 14 pro 13 12 11 XS XR SE X 保護殼 軟殼 蘋果</t>
        </is>
      </c>
      <c r="C3497">
        <f>IMAGE("https://cf.shopee.tw/file/sg-11134201-22100-cywb828hj8iv78_tn")</f>
        <v/>
      </c>
      <c r="D3497" t="inlineStr">
        <is>
          <t>冷淡黑花(透明殼),12 Pro</t>
        </is>
      </c>
      <c r="E3497" t="inlineStr"/>
      <c r="F3497">
        <f>IMAGE("https://cf.shopee.tw/file/sg-11134201-22100-1g8mxp37k8ivd3_tn")</f>
        <v/>
      </c>
    </row>
    <row r="3498">
      <c r="A3498" t="inlineStr">
        <is>
          <t>19458452593</t>
        </is>
      </c>
      <c r="B3498" t="inlineStr">
        <is>
          <t>隔日到貨🔥 iPhone 手機殼 15 14 pro 13 12 11 XS XR SE X 保護殼 軟殼 蘋果</t>
        </is>
      </c>
      <c r="C3498">
        <f>IMAGE("https://cf.shopee.tw/file/sg-11134201-22100-cywb828hj8iv78_tn")</f>
        <v/>
      </c>
      <c r="D3498" t="inlineStr">
        <is>
          <t>冷淡黑花(透明殼),12 Pro Max</t>
        </is>
      </c>
      <c r="E3498" t="inlineStr">
        <is>
          <t>174936780002</t>
        </is>
      </c>
      <c r="F3498">
        <f>IMAGE("https://cf.shopee.tw/file/sg-11134201-22100-1g8mxp37k8ivd3_tn")</f>
        <v/>
      </c>
    </row>
    <row r="3499">
      <c r="A3499" t="inlineStr">
        <is>
          <t>19458452593</t>
        </is>
      </c>
      <c r="B3499" t="inlineStr">
        <is>
          <t>隔日到貨🔥 iPhone 手機殼 15 14 pro 13 12 11 XS XR SE X 保護殼 軟殼 蘋果</t>
        </is>
      </c>
      <c r="C3499">
        <f>IMAGE("https://cf.shopee.tw/file/sg-11134201-22100-cywb828hj8iv78_tn")</f>
        <v/>
      </c>
      <c r="D3499" t="inlineStr">
        <is>
          <t>冷淡黑花(透明殼),13</t>
        </is>
      </c>
      <c r="E3499" t="inlineStr">
        <is>
          <t>174936780011</t>
        </is>
      </c>
      <c r="F3499">
        <f>IMAGE("https://cf.shopee.tw/file/sg-11134201-22100-1g8mxp37k8ivd3_tn")</f>
        <v/>
      </c>
    </row>
    <row r="3500">
      <c r="A3500" t="inlineStr">
        <is>
          <t>19458452593</t>
        </is>
      </c>
      <c r="B3500" t="inlineStr">
        <is>
          <t>隔日到貨🔥 iPhone 手機殼 15 14 pro 13 12 11 XS XR SE X 保護殼 軟殼 蘋果</t>
        </is>
      </c>
      <c r="C3500">
        <f>IMAGE("https://cf.shopee.tw/file/sg-11134201-22100-cywb828hj8iv78_tn")</f>
        <v/>
      </c>
      <c r="D3500" t="inlineStr">
        <is>
          <t>冷淡黑花(透明殼),13 Pro</t>
        </is>
      </c>
      <c r="E3500" t="inlineStr">
        <is>
          <t>174936777999</t>
        </is>
      </c>
      <c r="F3500">
        <f>IMAGE("https://cf.shopee.tw/file/sg-11134201-22100-1g8mxp37k8ivd3_tn")</f>
        <v/>
      </c>
    </row>
    <row r="3501">
      <c r="A3501" t="inlineStr">
        <is>
          <t>19458452593</t>
        </is>
      </c>
      <c r="B3501" t="inlineStr">
        <is>
          <t>隔日到貨🔥 iPhone 手機殼 15 14 pro 13 12 11 XS XR SE X 保護殼 軟殼 蘋果</t>
        </is>
      </c>
      <c r="C3501">
        <f>IMAGE("https://cf.shopee.tw/file/sg-11134201-22100-cywb828hj8iv78_tn")</f>
        <v/>
      </c>
      <c r="D3501" t="inlineStr">
        <is>
          <t>冷淡黑花(透明殼),13 Pro Max</t>
        </is>
      </c>
      <c r="E3501" t="inlineStr"/>
      <c r="F3501">
        <f>IMAGE("https://cf.shopee.tw/file/sg-11134201-22100-1g8mxp37k8ivd3_tn")</f>
        <v/>
      </c>
    </row>
    <row r="3502">
      <c r="A3502" t="inlineStr">
        <is>
          <t>19458452593</t>
        </is>
      </c>
      <c r="B3502" t="inlineStr">
        <is>
          <t>隔日到貨🔥 iPhone 手機殼 15 14 pro 13 12 11 XS XR SE X 保護殼 軟殼 蘋果</t>
        </is>
      </c>
      <c r="C3502">
        <f>IMAGE("https://cf.shopee.tw/file/sg-11134201-22100-cywb828hj8iv78_tn")</f>
        <v/>
      </c>
      <c r="D3502" t="inlineStr">
        <is>
          <t>冷淡黑花(透明殼),14</t>
        </is>
      </c>
      <c r="E3502" t="inlineStr"/>
      <c r="F3502">
        <f>IMAGE("https://cf.shopee.tw/file/sg-11134201-22100-1g8mxp37k8ivd3_tn")</f>
        <v/>
      </c>
    </row>
    <row r="3503">
      <c r="A3503" t="inlineStr">
        <is>
          <t>19458452593</t>
        </is>
      </c>
      <c r="B3503" t="inlineStr">
        <is>
          <t>隔日到貨🔥 iPhone 手機殼 15 14 pro 13 12 11 XS XR SE X 保護殼 軟殼 蘋果</t>
        </is>
      </c>
      <c r="C3503">
        <f>IMAGE("https://cf.shopee.tw/file/sg-11134201-22100-cywb828hj8iv78_tn")</f>
        <v/>
      </c>
      <c r="D3503" t="inlineStr">
        <is>
          <t>冷淡黑花(透明殼),14 Plus</t>
        </is>
      </c>
      <c r="E3503" t="inlineStr">
        <is>
          <t>174936780004</t>
        </is>
      </c>
      <c r="F3503">
        <f>IMAGE("https://cf.shopee.tw/file/sg-11134201-22100-1g8mxp37k8ivd3_tn")</f>
        <v/>
      </c>
    </row>
    <row r="3504">
      <c r="A3504" t="inlineStr">
        <is>
          <t>19458452593</t>
        </is>
      </c>
      <c r="B3504" t="inlineStr">
        <is>
          <t>隔日到貨🔥 iPhone 手機殼 15 14 pro 13 12 11 XS XR SE X 保護殼 軟殼 蘋果</t>
        </is>
      </c>
      <c r="C3504">
        <f>IMAGE("https://cf.shopee.tw/file/sg-11134201-22100-cywb828hj8iv78_tn")</f>
        <v/>
      </c>
      <c r="D3504" t="inlineStr">
        <is>
          <t>冷淡黑花(透明殼),14 pro</t>
        </is>
      </c>
      <c r="E3504" t="inlineStr">
        <is>
          <t>174936780013</t>
        </is>
      </c>
      <c r="F3504">
        <f>IMAGE("https://cf.shopee.tw/file/sg-11134201-22100-1g8mxp37k8ivd3_tn")</f>
        <v/>
      </c>
    </row>
    <row r="3505">
      <c r="A3505" t="inlineStr">
        <is>
          <t>19458452593</t>
        </is>
      </c>
      <c r="B3505" t="inlineStr">
        <is>
          <t>隔日到貨🔥 iPhone 手機殼 15 14 pro 13 12 11 XS XR SE X 保護殼 軟殼 蘋果</t>
        </is>
      </c>
      <c r="C3505">
        <f>IMAGE("https://cf.shopee.tw/file/sg-11134201-22100-cywb828hj8iv78_tn")</f>
        <v/>
      </c>
      <c r="D3505" t="inlineStr">
        <is>
          <t>冷淡黑花(透明殼),14 pro Max</t>
        </is>
      </c>
      <c r="E3505" t="inlineStr">
        <is>
          <t>174936780007</t>
        </is>
      </c>
      <c r="F3505">
        <f>IMAGE("https://cf.shopee.tw/file/sg-11134201-22100-1g8mxp37k8ivd3_tn")</f>
        <v/>
      </c>
    </row>
    <row r="3506">
      <c r="A3506" t="inlineStr">
        <is>
          <t>19458452593</t>
        </is>
      </c>
      <c r="B3506" t="inlineStr">
        <is>
          <t>隔日到貨🔥 iPhone 手機殼 15 14 pro 13 12 11 XS XR SE X 保護殼 軟殼 蘋果</t>
        </is>
      </c>
      <c r="C3506">
        <f>IMAGE("https://cf.shopee.tw/file/sg-11134201-22100-cywb828hj8iv78_tn")</f>
        <v/>
      </c>
      <c r="D3506" t="inlineStr">
        <is>
          <t>冷淡黑花(透明殼),15</t>
        </is>
      </c>
      <c r="E3506" t="inlineStr">
        <is>
          <t>232071215666</t>
        </is>
      </c>
      <c r="F3506">
        <f>IMAGE("https://cf.shopee.tw/file/sg-11134201-22100-1g8mxp37k8ivd3_tn")</f>
        <v/>
      </c>
    </row>
    <row r="3507">
      <c r="A3507" t="inlineStr">
        <is>
          <t>19458452593</t>
        </is>
      </c>
      <c r="B3507" t="inlineStr">
        <is>
          <t>隔日到貨🔥 iPhone 手機殼 15 14 pro 13 12 11 XS XR SE X 保護殼 軟殼 蘋果</t>
        </is>
      </c>
      <c r="C3507">
        <f>IMAGE("https://cf.shopee.tw/file/sg-11134201-22100-cywb828hj8iv78_tn")</f>
        <v/>
      </c>
      <c r="D3507" t="inlineStr">
        <is>
          <t>冷淡黑花(透明殼),15 Plus</t>
        </is>
      </c>
      <c r="E3507" t="inlineStr">
        <is>
          <t>232071215668</t>
        </is>
      </c>
      <c r="F3507">
        <f>IMAGE("https://cf.shopee.tw/file/sg-11134201-22100-1g8mxp37k8ivd3_tn")</f>
        <v/>
      </c>
    </row>
    <row r="3508">
      <c r="A3508" t="inlineStr">
        <is>
          <t>19458452593</t>
        </is>
      </c>
      <c r="B3508" t="inlineStr">
        <is>
          <t>隔日到貨🔥 iPhone 手機殼 15 14 pro 13 12 11 XS XR SE X 保護殼 軟殼 蘋果</t>
        </is>
      </c>
      <c r="C3508">
        <f>IMAGE("https://cf.shopee.tw/file/sg-11134201-22100-cywb828hj8iv78_tn")</f>
        <v/>
      </c>
      <c r="D3508" t="inlineStr">
        <is>
          <t>冷淡黑花(透明殼),15 pro</t>
        </is>
      </c>
      <c r="E3508" t="inlineStr">
        <is>
          <t>232071215667</t>
        </is>
      </c>
      <c r="F3508">
        <f>IMAGE("https://cf.shopee.tw/file/sg-11134201-22100-1g8mxp37k8ivd3_tn")</f>
        <v/>
      </c>
    </row>
    <row r="3509">
      <c r="A3509" t="inlineStr">
        <is>
          <t>19458452593</t>
        </is>
      </c>
      <c r="B3509" t="inlineStr">
        <is>
          <t>隔日到貨🔥 iPhone 手機殼 15 14 pro 13 12 11 XS XR SE X 保護殼 軟殼 蘋果</t>
        </is>
      </c>
      <c r="C3509">
        <f>IMAGE("https://cf.shopee.tw/file/sg-11134201-22100-cywb828hj8iv78_tn")</f>
        <v/>
      </c>
      <c r="D3509" t="inlineStr">
        <is>
          <t>冷淡黑花(透明殼),15 pro Max</t>
        </is>
      </c>
      <c r="E3509" t="inlineStr">
        <is>
          <t>232071215665</t>
        </is>
      </c>
      <c r="F3509">
        <f>IMAGE("https://cf.shopee.tw/file/sg-11134201-22100-1g8mxp37k8ivd3_tn")</f>
        <v/>
      </c>
    </row>
    <row r="3510">
      <c r="A3510" t="inlineStr">
        <is>
          <t>22568489970</t>
        </is>
      </c>
      <c r="B3510" t="inlineStr">
        <is>
          <t>隔日到貨🔥 iPhone 手機殼 17 16 15 14 13 12 11 15pro 硬殼 XS XR SE 保護殼</t>
        </is>
      </c>
      <c r="C3510">
        <f>IMAGE("https://cf.shopee.tw/file/tw-11134207-7qul7-lh1ugi6jtmp861_tn")</f>
        <v/>
      </c>
      <c r="D3510" t="inlineStr">
        <is>
          <t>粉紫光暈,12/12pro</t>
        </is>
      </c>
      <c r="E3510" t="inlineStr">
        <is>
          <t>177676957656</t>
        </is>
      </c>
      <c r="F3510">
        <f>IMAGE("https://cf.shopee.tw/file/tw-11134207-7qul7-lh1up13gqaekfb_tn")</f>
        <v/>
      </c>
    </row>
    <row r="3511">
      <c r="A3511" t="inlineStr">
        <is>
          <t>22568489970</t>
        </is>
      </c>
      <c r="B3511" t="inlineStr">
        <is>
          <t>隔日到貨🔥 iPhone 手機殼 17 16 15 14 13 12 11 15pro 硬殼 XS XR SE 保護殼</t>
        </is>
      </c>
      <c r="C3511">
        <f>IMAGE("https://cf.shopee.tw/file/tw-11134207-7qul7-lh1ugi6jtmp861_tn")</f>
        <v/>
      </c>
      <c r="D3511" t="inlineStr">
        <is>
          <t>粉紫光暈,7 / 8 / SE2 / SE3</t>
        </is>
      </c>
      <c r="E3511" t="inlineStr">
        <is>
          <t>231623480366</t>
        </is>
      </c>
      <c r="F3511">
        <f>IMAGE("https://cf.shopee.tw/file/tw-11134207-7qul7-lh1up13gqaekfb_tn")</f>
        <v/>
      </c>
    </row>
    <row r="3512">
      <c r="A3512" t="inlineStr">
        <is>
          <t>22568489970</t>
        </is>
      </c>
      <c r="B3512" t="inlineStr">
        <is>
          <t>隔日到貨🔥 iPhone 手機殼 17 16 15 14 13 12 11 15pro 硬殼 XS XR SE 保護殼</t>
        </is>
      </c>
      <c r="C3512">
        <f>IMAGE("https://cf.shopee.tw/file/tw-11134207-7qul7-lh1ugi6jtmp861_tn")</f>
        <v/>
      </c>
      <c r="D3512" t="inlineStr">
        <is>
          <t>粉紫光暈,7Plus / 8Plus</t>
        </is>
      </c>
      <c r="E3512" t="inlineStr">
        <is>
          <t>177676957643</t>
        </is>
      </c>
      <c r="F3512">
        <f>IMAGE("https://cf.shopee.tw/file/tw-11134207-7qul7-lh1up13gqaekfb_tn")</f>
        <v/>
      </c>
    </row>
    <row r="3513">
      <c r="A3513" t="inlineStr">
        <is>
          <t>22568489970</t>
        </is>
      </c>
      <c r="B3513" t="inlineStr">
        <is>
          <t>隔日到貨🔥 iPhone 手機殼 17 16 15 14 13 12 11 15pro 硬殼 XS XR SE 保護殼</t>
        </is>
      </c>
      <c r="C3513">
        <f>IMAGE("https://cf.shopee.tw/file/tw-11134207-7qul7-lh1ugi6jtmp861_tn")</f>
        <v/>
      </c>
      <c r="D3513" t="inlineStr">
        <is>
          <t>粉紫光暈,X / XS</t>
        </is>
      </c>
      <c r="E3513" t="inlineStr">
        <is>
          <t>177676957648</t>
        </is>
      </c>
      <c r="F3513">
        <f>IMAGE("https://cf.shopee.tw/file/tw-11134207-7qul7-lh1up13gqaekfb_tn")</f>
        <v/>
      </c>
    </row>
    <row r="3514">
      <c r="A3514" t="inlineStr">
        <is>
          <t>22568489970</t>
        </is>
      </c>
      <c r="B3514" t="inlineStr">
        <is>
          <t>隔日到貨🔥 iPhone 手機殼 17 16 15 14 13 12 11 15pro 硬殼 XS XR SE 保護殼</t>
        </is>
      </c>
      <c r="C3514">
        <f>IMAGE("https://cf.shopee.tw/file/tw-11134207-7qul7-lh1ugi6jtmp861_tn")</f>
        <v/>
      </c>
      <c r="D3514" t="inlineStr">
        <is>
          <t>粉紫光暈,XR</t>
        </is>
      </c>
      <c r="E3514" t="inlineStr">
        <is>
          <t>177676957644</t>
        </is>
      </c>
      <c r="F3514">
        <f>IMAGE("https://cf.shopee.tw/file/tw-11134207-7qul7-lh1up13gqaekfb_tn")</f>
        <v/>
      </c>
    </row>
    <row r="3515">
      <c r="A3515" t="inlineStr">
        <is>
          <t>22568489970</t>
        </is>
      </c>
      <c r="B3515" t="inlineStr">
        <is>
          <t>隔日到貨🔥 iPhone 手機殼 17 16 15 14 13 12 11 15pro 硬殼 XS XR SE 保護殼</t>
        </is>
      </c>
      <c r="C3515">
        <f>IMAGE("https://cf.shopee.tw/file/tw-11134207-7qul7-lh1ugi6jtmp861_tn")</f>
        <v/>
      </c>
      <c r="D3515" t="inlineStr">
        <is>
          <t>粉紫光暈,XS Max</t>
        </is>
      </c>
      <c r="E3515" t="inlineStr"/>
      <c r="F3515">
        <f>IMAGE("https://cf.shopee.tw/file/tw-11134207-7qul7-lh1up13gqaekfb_tn")</f>
        <v/>
      </c>
    </row>
    <row r="3516">
      <c r="A3516" t="inlineStr">
        <is>
          <t>22568489970</t>
        </is>
      </c>
      <c r="B3516" t="inlineStr">
        <is>
          <t>隔日到貨🔥 iPhone 手機殼 17 16 15 14 13 12 11 15pro 硬殼 XS XR SE 保護殼</t>
        </is>
      </c>
      <c r="C3516">
        <f>IMAGE("https://cf.shopee.tw/file/tw-11134207-7qul7-lh1ugi6jtmp861_tn")</f>
        <v/>
      </c>
      <c r="D3516" t="inlineStr">
        <is>
          <t>粉紫光暈,11</t>
        </is>
      </c>
      <c r="E3516" t="inlineStr">
        <is>
          <t>177676957655</t>
        </is>
      </c>
      <c r="F3516">
        <f>IMAGE("https://cf.shopee.tw/file/tw-11134207-7qul7-lh1up13gqaekfb_tn")</f>
        <v/>
      </c>
    </row>
    <row r="3517">
      <c r="A3517" t="inlineStr">
        <is>
          <t>22568489970</t>
        </is>
      </c>
      <c r="B3517" t="inlineStr">
        <is>
          <t>隔日到貨🔥 iPhone 手機殼 17 16 15 14 13 12 11 15pro 硬殼 XS XR SE 保護殼</t>
        </is>
      </c>
      <c r="C3517">
        <f>IMAGE("https://cf.shopee.tw/file/tw-11134207-7qul7-lh1ugi6jtmp861_tn")</f>
        <v/>
      </c>
      <c r="D3517" t="inlineStr">
        <is>
          <t>粉紫光暈,11 pro</t>
        </is>
      </c>
      <c r="E3517" t="inlineStr">
        <is>
          <t>177676957645</t>
        </is>
      </c>
      <c r="F3517">
        <f>IMAGE("https://cf.shopee.tw/file/tw-11134207-7qul7-lh1up13gqaekfb_tn")</f>
        <v/>
      </c>
    </row>
    <row r="3518">
      <c r="A3518" t="inlineStr">
        <is>
          <t>22568489970</t>
        </is>
      </c>
      <c r="B3518" t="inlineStr">
        <is>
          <t>隔日到貨🔥 iPhone 手機殼 17 16 15 14 13 12 11 15pro 硬殼 XS XR SE 保護殼</t>
        </is>
      </c>
      <c r="C3518">
        <f>IMAGE("https://cf.shopee.tw/file/tw-11134207-7qul7-lh1ugi6jtmp861_tn")</f>
        <v/>
      </c>
      <c r="D3518" t="inlineStr">
        <is>
          <t>粉紫光暈,11 pro max</t>
        </is>
      </c>
      <c r="E3518" t="inlineStr"/>
      <c r="F3518">
        <f>IMAGE("https://cf.shopee.tw/file/tw-11134207-7qul7-lh1up13gqaekfb_tn")</f>
        <v/>
      </c>
    </row>
    <row r="3519">
      <c r="A3519" t="inlineStr">
        <is>
          <t>22568489970</t>
        </is>
      </c>
      <c r="B3519" t="inlineStr">
        <is>
          <t>隔日到貨🔥 iPhone 手機殼 17 16 15 14 13 12 11 15pro 硬殼 XS XR SE 保護殼</t>
        </is>
      </c>
      <c r="C3519">
        <f>IMAGE("https://cf.shopee.tw/file/tw-11134207-7qul7-lh1ugi6jtmp861_tn")</f>
        <v/>
      </c>
      <c r="D3519" t="inlineStr">
        <is>
          <t>粉紫光暈,12 pro Max</t>
        </is>
      </c>
      <c r="E3519" t="inlineStr">
        <is>
          <t>177676957658</t>
        </is>
      </c>
      <c r="F3519">
        <f>IMAGE("https://cf.shopee.tw/file/tw-11134207-7qul7-lh1up13gqaekfb_tn")</f>
        <v/>
      </c>
    </row>
    <row r="3520">
      <c r="A3520" t="inlineStr">
        <is>
          <t>22568489970</t>
        </is>
      </c>
      <c r="B3520" t="inlineStr">
        <is>
          <t>隔日到貨🔥 iPhone 手機殼 17 16 15 14 13 12 11 15pro 硬殼 XS XR SE 保護殼</t>
        </is>
      </c>
      <c r="C3520">
        <f>IMAGE("https://cf.shopee.tw/file/tw-11134207-7qul7-lh1ugi6jtmp861_tn")</f>
        <v/>
      </c>
      <c r="D3520" t="inlineStr">
        <is>
          <t>粉紫光暈,13</t>
        </is>
      </c>
      <c r="E3520" t="inlineStr">
        <is>
          <t>177676957659</t>
        </is>
      </c>
      <c r="F3520">
        <f>IMAGE("https://cf.shopee.tw/file/tw-11134207-7qul7-lh1up13gqaekfb_tn")</f>
        <v/>
      </c>
    </row>
    <row r="3521">
      <c r="A3521" t="inlineStr">
        <is>
          <t>22568489970</t>
        </is>
      </c>
      <c r="B3521" t="inlineStr">
        <is>
          <t>隔日到貨🔥 iPhone 手機殼 17 16 15 14 13 12 11 15pro 硬殼 XS XR SE 保護殼</t>
        </is>
      </c>
      <c r="C3521">
        <f>IMAGE("https://cf.shopee.tw/file/tw-11134207-7qul7-lh1ugi6jtmp861_tn")</f>
        <v/>
      </c>
      <c r="D3521" t="inlineStr">
        <is>
          <t>粉紫光暈,13 pro</t>
        </is>
      </c>
      <c r="E3521" t="inlineStr">
        <is>
          <t>177676957650</t>
        </is>
      </c>
      <c r="F3521">
        <f>IMAGE("https://cf.shopee.tw/file/tw-11134207-7qul7-lh1up13gqaekfb_tn")</f>
        <v/>
      </c>
    </row>
    <row r="3522">
      <c r="A3522" t="inlineStr">
        <is>
          <t>22568489970</t>
        </is>
      </c>
      <c r="B3522" t="inlineStr">
        <is>
          <t>隔日到貨🔥 iPhone 手機殼 17 16 15 14 13 12 11 15pro 硬殼 XS XR SE 保護殼</t>
        </is>
      </c>
      <c r="C3522">
        <f>IMAGE("https://cf.shopee.tw/file/tw-11134207-7qul7-lh1ugi6jtmp861_tn")</f>
        <v/>
      </c>
      <c r="D3522" t="inlineStr">
        <is>
          <t>粉紫光暈,13 pro Max</t>
        </is>
      </c>
      <c r="E3522" t="inlineStr">
        <is>
          <t>177676957651</t>
        </is>
      </c>
      <c r="F3522">
        <f>IMAGE("https://cf.shopee.tw/file/tw-11134207-7qul7-lh1up13gqaekfb_tn")</f>
        <v/>
      </c>
    </row>
    <row r="3523">
      <c r="A3523" t="inlineStr">
        <is>
          <t>22568489970</t>
        </is>
      </c>
      <c r="B3523" t="inlineStr">
        <is>
          <t>隔日到貨🔥 iPhone 手機殼 17 16 15 14 13 12 11 15pro 硬殼 XS XR SE 保護殼</t>
        </is>
      </c>
      <c r="C3523">
        <f>IMAGE("https://cf.shopee.tw/file/tw-11134207-7qul7-lh1ugi6jtmp861_tn")</f>
        <v/>
      </c>
      <c r="D3523" t="inlineStr">
        <is>
          <t>粉紫光暈,14</t>
        </is>
      </c>
      <c r="E3523" t="inlineStr">
        <is>
          <t>177676957652</t>
        </is>
      </c>
      <c r="F3523">
        <f>IMAGE("https://cf.shopee.tw/file/tw-11134207-7qul7-lh1up13gqaekfb_tn")</f>
        <v/>
      </c>
    </row>
    <row r="3524">
      <c r="A3524" t="inlineStr">
        <is>
          <t>22568489970</t>
        </is>
      </c>
      <c r="B3524" t="inlineStr">
        <is>
          <t>隔日到貨🔥 iPhone 手機殼 17 16 15 14 13 12 11 15pro 硬殼 XS XR SE 保護殼</t>
        </is>
      </c>
      <c r="C3524">
        <f>IMAGE("https://cf.shopee.tw/file/tw-11134207-7qul7-lh1ugi6jtmp861_tn")</f>
        <v/>
      </c>
      <c r="D3524" t="inlineStr">
        <is>
          <t>粉紫光暈,14 pro</t>
        </is>
      </c>
      <c r="E3524" t="inlineStr"/>
      <c r="F3524">
        <f>IMAGE("https://cf.shopee.tw/file/tw-11134207-7qul7-lh1up13gqaekfb_tn")</f>
        <v/>
      </c>
    </row>
    <row r="3525">
      <c r="A3525" t="inlineStr">
        <is>
          <t>22568489970</t>
        </is>
      </c>
      <c r="B3525" t="inlineStr">
        <is>
          <t>隔日到貨🔥 iPhone 手機殼 17 16 15 14 13 12 11 15pro 硬殼 XS XR SE 保護殼</t>
        </is>
      </c>
      <c r="C3525">
        <f>IMAGE("https://cf.shopee.tw/file/tw-11134207-7qul7-lh1ugi6jtmp861_tn")</f>
        <v/>
      </c>
      <c r="D3525" t="inlineStr">
        <is>
          <t>粉紫光暈,14 pro Max</t>
        </is>
      </c>
      <c r="E3525" t="inlineStr"/>
      <c r="F3525">
        <f>IMAGE("https://cf.shopee.tw/file/tw-11134207-7qul7-lh1up13gqaekfb_tn")</f>
        <v/>
      </c>
    </row>
    <row r="3526">
      <c r="A3526" t="inlineStr">
        <is>
          <t>22568489970</t>
        </is>
      </c>
      <c r="B3526" t="inlineStr">
        <is>
          <t>隔日到貨🔥 iPhone 手機殼 17 16 15 14 13 12 11 15pro 硬殼 XS XR SE 保護殼</t>
        </is>
      </c>
      <c r="C3526">
        <f>IMAGE("https://cf.shopee.tw/file/tw-11134207-7qul7-lh1ugi6jtmp861_tn")</f>
        <v/>
      </c>
      <c r="D3526" t="inlineStr">
        <is>
          <t>粉紫光暈,14 Plus</t>
        </is>
      </c>
      <c r="E3526" t="inlineStr">
        <is>
          <t>177676957647</t>
        </is>
      </c>
      <c r="F3526">
        <f>IMAGE("https://cf.shopee.tw/file/tw-11134207-7qul7-lh1up13gqaekfb_tn")</f>
        <v/>
      </c>
    </row>
    <row r="3527">
      <c r="A3527" t="inlineStr">
        <is>
          <t>22568489970</t>
        </is>
      </c>
      <c r="B3527" t="inlineStr">
        <is>
          <t>隔日到貨🔥 iPhone 手機殼 17 16 15 14 13 12 11 15pro 硬殼 XS XR SE 保護殼</t>
        </is>
      </c>
      <c r="C3527">
        <f>IMAGE("https://cf.shopee.tw/file/tw-11134207-7qul7-lh1ugi6jtmp861_tn")</f>
        <v/>
      </c>
      <c r="D3527" t="inlineStr">
        <is>
          <t>粉紫光暈,15</t>
        </is>
      </c>
      <c r="E3527" t="inlineStr">
        <is>
          <t>166167108967</t>
        </is>
      </c>
      <c r="F3527">
        <f>IMAGE("https://cf.shopee.tw/file/tw-11134207-7qul7-lh1up13gqaekfb_tn")</f>
        <v/>
      </c>
    </row>
    <row r="3528">
      <c r="A3528" t="inlineStr">
        <is>
          <t>22568489970</t>
        </is>
      </c>
      <c r="B3528" t="inlineStr">
        <is>
          <t>隔日到貨🔥 iPhone 手機殼 17 16 15 14 13 12 11 15pro 硬殼 XS XR SE 保護殼</t>
        </is>
      </c>
      <c r="C3528">
        <f>IMAGE("https://cf.shopee.tw/file/tw-11134207-7qul7-lh1ugi6jtmp861_tn")</f>
        <v/>
      </c>
      <c r="D3528" t="inlineStr">
        <is>
          <t>粉紫光暈,15 pro</t>
        </is>
      </c>
      <c r="E3528" t="inlineStr"/>
      <c r="F3528">
        <f>IMAGE("https://cf.shopee.tw/file/tw-11134207-7qul7-lh1up13gqaekfb_tn")</f>
        <v/>
      </c>
    </row>
    <row r="3529">
      <c r="A3529" t="inlineStr">
        <is>
          <t>22568489970</t>
        </is>
      </c>
      <c r="B3529" t="inlineStr">
        <is>
          <t>隔日到貨🔥 iPhone 手機殼 17 16 15 14 13 12 11 15pro 硬殼 XS XR SE 保護殼</t>
        </is>
      </c>
      <c r="C3529">
        <f>IMAGE("https://cf.shopee.tw/file/tw-11134207-7qul7-lh1ugi6jtmp861_tn")</f>
        <v/>
      </c>
      <c r="D3529" t="inlineStr">
        <is>
          <t>粉紫光暈,15 pro Max</t>
        </is>
      </c>
      <c r="E3529" t="inlineStr"/>
      <c r="F3529">
        <f>IMAGE("https://cf.shopee.tw/file/tw-11134207-7qul7-lh1up13gqaekfb_tn")</f>
        <v/>
      </c>
    </row>
    <row r="3530">
      <c r="A3530" t="inlineStr">
        <is>
          <t>22568489970</t>
        </is>
      </c>
      <c r="B3530" t="inlineStr">
        <is>
          <t>隔日到貨🔥 iPhone 手機殼 17 16 15 14 13 12 11 15pro 硬殼 XS XR SE 保護殼</t>
        </is>
      </c>
      <c r="C3530">
        <f>IMAGE("https://cf.shopee.tw/file/tw-11134207-7qul7-lh1ugi6jtmp861_tn")</f>
        <v/>
      </c>
      <c r="D3530" t="inlineStr">
        <is>
          <t>粉紫光暈,15 Plus</t>
        </is>
      </c>
      <c r="E3530" t="inlineStr">
        <is>
          <t>166167108968</t>
        </is>
      </c>
      <c r="F3530">
        <f>IMAGE("https://cf.shopee.tw/file/tw-11134207-7qul7-lh1up13gqaekfb_tn")</f>
        <v/>
      </c>
    </row>
    <row r="3531">
      <c r="A3531" t="inlineStr">
        <is>
          <t>22568489970</t>
        </is>
      </c>
      <c r="B3531" t="inlineStr">
        <is>
          <t>隔日到貨🔥 iPhone 手機殼 17 16 15 14 13 12 11 15pro 硬殼 XS XR SE 保護殼</t>
        </is>
      </c>
      <c r="C3531">
        <f>IMAGE("https://cf.shopee.tw/file/tw-11134207-7qul7-lh1ugi6jtmp861_tn")</f>
        <v/>
      </c>
      <c r="D3531" t="inlineStr">
        <is>
          <t>粉紫光暈,16</t>
        </is>
      </c>
      <c r="E3531" t="inlineStr"/>
      <c r="F3531">
        <f>IMAGE("https://cf.shopee.tw/file/tw-11134207-7qul7-lh1up13gqaekfb_tn")</f>
        <v/>
      </c>
    </row>
    <row r="3532">
      <c r="A3532" t="inlineStr">
        <is>
          <t>22568489970</t>
        </is>
      </c>
      <c r="B3532" t="inlineStr">
        <is>
          <t>隔日到貨🔥 iPhone 手機殼 17 16 15 14 13 12 11 15pro 硬殼 XS XR SE 保護殼</t>
        </is>
      </c>
      <c r="C3532">
        <f>IMAGE("https://cf.shopee.tw/file/tw-11134207-7qul7-lh1ugi6jtmp861_tn")</f>
        <v/>
      </c>
      <c r="D3532" t="inlineStr">
        <is>
          <t>粉紫光暈,16 pro</t>
        </is>
      </c>
      <c r="E3532" t="inlineStr">
        <is>
          <t>207816544938</t>
        </is>
      </c>
      <c r="F3532">
        <f>IMAGE("https://cf.shopee.tw/file/tw-11134207-7qul7-lh1up13gqaekfb_tn")</f>
        <v/>
      </c>
    </row>
    <row r="3533">
      <c r="A3533" t="inlineStr">
        <is>
          <t>22568489970</t>
        </is>
      </c>
      <c r="B3533" t="inlineStr">
        <is>
          <t>隔日到貨🔥 iPhone 手機殼 17 16 15 14 13 12 11 15pro 硬殼 XS XR SE 保護殼</t>
        </is>
      </c>
      <c r="C3533">
        <f>IMAGE("https://cf.shopee.tw/file/tw-11134207-7qul7-lh1ugi6jtmp861_tn")</f>
        <v/>
      </c>
      <c r="D3533" t="inlineStr">
        <is>
          <t>粉紫光暈,16 pro Max</t>
        </is>
      </c>
      <c r="E3533" t="inlineStr"/>
      <c r="F3533">
        <f>IMAGE("https://cf.shopee.tw/file/tw-11134207-7qul7-lh1up13gqaekfb_tn")</f>
        <v/>
      </c>
    </row>
    <row r="3534">
      <c r="A3534" t="inlineStr">
        <is>
          <t>22568489970</t>
        </is>
      </c>
      <c r="B3534" t="inlineStr">
        <is>
          <t>隔日到貨🔥 iPhone 手機殼 17 16 15 14 13 12 11 15pro 硬殼 XS XR SE 保護殼</t>
        </is>
      </c>
      <c r="C3534">
        <f>IMAGE("https://cf.shopee.tw/file/tw-11134207-7qul7-lh1ugi6jtmp861_tn")</f>
        <v/>
      </c>
      <c r="D3534" t="inlineStr">
        <is>
          <t>粉紫光暈,16 Plus</t>
        </is>
      </c>
      <c r="E3534" t="inlineStr"/>
      <c r="F3534">
        <f>IMAGE("https://cf.shopee.tw/file/tw-11134207-7qul7-lh1up13gqaekfb_tn")</f>
        <v/>
      </c>
    </row>
    <row r="3535">
      <c r="A3535" t="inlineStr">
        <is>
          <t>22568489970</t>
        </is>
      </c>
      <c r="B3535" t="inlineStr">
        <is>
          <t>隔日到貨🔥 iPhone 手機殼 17 16 15 14 13 12 11 15pro 硬殼 XS XR SE 保護殼</t>
        </is>
      </c>
      <c r="C3535">
        <f>IMAGE("https://cf.shopee.tw/file/tw-11134207-7qul7-lh1ugi6jtmp861_tn")</f>
        <v/>
      </c>
      <c r="D3535" t="inlineStr">
        <is>
          <t>粉紫光暈,17</t>
        </is>
      </c>
      <c r="E3535" t="inlineStr">
        <is>
          <t>276980560183</t>
        </is>
      </c>
      <c r="F3535">
        <f>IMAGE("https://cf.shopee.tw/file/tw-11134207-7qul7-lh1up13gqaekfb_tn")</f>
        <v/>
      </c>
    </row>
    <row r="3536">
      <c r="A3536" t="inlineStr">
        <is>
          <t>22568489970</t>
        </is>
      </c>
      <c r="B3536" t="inlineStr">
        <is>
          <t>隔日到貨🔥 iPhone 手機殼 17 16 15 14 13 12 11 15pro 硬殼 XS XR SE 保護殼</t>
        </is>
      </c>
      <c r="C3536">
        <f>IMAGE("https://cf.shopee.tw/file/tw-11134207-7qul7-lh1ugi6jtmp861_tn")</f>
        <v/>
      </c>
      <c r="D3536" t="inlineStr">
        <is>
          <t>粉紫光暈,17 pro</t>
        </is>
      </c>
      <c r="E3536" t="inlineStr">
        <is>
          <t>276980560184</t>
        </is>
      </c>
      <c r="F3536">
        <f>IMAGE("https://cf.shopee.tw/file/tw-11134207-7qul7-lh1up13gqaekfb_tn")</f>
        <v/>
      </c>
    </row>
    <row r="3537">
      <c r="A3537" t="inlineStr">
        <is>
          <t>22568489970</t>
        </is>
      </c>
      <c r="B3537" t="inlineStr">
        <is>
          <t>隔日到貨🔥 iPhone 手機殼 17 16 15 14 13 12 11 15pro 硬殼 XS XR SE 保護殼</t>
        </is>
      </c>
      <c r="C3537">
        <f>IMAGE("https://cf.shopee.tw/file/tw-11134207-7qul7-lh1ugi6jtmp861_tn")</f>
        <v/>
      </c>
      <c r="D3537" t="inlineStr">
        <is>
          <t>粉紫光暈,17 pro Max</t>
        </is>
      </c>
      <c r="E3537" t="inlineStr"/>
      <c r="F3537">
        <f>IMAGE("https://cf.shopee.tw/file/tw-11134207-7qul7-lh1up13gqaekfb_tn")</f>
        <v/>
      </c>
    </row>
    <row r="3538">
      <c r="A3538" t="inlineStr">
        <is>
          <t>22568489970</t>
        </is>
      </c>
      <c r="B3538" t="inlineStr">
        <is>
          <t>隔日到貨🔥 iPhone 手機殼 17 16 15 14 13 12 11 15pro 硬殼 XS XR SE 保護殼</t>
        </is>
      </c>
      <c r="C3538">
        <f>IMAGE("https://cf.shopee.tw/file/tw-11134207-7qul7-lh1ugi6jtmp861_tn")</f>
        <v/>
      </c>
      <c r="D3538" t="inlineStr">
        <is>
          <t>粉紫光暈,17 Air</t>
        </is>
      </c>
      <c r="E3538" t="inlineStr"/>
      <c r="F3538">
        <f>IMAGE("https://cf.shopee.tw/file/tw-11134207-7qul7-lh1up13gqaekfb_tn")</f>
        <v/>
      </c>
    </row>
    <row r="3539">
      <c r="A3539" t="inlineStr">
        <is>
          <t>17366716239</t>
        </is>
      </c>
      <c r="B3539" t="inlineStr">
        <is>
          <t>隔日到貨🔥 Airpods 保護套A4 1代 2代 3代 pro pro2 耳機套 附掛飾 軟殼 保護殼 透明殼</t>
        </is>
      </c>
      <c r="C3539">
        <f>IMAGE("https://cf.shopee.tw/file/07644db0feb77636689bf9abe86f9eaf_tn")</f>
        <v/>
      </c>
      <c r="D3539" t="inlineStr">
        <is>
          <t>2.油畫風景,1代 / 2代</t>
        </is>
      </c>
      <c r="E3539" t="inlineStr"/>
      <c r="F3539">
        <f>IMAGE("https://cf.shopee.tw/file/a90248fde1716ff20172b5962b589cf0_tn")</f>
        <v/>
      </c>
    </row>
    <row r="3540">
      <c r="A3540" t="inlineStr">
        <is>
          <t>17366716239</t>
        </is>
      </c>
      <c r="B3540" t="inlineStr">
        <is>
          <t>隔日到貨🔥 Airpods 保護套A4 1代 2代 3代 pro pro2 耳機套 附掛飾 軟殼 保護殼 透明殼</t>
        </is>
      </c>
      <c r="C3540">
        <f>IMAGE("https://cf.shopee.tw/file/07644db0feb77636689bf9abe86f9eaf_tn")</f>
        <v/>
      </c>
      <c r="D3540" t="inlineStr">
        <is>
          <t>8.笑臉,Pro1代/Pro2代 (通用）</t>
        </is>
      </c>
      <c r="E3540" t="inlineStr"/>
      <c r="F3540">
        <f>IMAGE("https://cf.shopee.tw/file/6d0e75ef6d21f3fbb0a4346979f2e1d9_tn")</f>
        <v/>
      </c>
    </row>
    <row r="3541">
      <c r="A3541" t="inlineStr">
        <is>
          <t>17366716239</t>
        </is>
      </c>
      <c r="B3541" t="inlineStr">
        <is>
          <t>隔日到貨🔥 Airpods 保護套A4 1代 2代 3代 pro pro2 耳機套 附掛飾 軟殼 保護殼 透明殼</t>
        </is>
      </c>
      <c r="C3541">
        <f>IMAGE("https://cf.shopee.tw/file/07644db0feb77636689bf9abe86f9eaf_tn")</f>
        <v/>
      </c>
      <c r="D3541" t="inlineStr">
        <is>
          <t>1.笑臉雲朵,1代 / 2代</t>
        </is>
      </c>
      <c r="E3541" t="inlineStr"/>
      <c r="F3541">
        <f>IMAGE("https://cf.shopee.tw/file/2d5447b7d3e6f57002bc6c1e207ab9a7_tn")</f>
        <v/>
      </c>
    </row>
    <row r="3542">
      <c r="A3542" t="inlineStr">
        <is>
          <t>17366716239</t>
        </is>
      </c>
      <c r="B3542" t="inlineStr">
        <is>
          <t>隔日到貨🔥 Airpods 保護套A4 1代 2代 3代 pro pro2 耳機套 附掛飾 軟殼 保護殼 透明殼</t>
        </is>
      </c>
      <c r="C3542">
        <f>IMAGE("https://cf.shopee.tw/file/07644db0feb77636689bf9abe86f9eaf_tn")</f>
        <v/>
      </c>
      <c r="D3542" t="inlineStr">
        <is>
          <t>1.笑臉雲朵,Pro1代/Pro2代 (通用）</t>
        </is>
      </c>
      <c r="E3542" t="inlineStr">
        <is>
          <t>162702162546</t>
        </is>
      </c>
      <c r="F3542">
        <f>IMAGE("https://cf.shopee.tw/file/2d5447b7d3e6f57002bc6c1e207ab9a7_tn")</f>
        <v/>
      </c>
    </row>
    <row r="3543">
      <c r="A3543" t="inlineStr">
        <is>
          <t>17366716239</t>
        </is>
      </c>
      <c r="B3543" t="inlineStr">
        <is>
          <t>隔日到貨🔥 Airpods 保護套A4 1代 2代 3代 pro pro2 耳機套 附掛飾 軟殼 保護殼 透明殼</t>
        </is>
      </c>
      <c r="C3543">
        <f>IMAGE("https://cf.shopee.tw/file/07644db0feb77636689bf9abe86f9eaf_tn")</f>
        <v/>
      </c>
      <c r="D3543" t="inlineStr">
        <is>
          <t>1.笑臉雲朵,［3代］</t>
        </is>
      </c>
      <c r="E3543" t="inlineStr"/>
      <c r="F3543">
        <f>IMAGE("https://cf.shopee.tw/file/2d5447b7d3e6f57002bc6c1e207ab9a7_tn")</f>
        <v/>
      </c>
    </row>
    <row r="3544">
      <c r="A3544" t="inlineStr">
        <is>
          <t>17366716239</t>
        </is>
      </c>
      <c r="B3544" t="inlineStr">
        <is>
          <t>隔日到貨🔥 Airpods 保護套A4 1代 2代 3代 pro pro2 耳機套 附掛飾 軟殼 保護殼 透明殼</t>
        </is>
      </c>
      <c r="C3544">
        <f>IMAGE("https://cf.shopee.tw/file/07644db0feb77636689bf9abe86f9eaf_tn")</f>
        <v/>
      </c>
      <c r="D3544" t="inlineStr">
        <is>
          <t>2.油畫風景,Pro1代/Pro2代 (通用）</t>
        </is>
      </c>
      <c r="E3544" t="inlineStr"/>
      <c r="F3544">
        <f>IMAGE("https://cf.shopee.tw/file/a90248fde1716ff20172b5962b589cf0_tn")</f>
        <v/>
      </c>
    </row>
    <row r="3545">
      <c r="A3545" t="inlineStr">
        <is>
          <t>17366716239</t>
        </is>
      </c>
      <c r="B3545" t="inlineStr">
        <is>
          <t>隔日到貨🔥 Airpods 保護套A4 1代 2代 3代 pro pro2 耳機套 附掛飾 軟殼 保護殼 透明殼</t>
        </is>
      </c>
      <c r="C3545">
        <f>IMAGE("https://cf.shopee.tw/file/07644db0feb77636689bf9abe86f9eaf_tn")</f>
        <v/>
      </c>
      <c r="D3545" t="inlineStr">
        <is>
          <t>2.油畫風景,［3代］</t>
        </is>
      </c>
      <c r="E3545" t="inlineStr"/>
      <c r="F3545">
        <f>IMAGE("https://cf.shopee.tw/file/a90248fde1716ff20172b5962b589cf0_tn")</f>
        <v/>
      </c>
    </row>
    <row r="3546">
      <c r="A3546" t="inlineStr">
        <is>
          <t>17366716239</t>
        </is>
      </c>
      <c r="B3546" t="inlineStr">
        <is>
          <t>隔日到貨🔥 Airpods 保護套A4 1代 2代 3代 pro pro2 耳機套 附掛飾 軟殼 保護殼 透明殼</t>
        </is>
      </c>
      <c r="C3546">
        <f>IMAGE("https://cf.shopee.tw/file/07644db0feb77636689bf9abe86f9eaf_tn")</f>
        <v/>
      </c>
      <c r="D3546" t="inlineStr">
        <is>
          <t>3.油畫藍天,1代 / 2代</t>
        </is>
      </c>
      <c r="E3546" t="inlineStr">
        <is>
          <t>162702162543</t>
        </is>
      </c>
      <c r="F3546">
        <f>IMAGE("https://cf.shopee.tw/file/f9865027ed655ebe68888fadb952d2cf_tn")</f>
        <v/>
      </c>
    </row>
    <row r="3547">
      <c r="A3547" t="inlineStr">
        <is>
          <t>17366716239</t>
        </is>
      </c>
      <c r="B3547" t="inlineStr">
        <is>
          <t>隔日到貨🔥 Airpods 保護套A4 1代 2代 3代 pro pro2 耳機套 附掛飾 軟殼 保護殼 透明殼</t>
        </is>
      </c>
      <c r="C3547">
        <f>IMAGE("https://cf.shopee.tw/file/07644db0feb77636689bf9abe86f9eaf_tn")</f>
        <v/>
      </c>
      <c r="D3547" t="inlineStr">
        <is>
          <t>3.油畫藍天,Pro1代/Pro2代 (通用）</t>
        </is>
      </c>
      <c r="E3547" t="inlineStr">
        <is>
          <t>162702162537</t>
        </is>
      </c>
      <c r="F3547">
        <f>IMAGE("https://cf.shopee.tw/file/f9865027ed655ebe68888fadb952d2cf_tn")</f>
        <v/>
      </c>
    </row>
    <row r="3548">
      <c r="A3548" t="inlineStr">
        <is>
          <t>17366716239</t>
        </is>
      </c>
      <c r="B3548" t="inlineStr">
        <is>
          <t>隔日到貨🔥 Airpods 保護套A4 1代 2代 3代 pro pro2 耳機套 附掛飾 軟殼 保護殼 透明殼</t>
        </is>
      </c>
      <c r="C3548">
        <f>IMAGE("https://cf.shopee.tw/file/07644db0feb77636689bf9abe86f9eaf_tn")</f>
        <v/>
      </c>
      <c r="D3548" t="inlineStr">
        <is>
          <t>3.油畫藍天,［3代］</t>
        </is>
      </c>
      <c r="E3548" t="inlineStr">
        <is>
          <t>181396811753</t>
        </is>
      </c>
      <c r="F3548">
        <f>IMAGE("https://cf.shopee.tw/file/f9865027ed655ebe68888fadb952d2cf_tn")</f>
        <v/>
      </c>
    </row>
    <row r="3549">
      <c r="A3549" t="inlineStr">
        <is>
          <t>17366716239</t>
        </is>
      </c>
      <c r="B3549" t="inlineStr">
        <is>
          <t>隔日到貨🔥 Airpods 保護套A4 1代 2代 3代 pro pro2 耳機套 附掛飾 軟殼 保護殼 透明殼</t>
        </is>
      </c>
      <c r="C3549">
        <f>IMAGE("https://cf.shopee.tw/file/07644db0feb77636689bf9abe86f9eaf_tn")</f>
        <v/>
      </c>
      <c r="D3549" t="inlineStr">
        <is>
          <t>4.油畫向日葵,1代 / 2代</t>
        </is>
      </c>
      <c r="E3549" t="inlineStr"/>
      <c r="F3549">
        <f>IMAGE("https://cf.shopee.tw/file/d82668973e7a73bde7d9bb7b5293bb66_tn")</f>
        <v/>
      </c>
    </row>
    <row r="3550">
      <c r="A3550" t="inlineStr">
        <is>
          <t>17366716239</t>
        </is>
      </c>
      <c r="B3550" t="inlineStr">
        <is>
          <t>隔日到貨🔥 Airpods 保護套A4 1代 2代 3代 pro pro2 耳機套 附掛飾 軟殼 保護殼 透明殼</t>
        </is>
      </c>
      <c r="C3550">
        <f>IMAGE("https://cf.shopee.tw/file/07644db0feb77636689bf9abe86f9eaf_tn")</f>
        <v/>
      </c>
      <c r="D3550" t="inlineStr">
        <is>
          <t>4.油畫向日葵,Pro1代/Pro2代 (通用）</t>
        </is>
      </c>
      <c r="E3550" t="inlineStr">
        <is>
          <t>162702162550</t>
        </is>
      </c>
      <c r="F3550">
        <f>IMAGE("https://cf.shopee.tw/file/d82668973e7a73bde7d9bb7b5293bb66_tn")</f>
        <v/>
      </c>
    </row>
    <row r="3551">
      <c r="A3551" t="inlineStr">
        <is>
          <t>17366716239</t>
        </is>
      </c>
      <c r="B3551" t="inlineStr">
        <is>
          <t>隔日到貨🔥 Airpods 保護套A4 1代 2代 3代 pro pro2 耳機套 附掛飾 軟殼 保護殼 透明殼</t>
        </is>
      </c>
      <c r="C3551">
        <f>IMAGE("https://cf.shopee.tw/file/07644db0feb77636689bf9abe86f9eaf_tn")</f>
        <v/>
      </c>
      <c r="D3551" t="inlineStr">
        <is>
          <t>4.油畫向日葵,［3代］</t>
        </is>
      </c>
      <c r="E3551" t="inlineStr"/>
      <c r="F3551">
        <f>IMAGE("https://cf.shopee.tw/file/d82668973e7a73bde7d9bb7b5293bb66_tn")</f>
        <v/>
      </c>
    </row>
    <row r="3552">
      <c r="A3552" t="inlineStr">
        <is>
          <t>17366716239</t>
        </is>
      </c>
      <c r="B3552" t="inlineStr">
        <is>
          <t>隔日到貨🔥 Airpods 保護套A4 1代 2代 3代 pro pro2 耳機套 附掛飾 軟殼 保護殼 透明殼</t>
        </is>
      </c>
      <c r="C3552">
        <f>IMAGE("https://cf.shopee.tw/file/07644db0feb77636689bf9abe86f9eaf_tn")</f>
        <v/>
      </c>
      <c r="D3552" t="inlineStr">
        <is>
          <t>5.夏日海岸,1代 / 2代</t>
        </is>
      </c>
      <c r="E3552" t="inlineStr">
        <is>
          <t>162702162551</t>
        </is>
      </c>
      <c r="F3552">
        <f>IMAGE("https://cf.shopee.tw/file/09c891eb19ae30dbe580c5b7cc725ee0_tn")</f>
        <v/>
      </c>
    </row>
    <row r="3553">
      <c r="A3553" t="inlineStr">
        <is>
          <t>17366716239</t>
        </is>
      </c>
      <c r="B3553" t="inlineStr">
        <is>
          <t>隔日到貨🔥 Airpods 保護套A4 1代 2代 3代 pro pro2 耳機套 附掛飾 軟殼 保護殼 透明殼</t>
        </is>
      </c>
      <c r="C3553">
        <f>IMAGE("https://cf.shopee.tw/file/07644db0feb77636689bf9abe86f9eaf_tn")</f>
        <v/>
      </c>
      <c r="D3553" t="inlineStr">
        <is>
          <t>5.夏日海岸,Pro1代/Pro2代 (通用）</t>
        </is>
      </c>
      <c r="E3553" t="inlineStr">
        <is>
          <t>162702162540</t>
        </is>
      </c>
      <c r="F3553">
        <f>IMAGE("https://cf.shopee.tw/file/09c891eb19ae30dbe580c5b7cc725ee0_tn")</f>
        <v/>
      </c>
    </row>
    <row r="3554">
      <c r="A3554" t="inlineStr">
        <is>
          <t>17366716239</t>
        </is>
      </c>
      <c r="B3554" t="inlineStr">
        <is>
          <t>隔日到貨🔥 Airpods 保護套A4 1代 2代 3代 pro pro2 耳機套 附掛飾 軟殼 保護殼 透明殼</t>
        </is>
      </c>
      <c r="C3554">
        <f>IMAGE("https://cf.shopee.tw/file/07644db0feb77636689bf9abe86f9eaf_tn")</f>
        <v/>
      </c>
      <c r="D3554" t="inlineStr">
        <is>
          <t>5.夏日海岸,［3代］</t>
        </is>
      </c>
      <c r="E3554" t="inlineStr">
        <is>
          <t>181396811749</t>
        </is>
      </c>
      <c r="F3554">
        <f>IMAGE("https://cf.shopee.tw/file/09c891eb19ae30dbe580c5b7cc725ee0_tn")</f>
        <v/>
      </c>
    </row>
    <row r="3555">
      <c r="A3555" t="inlineStr">
        <is>
          <t>17366716239</t>
        </is>
      </c>
      <c r="B3555" t="inlineStr">
        <is>
          <t>隔日到貨🔥 Airpods 保護套A4 1代 2代 3代 pro pro2 耳機套 附掛飾 軟殼 保護殼 透明殼</t>
        </is>
      </c>
      <c r="C3555">
        <f>IMAGE("https://cf.shopee.tw/file/07644db0feb77636689bf9abe86f9eaf_tn")</f>
        <v/>
      </c>
      <c r="D3555" t="inlineStr">
        <is>
          <t>6.小藍點,1代 / 2代</t>
        </is>
      </c>
      <c r="E3555" t="inlineStr">
        <is>
          <t>162702162541</t>
        </is>
      </c>
      <c r="F3555">
        <f>IMAGE("https://cf.shopee.tw/file/5cf122e550b98b6a3250b4c641744b42_tn")</f>
        <v/>
      </c>
    </row>
    <row r="3556">
      <c r="A3556" t="inlineStr">
        <is>
          <t>17366716239</t>
        </is>
      </c>
      <c r="B3556" t="inlineStr">
        <is>
          <t>隔日到貨🔥 Airpods 保護套A4 1代 2代 3代 pro pro2 耳機套 附掛飾 軟殼 保護殼 透明殼</t>
        </is>
      </c>
      <c r="C3556">
        <f>IMAGE("https://cf.shopee.tw/file/07644db0feb77636689bf9abe86f9eaf_tn")</f>
        <v/>
      </c>
      <c r="D3556" t="inlineStr">
        <is>
          <t>6.小藍點,Pro1代/Pro2代 (通用）</t>
        </is>
      </c>
      <c r="E3556" t="inlineStr">
        <is>
          <t>162702162538</t>
        </is>
      </c>
      <c r="F3556">
        <f>IMAGE("https://cf.shopee.tw/file/5cf122e550b98b6a3250b4c641744b42_tn")</f>
        <v/>
      </c>
    </row>
    <row r="3557">
      <c r="A3557" t="inlineStr">
        <is>
          <t>17366716239</t>
        </is>
      </c>
      <c r="B3557" t="inlineStr">
        <is>
          <t>隔日到貨🔥 Airpods 保護套A4 1代 2代 3代 pro pro2 耳機套 附掛飾 軟殼 保護殼 透明殼</t>
        </is>
      </c>
      <c r="C3557">
        <f>IMAGE("https://cf.shopee.tw/file/07644db0feb77636689bf9abe86f9eaf_tn")</f>
        <v/>
      </c>
      <c r="D3557" t="inlineStr">
        <is>
          <t>6.小藍點,［3代］</t>
        </is>
      </c>
      <c r="E3557" t="inlineStr"/>
      <c r="F3557">
        <f>IMAGE("https://cf.shopee.tw/file/5cf122e550b98b6a3250b4c641744b42_tn")</f>
        <v/>
      </c>
    </row>
    <row r="3558">
      <c r="A3558" t="inlineStr">
        <is>
          <t>17366716239</t>
        </is>
      </c>
      <c r="B3558" t="inlineStr">
        <is>
          <t>隔日到貨🔥 Airpods 保護套A4 1代 2代 3代 pro pro2 耳機套 附掛飾 軟殼 保護殼 透明殼</t>
        </is>
      </c>
      <c r="C3558">
        <f>IMAGE("https://cf.shopee.tw/file/07644db0feb77636689bf9abe86f9eaf_tn")</f>
        <v/>
      </c>
      <c r="D3558" t="inlineStr">
        <is>
          <t>7.淡藍字母,1代 / 2代</t>
        </is>
      </c>
      <c r="E3558" t="inlineStr">
        <is>
          <t>162702162547</t>
        </is>
      </c>
      <c r="F3558">
        <f>IMAGE("https://cf.shopee.tw/file/7e77ea29113d00668cb758489513ff3c_tn")</f>
        <v/>
      </c>
    </row>
    <row r="3559">
      <c r="A3559" t="inlineStr">
        <is>
          <t>17366716239</t>
        </is>
      </c>
      <c r="B3559" t="inlineStr">
        <is>
          <t>隔日到貨🔥 Airpods 保護套A4 1代 2代 3代 pro pro2 耳機套 附掛飾 軟殼 保護殼 透明殼</t>
        </is>
      </c>
      <c r="C3559">
        <f>IMAGE("https://cf.shopee.tw/file/07644db0feb77636689bf9abe86f9eaf_tn")</f>
        <v/>
      </c>
      <c r="D3559" t="inlineStr">
        <is>
          <t>7.淡藍字母,Pro1代/Pro2代 (通用）</t>
        </is>
      </c>
      <c r="E3559" t="inlineStr">
        <is>
          <t>162702162535</t>
        </is>
      </c>
      <c r="F3559">
        <f>IMAGE("https://cf.shopee.tw/file/7e77ea29113d00668cb758489513ff3c_tn")</f>
        <v/>
      </c>
    </row>
    <row r="3560">
      <c r="A3560" t="inlineStr">
        <is>
          <t>17366716239</t>
        </is>
      </c>
      <c r="B3560" t="inlineStr">
        <is>
          <t>隔日到貨🔥 Airpods 保護套A4 1代 2代 3代 pro pro2 耳機套 附掛飾 軟殼 保護殼 透明殼</t>
        </is>
      </c>
      <c r="C3560">
        <f>IMAGE("https://cf.shopee.tw/file/07644db0feb77636689bf9abe86f9eaf_tn")</f>
        <v/>
      </c>
      <c r="D3560" t="inlineStr">
        <is>
          <t>7.淡藍字母,［3代］</t>
        </is>
      </c>
      <c r="E3560" t="inlineStr"/>
      <c r="F3560">
        <f>IMAGE("https://cf.shopee.tw/file/7e77ea29113d00668cb758489513ff3c_tn")</f>
        <v/>
      </c>
    </row>
    <row r="3561">
      <c r="A3561" t="inlineStr">
        <is>
          <t>17366716239</t>
        </is>
      </c>
      <c r="B3561" t="inlineStr">
        <is>
          <t>隔日到貨🔥 Airpods 保護套A4 1代 2代 3代 pro pro2 耳機套 附掛飾 軟殼 保護殼 透明殼</t>
        </is>
      </c>
      <c r="C3561">
        <f>IMAGE("https://cf.shopee.tw/file/07644db0feb77636689bf9abe86f9eaf_tn")</f>
        <v/>
      </c>
      <c r="D3561" t="inlineStr">
        <is>
          <t>8.笑臉,1代 / 2代</t>
        </is>
      </c>
      <c r="E3561" t="inlineStr">
        <is>
          <t>162702162548</t>
        </is>
      </c>
      <c r="F3561">
        <f>IMAGE("https://cf.shopee.tw/file/6d0e75ef6d21f3fbb0a4346979f2e1d9_tn")</f>
        <v/>
      </c>
    </row>
    <row r="3562">
      <c r="A3562" t="inlineStr">
        <is>
          <t>17366716239</t>
        </is>
      </c>
      <c r="B3562" t="inlineStr">
        <is>
          <t>隔日到貨🔥 Airpods 保護套A4 1代 2代 3代 pro pro2 耳機套 附掛飾 軟殼 保護殼 透明殼</t>
        </is>
      </c>
      <c r="C3562">
        <f>IMAGE("https://cf.shopee.tw/file/07644db0feb77636689bf9abe86f9eaf_tn")</f>
        <v/>
      </c>
      <c r="D3562" t="inlineStr">
        <is>
          <t>8.笑臉,［3代］</t>
        </is>
      </c>
      <c r="E3562" t="inlineStr"/>
      <c r="F3562">
        <f>IMAGE("https://cf.shopee.tw/file/6d0e75ef6d21f3fbb0a4346979f2e1d9_tn")</f>
        <v/>
      </c>
    </row>
    <row r="3563">
      <c r="A3563" t="inlineStr">
        <is>
          <t>17366716239</t>
        </is>
      </c>
      <c r="B3563" t="inlineStr">
        <is>
          <t>隔日到貨🔥 Airpods 保護套A4 1代 2代 3代 pro pro2 耳機套 附掛飾 軟殼 保護殼 透明殼</t>
        </is>
      </c>
      <c r="C3563">
        <f>IMAGE("https://cf.shopee.tw/file/07644db0feb77636689bf9abe86f9eaf_tn")</f>
        <v/>
      </c>
      <c r="D3563" t="inlineStr">
        <is>
          <t>9.粉色花,1代 / 2代</t>
        </is>
      </c>
      <c r="E3563" t="inlineStr"/>
      <c r="F3563">
        <f>IMAGE("https://cf.shopee.tw/file/fd672499a43de8bcc2d3835b3c695f1a_tn")</f>
        <v/>
      </c>
    </row>
    <row r="3564">
      <c r="A3564" t="inlineStr">
        <is>
          <t>17366716239</t>
        </is>
      </c>
      <c r="B3564" t="inlineStr">
        <is>
          <t>隔日到貨🔥 Airpods 保護套A4 1代 2代 3代 pro pro2 耳機套 附掛飾 軟殼 保護殼 透明殼</t>
        </is>
      </c>
      <c r="C3564">
        <f>IMAGE("https://cf.shopee.tw/file/07644db0feb77636689bf9abe86f9eaf_tn")</f>
        <v/>
      </c>
      <c r="D3564" t="inlineStr">
        <is>
          <t>9.粉色花,Pro1代/Pro2代 (通用）</t>
        </is>
      </c>
      <c r="E3564" t="inlineStr"/>
      <c r="F3564">
        <f>IMAGE("https://cf.shopee.tw/file/fd672499a43de8bcc2d3835b3c695f1a_tn")</f>
        <v/>
      </c>
    </row>
    <row r="3565">
      <c r="A3565" t="inlineStr">
        <is>
          <t>17366716239</t>
        </is>
      </c>
      <c r="B3565" t="inlineStr">
        <is>
          <t>隔日到貨🔥 Airpods 保護套A4 1代 2代 3代 pro pro2 耳機套 附掛飾 軟殼 保護殼 透明殼</t>
        </is>
      </c>
      <c r="C3565">
        <f>IMAGE("https://cf.shopee.tw/file/07644db0feb77636689bf9abe86f9eaf_tn")</f>
        <v/>
      </c>
      <c r="D3565" t="inlineStr">
        <is>
          <t>9.粉色花,［3代］</t>
        </is>
      </c>
      <c r="E3565" t="inlineStr"/>
      <c r="F3565">
        <f>IMAGE("https://cf.shopee.tw/file/fd672499a43de8bcc2d3835b3c695f1a_tn")</f>
        <v/>
      </c>
    </row>
    <row r="3566">
      <c r="A3566" t="inlineStr">
        <is>
          <t>12599437882</t>
        </is>
      </c>
      <c r="B3566" t="inlineStr">
        <is>
          <t>隔日到貨🔥 充電線保護線套 卡通線套 保護線套 咬線器 線套 防止斷裂 矽膠 iPhone</t>
        </is>
      </c>
      <c r="C3566">
        <f>IMAGE("https://cf.shopee.tw/file/tw-11134207-7qul3-lghn4ssccbhm7c_tn")</f>
        <v/>
      </c>
      <c r="D3566" t="inlineStr">
        <is>
          <t>1. 餅乾熊</t>
        </is>
      </c>
      <c r="E3566" t="inlineStr"/>
      <c r="F3566">
        <f>IMAGE("https://cf.shopee.tw/file/tw-11134207-7qul2-lghnq7aqtxj5a1_tn")</f>
        <v/>
      </c>
    </row>
    <row r="3567">
      <c r="A3567" t="inlineStr">
        <is>
          <t>12599437882</t>
        </is>
      </c>
      <c r="B3567" t="inlineStr">
        <is>
          <t>隔日到貨🔥 充電線保護線套 卡通線套 保護線套 咬線器 線套 防止斷裂 矽膠 iPhone</t>
        </is>
      </c>
      <c r="C3567">
        <f>IMAGE("https://cf.shopee.tw/file/tw-11134207-7qul3-lghn4ssccbhm7c_tn")</f>
        <v/>
      </c>
      <c r="D3567" t="inlineStr">
        <is>
          <t>6. 章魚</t>
        </is>
      </c>
      <c r="E3567" t="inlineStr"/>
      <c r="F3567">
        <f>IMAGE("https://cf.shopee.tw/file/tw-11134207-7quky-lghnqtjia42ya9_tn")</f>
        <v/>
      </c>
    </row>
    <row r="3568">
      <c r="A3568" t="inlineStr">
        <is>
          <t>12599437882</t>
        </is>
      </c>
      <c r="B3568" t="inlineStr">
        <is>
          <t>隔日到貨🔥 充電線保護線套 卡通線套 保護線套 咬線器 線套 防止斷裂 矽膠 iPhone</t>
        </is>
      </c>
      <c r="C3568">
        <f>IMAGE("https://cf.shopee.tw/file/tw-11134207-7qul3-lghn4ssccbhm7c_tn")</f>
        <v/>
      </c>
      <c r="D3568" t="inlineStr">
        <is>
          <t>7. 幽靈</t>
        </is>
      </c>
      <c r="E3568" t="inlineStr"/>
      <c r="F3568">
        <f>IMAGE("https://cf.shopee.tw/file/tw-11134207-7qul0-lghnr5a32bcx0b_tn")</f>
        <v/>
      </c>
    </row>
    <row r="3569">
      <c r="A3569" t="inlineStr">
        <is>
          <t>12599437882</t>
        </is>
      </c>
      <c r="B3569" t="inlineStr">
        <is>
          <t>隔日到貨🔥 充電線保護線套 卡通線套 保護線套 咬線器 線套 防止斷裂 矽膠 iPhone</t>
        </is>
      </c>
      <c r="C3569">
        <f>IMAGE("https://cf.shopee.tw/file/tw-11134207-7qul3-lghn4ssccbhm7c_tn")</f>
        <v/>
      </c>
      <c r="D3569" t="inlineStr">
        <is>
          <t>8. 星星</t>
        </is>
      </c>
      <c r="E3569" t="inlineStr"/>
      <c r="F3569">
        <f>IMAGE("https://cf.shopee.tw/file/tw-11134207-7qul1-lghnr5a33pxd2c_tn")</f>
        <v/>
      </c>
    </row>
    <row r="3570">
      <c r="A3570" t="inlineStr">
        <is>
          <t>12599437882</t>
        </is>
      </c>
      <c r="B3570" t="inlineStr">
        <is>
          <t>隔日到貨🔥 充電線保護線套 卡通線套 保護線套 咬線器 線套 防止斷裂 矽膠 iPhone</t>
        </is>
      </c>
      <c r="C3570">
        <f>IMAGE("https://cf.shopee.tw/file/tw-11134207-7qul3-lghn4ssccbhm7c_tn")</f>
        <v/>
      </c>
      <c r="D3570" t="inlineStr">
        <is>
          <t>12. 棕狗</t>
        </is>
      </c>
      <c r="E3570" t="inlineStr"/>
      <c r="F3570">
        <f>IMAGE("https://cf.shopee.tw/file/tw-11134207-7qul3-lghnrogz0ow156_tn")</f>
        <v/>
      </c>
    </row>
    <row r="3571">
      <c r="A3571" t="inlineStr">
        <is>
          <t>12599437882</t>
        </is>
      </c>
      <c r="B3571" t="inlineStr">
        <is>
          <t>隔日到貨🔥 充電線保護線套 卡通線套 保護線套 咬線器 線套 防止斷裂 矽膠 iPhone</t>
        </is>
      </c>
      <c r="C3571">
        <f>IMAGE("https://cf.shopee.tw/file/tw-11134207-7qul3-lghn4ssccbhm7c_tn")</f>
        <v/>
      </c>
      <c r="D3571" t="inlineStr">
        <is>
          <t>17. 綠色花朵</t>
        </is>
      </c>
      <c r="E3571" t="inlineStr"/>
      <c r="F3571">
        <f>IMAGE("https://cf.shopee.tw/file/tw-11134207-7qul6-lghnzu5r7aqya7_tn")</f>
        <v/>
      </c>
    </row>
    <row r="3572">
      <c r="A3572" t="inlineStr">
        <is>
          <t>12599437882</t>
        </is>
      </c>
      <c r="B3572" t="inlineStr">
        <is>
          <t>隔日到貨🔥 充電線保護線套 卡通線套 保護線套 咬線器 線套 防止斷裂 矽膠 iPhone</t>
        </is>
      </c>
      <c r="C3572">
        <f>IMAGE("https://cf.shopee.tw/file/tw-11134207-7qul3-lghn4ssccbhm7c_tn")</f>
        <v/>
      </c>
      <c r="D3572" t="inlineStr">
        <is>
          <t>18. 紅色花朵</t>
        </is>
      </c>
      <c r="E3572" t="inlineStr"/>
      <c r="F3572">
        <f>IMAGE("https://cf.shopee.tw/file/tw-11134207-7qul5-lghnzu5r8pbe76_tn")</f>
        <v/>
      </c>
    </row>
    <row r="3573">
      <c r="A3573" t="inlineStr">
        <is>
          <t>12599437882</t>
        </is>
      </c>
      <c r="B3573" t="inlineStr">
        <is>
          <t>隔日到貨🔥 充電線保護線套 卡通線套 保護線套 咬線器 線套 防止斷裂 矽膠 iPhone</t>
        </is>
      </c>
      <c r="C3573">
        <f>IMAGE("https://cf.shopee.tw/file/tw-11134207-7qul3-lghn4ssccbhm7c_tn")</f>
        <v/>
      </c>
      <c r="D3573" t="inlineStr">
        <is>
          <t>21. 圓形西柚</t>
        </is>
      </c>
      <c r="E3573" t="inlineStr"/>
      <c r="F3573">
        <f>IMAGE("https://cf.shopee.tw/file/tw-11134207-7qul0-lgho0bk9qgx678_tn")</f>
        <v/>
      </c>
    </row>
    <row r="3574">
      <c r="A3574" t="inlineStr">
        <is>
          <t>12599437882</t>
        </is>
      </c>
      <c r="B3574" t="inlineStr">
        <is>
          <t>隔日到貨🔥 充電線保護線套 卡通線套 保護線套 咬線器 線套 防止斷裂 矽膠 iPhone</t>
        </is>
      </c>
      <c r="C3574">
        <f>IMAGE("https://cf.shopee.tw/file/tw-11134207-7qul3-lghn4ssccbhm7c_tn")</f>
        <v/>
      </c>
      <c r="D3574" t="inlineStr">
        <is>
          <t>22. 圓形檸檬</t>
        </is>
      </c>
      <c r="E3574" t="inlineStr"/>
      <c r="F3574">
        <f>IMAGE("https://cf.shopee.tw/file/tw-11134207-7qul5-lgho0bk9rvhm10_tn")</f>
        <v/>
      </c>
    </row>
    <row r="3575">
      <c r="A3575" t="inlineStr">
        <is>
          <t>12599437882</t>
        </is>
      </c>
      <c r="B3575" t="inlineStr">
        <is>
          <t>隔日到貨🔥 充電線保護線套 卡通線套 保護線套 咬線器 線套 防止斷裂 矽膠 iPhone</t>
        </is>
      </c>
      <c r="C3575">
        <f>IMAGE("https://cf.shopee.tw/file/tw-11134207-7qul3-lghn4ssccbhm7c_tn")</f>
        <v/>
      </c>
      <c r="D3575" t="inlineStr">
        <is>
          <t>23. 圓型青檸</t>
        </is>
      </c>
      <c r="E3575" t="inlineStr"/>
      <c r="F3575">
        <f>IMAGE("https://cf.shopee.tw/file/tw-11134207-7qul7-lgho1jcjp6p641_tn")</f>
        <v/>
      </c>
    </row>
    <row r="3576">
      <c r="A3576" t="inlineStr">
        <is>
          <t>12599437882</t>
        </is>
      </c>
      <c r="B3576" t="inlineStr">
        <is>
          <t>隔日到貨🔥 充電線保護線套 卡通線套 保護線套 咬線器 線套 防止斷裂 矽膠 iPhone</t>
        </is>
      </c>
      <c r="C3576">
        <f>IMAGE("https://cf.shopee.tw/file/tw-11134207-7qul3-lghn4ssccbhm7c_tn")</f>
        <v/>
      </c>
      <c r="D3576" t="inlineStr">
        <is>
          <t>24. 淺紫色Q版企鵝</t>
        </is>
      </c>
      <c r="E3576" t="inlineStr"/>
      <c r="F3576">
        <f>IMAGE("https://cf.shopee.tw/file/tw-11134207-7quky-lgho1jcjql9m02_tn")</f>
        <v/>
      </c>
    </row>
    <row r="3577">
      <c r="A3577" t="inlineStr">
        <is>
          <t>12599437882</t>
        </is>
      </c>
      <c r="B3577" t="inlineStr">
        <is>
          <t>隔日到貨🔥 充電線保護線套 卡通線套 保護線套 咬線器 線套 防止斷裂 矽膠 iPhone</t>
        </is>
      </c>
      <c r="C3577">
        <f>IMAGE("https://cf.shopee.tw/file/tw-11134207-7qul3-lghn4ssccbhm7c_tn")</f>
        <v/>
      </c>
      <c r="D3577" t="inlineStr">
        <is>
          <t>26. 牛油果</t>
        </is>
      </c>
      <c r="E3577" t="inlineStr">
        <is>
          <t>137573889585</t>
        </is>
      </c>
      <c r="F3577">
        <f>IMAGE("https://cf.shopee.tw/file/tw-11134207-7qukw-lghocmdpri0x34_tn")</f>
        <v/>
      </c>
    </row>
    <row r="3578">
      <c r="A3578" t="inlineStr">
        <is>
          <t>12599437882</t>
        </is>
      </c>
      <c r="B3578" t="inlineStr">
        <is>
          <t>隔日到貨🔥 充電線保護線套 卡通線套 保護線套 咬線器 線套 防止斷裂 矽膠 iPhone</t>
        </is>
      </c>
      <c r="C3578">
        <f>IMAGE("https://cf.shopee.tw/file/tw-11134207-7qul3-lghn4ssccbhm7c_tn")</f>
        <v/>
      </c>
      <c r="D3578" t="inlineStr">
        <is>
          <t>27. 彩虹</t>
        </is>
      </c>
      <c r="E3578" t="inlineStr"/>
      <c r="F3578">
        <f>IMAGE("https://cf.shopee.tw/file/tw-11134207-7qul4-lghoctzalqtde7_tn")</f>
        <v/>
      </c>
    </row>
    <row r="3579">
      <c r="A3579" t="inlineStr">
        <is>
          <t>12599437882</t>
        </is>
      </c>
      <c r="B3579" t="inlineStr">
        <is>
          <t>隔日到貨🔥 充電線保護線套 卡通線套 保護線套 咬線器 線套 防止斷裂 矽膠 iPhone</t>
        </is>
      </c>
      <c r="C3579">
        <f>IMAGE("https://cf.shopee.tw/file/tw-11134207-7qul3-lghn4ssccbhm7c_tn")</f>
        <v/>
      </c>
      <c r="D3579" t="inlineStr">
        <is>
          <t>28. 黃愛心耳機猴 深藍</t>
        </is>
      </c>
      <c r="E3579" t="inlineStr"/>
      <c r="F3579">
        <f>IMAGE("https://cf.shopee.tw/file/tw-11134207-7qula-lghoctzan5dt02_tn")</f>
        <v/>
      </c>
    </row>
    <row r="3580">
      <c r="A3580" t="inlineStr">
        <is>
          <t>12599437882</t>
        </is>
      </c>
      <c r="B3580" t="inlineStr">
        <is>
          <t>隔日到貨🔥 充電線保護線套 卡通線套 保護線套 咬線器 線套 防止斷裂 矽膠 iPhone</t>
        </is>
      </c>
      <c r="C3580">
        <f>IMAGE("https://cf.shopee.tw/file/tw-11134207-7qul3-lghn4ssccbhm7c_tn")</f>
        <v/>
      </c>
      <c r="D3580" t="inlineStr">
        <is>
          <t>30. 表情紫薯</t>
        </is>
      </c>
      <c r="E3580" t="inlineStr"/>
      <c r="F3580">
        <f>IMAGE("https://cf.shopee.tw/file/tw-11134207-7qul9-lghoe02j1se938_tn")</f>
        <v/>
      </c>
    </row>
    <row r="3581">
      <c r="A3581" t="inlineStr">
        <is>
          <t>12599437882</t>
        </is>
      </c>
      <c r="B3581" t="inlineStr">
        <is>
          <t>隔日到貨🔥 充電線保護線套 卡通線套 保護線套 咬線器 線套 防止斷裂 矽膠 iPhone</t>
        </is>
      </c>
      <c r="C3581">
        <f>IMAGE("https://cf.shopee.tw/file/tw-11134207-7qul3-lghn4ssccbhm7c_tn")</f>
        <v/>
      </c>
      <c r="D3581" t="inlineStr">
        <is>
          <t>31. 粉色愛心翅膀</t>
        </is>
      </c>
      <c r="E3581" t="inlineStr"/>
      <c r="F3581">
        <f>IMAGE("https://cf.shopee.tw/file/tw-11134207-7quky-lghoeb76q2i223_tn")</f>
        <v/>
      </c>
    </row>
    <row r="3582">
      <c r="A3582" t="inlineStr">
        <is>
          <t>12599437882</t>
        </is>
      </c>
      <c r="B3582" t="inlineStr">
        <is>
          <t>隔日到貨🔥 充電線保護線套 卡通線套 保護線套 咬線器 線套 防止斷裂 矽膠 iPhone</t>
        </is>
      </c>
      <c r="C3582">
        <f>IMAGE("https://cf.shopee.tw/file/tw-11134207-7qul3-lghn4ssccbhm7c_tn")</f>
        <v/>
      </c>
      <c r="D3582" t="inlineStr">
        <is>
          <t>32. 大紅愛心翅膀</t>
        </is>
      </c>
      <c r="E3582" t="inlineStr"/>
      <c r="F3582">
        <f>IMAGE("https://cf.shopee.tw/file/tw-11134207-7qula-lghoeb76rh2i0a_tn")</f>
        <v/>
      </c>
    </row>
    <row r="3583">
      <c r="A3583" t="inlineStr">
        <is>
          <t>12599437882</t>
        </is>
      </c>
      <c r="B3583" t="inlineStr">
        <is>
          <t>隔日到貨🔥 充電線保護線套 卡通線套 保護線套 咬線器 線套 防止斷裂 矽膠 iPhone</t>
        </is>
      </c>
      <c r="C3583">
        <f>IMAGE("https://cf.shopee.tw/file/tw-11134207-7qul3-lghn4ssccbhm7c_tn")</f>
        <v/>
      </c>
      <c r="D3583" t="inlineStr">
        <is>
          <t>35. 紫色花朵企鵝</t>
        </is>
      </c>
      <c r="E3583" t="inlineStr"/>
      <c r="F3583">
        <f>IMAGE("https://cf.shopee.tw/file/tw-11134207-7qul0-lghoertydueie6_tn")</f>
        <v/>
      </c>
    </row>
    <row r="3584">
      <c r="A3584" t="inlineStr">
        <is>
          <t>12599437882</t>
        </is>
      </c>
      <c r="B3584" t="inlineStr">
        <is>
          <t>隔日到貨🔥 充電線保護線套 卡通線套 保護線套 咬線器 線套 防止斷裂 矽膠 iPhone</t>
        </is>
      </c>
      <c r="C3584">
        <f>IMAGE("https://cf.shopee.tw/file/tw-11134207-7qul3-lghn4ssccbhm7c_tn")</f>
        <v/>
      </c>
      <c r="D3584" t="inlineStr">
        <is>
          <t>39. 藍色宇航員</t>
        </is>
      </c>
      <c r="E3584" t="inlineStr"/>
      <c r="F3584">
        <f>IMAGE("https://cf.shopee.tw/file/tw-11134207-7qul5-lghofbo5cphd66_tn")</f>
        <v/>
      </c>
    </row>
    <row r="3585">
      <c r="A3585" t="inlineStr">
        <is>
          <t>12599437882</t>
        </is>
      </c>
      <c r="B3585" t="inlineStr">
        <is>
          <t>隔日到貨🔥 充電線保護線套 卡通線套 保護線套 咬線器 線套 防止斷裂 矽膠 iPhone</t>
        </is>
      </c>
      <c r="C3585">
        <f>IMAGE("https://cf.shopee.tw/file/tw-11134207-7qul3-lghn4ssccbhm7c_tn")</f>
        <v/>
      </c>
      <c r="D3585" t="inlineStr">
        <is>
          <t>40. 螃蟹</t>
        </is>
      </c>
      <c r="E3585" t="inlineStr"/>
      <c r="F3585">
        <f>IMAGE("https://cf.shopee.tw/file/tw-11134207-7qul2-lghofbo5e41t0d_tn")</f>
        <v/>
      </c>
    </row>
    <row r="3586">
      <c r="A3586" t="inlineStr">
        <is>
          <t>12599437882</t>
        </is>
      </c>
      <c r="B3586" t="inlineStr">
        <is>
          <t>隔日到貨🔥 充電線保護線套 卡通線套 保護線套 咬線器 線套 防止斷裂 矽膠 iPhone</t>
        </is>
      </c>
      <c r="C3586">
        <f>IMAGE("https://cf.shopee.tw/file/tw-11134207-7qul3-lghn4ssccbhm7c_tn")</f>
        <v/>
      </c>
      <c r="D3586" t="inlineStr">
        <is>
          <t>41. 小老虎</t>
        </is>
      </c>
      <c r="E3586" t="inlineStr"/>
      <c r="F3586">
        <f>IMAGE("https://cf.shopee.tw/file/tw-11134207-7quky-lghofhxg70a264_tn")</f>
        <v/>
      </c>
    </row>
    <row r="3587">
      <c r="A3587" t="inlineStr">
        <is>
          <t>12599437882</t>
        </is>
      </c>
      <c r="B3587" t="inlineStr">
        <is>
          <t>隔日到貨🔥 充電線保護線套 卡通線套 保護線套 咬線器 線套 防止斷裂 矽膠 iPhone</t>
        </is>
      </c>
      <c r="C3587">
        <f>IMAGE("https://cf.shopee.tw/file/tw-11134207-7qul3-lghn4ssccbhm7c_tn")</f>
        <v/>
      </c>
      <c r="D3587" t="inlineStr">
        <is>
          <t>45. 貝殼</t>
        </is>
      </c>
      <c r="E3587" t="inlineStr"/>
      <c r="F3587">
        <f>IMAGE("https://cf.shopee.tw/file/tw-11134207-7qul9-lghofyity7u26f_tn")</f>
        <v/>
      </c>
    </row>
    <row r="3588">
      <c r="A3588" t="inlineStr">
        <is>
          <t>12599437882</t>
        </is>
      </c>
      <c r="B3588" t="inlineStr">
        <is>
          <t>隔日到貨🔥 充電線保護線套 卡通線套 保護線套 咬線器 線套 防止斷裂 矽膠 iPhone</t>
        </is>
      </c>
      <c r="C3588">
        <f>IMAGE("https://cf.shopee.tw/file/tw-11134207-7qul3-lghn4ssccbhm7c_tn")</f>
        <v/>
      </c>
      <c r="D3588" t="inlineStr">
        <is>
          <t>2. 微笑熊</t>
        </is>
      </c>
      <c r="E3588" t="inlineStr"/>
      <c r="F3588">
        <f>IMAGE("https://cf.shopee.tw/file/tw-11134207-7qul7-lghnq7aqvc3l0f_tn")</f>
        <v/>
      </c>
    </row>
    <row r="3589">
      <c r="A3589" t="inlineStr">
        <is>
          <t>12599437882</t>
        </is>
      </c>
      <c r="B3589" t="inlineStr">
        <is>
          <t>隔日到貨🔥 充電線保護線套 卡通線套 保護線套 咬線器 線套 防止斷裂 矽膠 iPhone</t>
        </is>
      </c>
      <c r="C3589">
        <f>IMAGE("https://cf.shopee.tw/file/tw-11134207-7qul3-lghn4ssccbhm7c_tn")</f>
        <v/>
      </c>
      <c r="D3589" t="inlineStr">
        <is>
          <t>3. 土撥熊</t>
        </is>
      </c>
      <c r="E3589" t="inlineStr"/>
      <c r="F3589">
        <f>IMAGE("https://cf.shopee.tw/file/tw-11134207-7quky-lghnqjw4d2cq4b_tn")</f>
        <v/>
      </c>
    </row>
    <row r="3590">
      <c r="A3590" t="inlineStr">
        <is>
          <t>12599437882</t>
        </is>
      </c>
      <c r="B3590" t="inlineStr">
        <is>
          <t>隔日到貨🔥 充電線保護線套 卡通線套 保護線套 咬線器 線套 防止斷裂 矽膠 iPhone</t>
        </is>
      </c>
      <c r="C3590">
        <f>IMAGE("https://cf.shopee.tw/file/tw-11134207-7qul3-lghn4ssccbhm7c_tn")</f>
        <v/>
      </c>
      <c r="D3590" t="inlineStr">
        <is>
          <t>4. 愛心</t>
        </is>
      </c>
      <c r="E3590" t="inlineStr"/>
      <c r="F3590">
        <f>IMAGE("https://cf.shopee.tw/file/tw-11134207-7qul8-lghnqjw4egx6ce_tn")</f>
        <v/>
      </c>
    </row>
    <row r="3591">
      <c r="A3591" t="inlineStr">
        <is>
          <t>12599437882</t>
        </is>
      </c>
      <c r="B3591" t="inlineStr">
        <is>
          <t>隔日到貨🔥 充電線保護線套 卡通線套 保護線套 咬線器 線套 防止斷裂 矽膠 iPhone</t>
        </is>
      </c>
      <c r="C3591">
        <f>IMAGE("https://cf.shopee.tw/file/tw-11134207-7qul3-lghn4ssccbhm7c_tn")</f>
        <v/>
      </c>
      <c r="D3591" t="inlineStr">
        <is>
          <t>5. 桃子</t>
        </is>
      </c>
      <c r="E3591" t="inlineStr">
        <is>
          <t>138612418695</t>
        </is>
      </c>
      <c r="F3591">
        <f>IMAGE("https://cf.shopee.tw/file/tw-11134207-7qul2-lghnqtji8pii86_tn")</f>
        <v/>
      </c>
    </row>
    <row r="3592">
      <c r="A3592" t="inlineStr">
        <is>
          <t>12599437882</t>
        </is>
      </c>
      <c r="B3592" t="inlineStr">
        <is>
          <t>隔日到貨🔥 充電線保護線套 卡通線套 保護線套 咬線器 線套 防止斷裂 矽膠 iPhone</t>
        </is>
      </c>
      <c r="C3592">
        <f>IMAGE("https://cf.shopee.tw/file/tw-11134207-7qul3-lghn4ssccbhm7c_tn")</f>
        <v/>
      </c>
      <c r="D3592" t="inlineStr">
        <is>
          <t>9. 地球</t>
        </is>
      </c>
      <c r="E3592" t="inlineStr"/>
      <c r="F3592">
        <f>IMAGE("https://cf.shopee.tw/file/tw-11134207-7qul6-lghnrfllymtdf4_tn")</f>
        <v/>
      </c>
    </row>
    <row r="3593">
      <c r="A3593" t="inlineStr">
        <is>
          <t>12599437882</t>
        </is>
      </c>
      <c r="B3593" t="inlineStr">
        <is>
          <t>隔日到貨🔥 充電線保護線套 卡通線套 保護線套 咬線器 線套 防止斷裂 矽膠 iPhone</t>
        </is>
      </c>
      <c r="C3593">
        <f>IMAGE("https://cf.shopee.tw/file/tw-11134207-7qul3-lghn4ssccbhm7c_tn")</f>
        <v/>
      </c>
      <c r="D3593" t="inlineStr">
        <is>
          <t>10. 哈巴狗</t>
        </is>
      </c>
      <c r="E3593" t="inlineStr"/>
      <c r="F3593">
        <f>IMAGE("https://cf.shopee.tw/file/tw-11134207-7qukw-lghnrflm01dt89_tn")</f>
        <v/>
      </c>
    </row>
    <row r="3594">
      <c r="A3594" t="inlineStr">
        <is>
          <t>12599437882</t>
        </is>
      </c>
      <c r="B3594" t="inlineStr">
        <is>
          <t>隔日到貨🔥 充電線保護線套 卡通線套 保護線套 咬線器 線套 防止斷裂 矽膠 iPhone</t>
        </is>
      </c>
      <c r="C3594">
        <f>IMAGE("https://cf.shopee.tw/file/tw-11134207-7qul3-lghn4ssccbhm7c_tn")</f>
        <v/>
      </c>
      <c r="D3594" t="inlineStr">
        <is>
          <t>11. 白狗</t>
        </is>
      </c>
      <c r="E3594" t="inlineStr"/>
      <c r="F3594">
        <f>IMAGE("https://cf.shopee.tw/file/tw-11134207-7qukw-lghnrogyzabl1e_tn")</f>
        <v/>
      </c>
    </row>
    <row r="3595">
      <c r="A3595" t="inlineStr">
        <is>
          <t>12599437882</t>
        </is>
      </c>
      <c r="B3595" t="inlineStr">
        <is>
          <t>隔日到貨🔥 充電線保護線套 卡通線套 保護線套 咬線器 線套 防止斷裂 矽膠 iPhone</t>
        </is>
      </c>
      <c r="C3595">
        <f>IMAGE("https://cf.shopee.tw/file/tw-11134207-7qul3-lghn4ssccbhm7c_tn")</f>
        <v/>
      </c>
      <c r="D3595" t="inlineStr">
        <is>
          <t>13. 黑色貓爪</t>
        </is>
      </c>
      <c r="E3595" t="inlineStr"/>
      <c r="F3595">
        <f>IMAGE("https://cf.shopee.tw/file/tw-11134207-7qukx-lghnz9yirim9d1_tn")</f>
        <v/>
      </c>
    </row>
    <row r="3596">
      <c r="A3596" t="inlineStr">
        <is>
          <t>12599437882</t>
        </is>
      </c>
      <c r="B3596" t="inlineStr">
        <is>
          <t>隔日到貨🔥 充電線保護線套 卡通線套 保護線套 咬線器 線套 防止斷裂 矽膠 iPhone</t>
        </is>
      </c>
      <c r="C3596">
        <f>IMAGE("https://cf.shopee.tw/file/tw-11134207-7qul3-lghn4ssccbhm7c_tn")</f>
        <v/>
      </c>
      <c r="D3596" t="inlineStr">
        <is>
          <t>14. 豆綠貓爪</t>
        </is>
      </c>
      <c r="E3596" t="inlineStr"/>
      <c r="F3596">
        <f>IMAGE("https://cf.shopee.tw/file/tw-11134207-7qul8-lghnz9yisx6pe2_tn")</f>
        <v/>
      </c>
    </row>
    <row r="3597">
      <c r="A3597" t="inlineStr">
        <is>
          <t>12599437882</t>
        </is>
      </c>
      <c r="B3597" t="inlineStr">
        <is>
          <t>隔日到貨🔥 充電線保護線套 卡通線套 保護線套 咬線器 線套 防止斷裂 矽膠 iPhone</t>
        </is>
      </c>
      <c r="C3597">
        <f>IMAGE("https://cf.shopee.tw/file/tw-11134207-7qul3-lghn4ssccbhm7c_tn")</f>
        <v/>
      </c>
      <c r="D3597" t="inlineStr">
        <is>
          <t>15. 白色貓爪</t>
        </is>
      </c>
      <c r="E3597" t="inlineStr"/>
      <c r="F3597">
        <f>IMAGE("https://cf.shopee.tw/file/tw-11134207-7qukw-lghnzj6n9hre4b_tn")</f>
        <v/>
      </c>
    </row>
    <row r="3598">
      <c r="A3598" t="inlineStr">
        <is>
          <t>12599437882</t>
        </is>
      </c>
      <c r="B3598" t="inlineStr">
        <is>
          <t>隔日到貨🔥 充電線保護線套 卡通線套 保護線套 咬線器 線套 防止斷裂 矽膠 iPhone</t>
        </is>
      </c>
      <c r="C3598">
        <f>IMAGE("https://cf.shopee.tw/file/tw-11134207-7qul3-lghn4ssccbhm7c_tn")</f>
        <v/>
      </c>
      <c r="D3598" t="inlineStr">
        <is>
          <t>16. 橙色貓爪</t>
        </is>
      </c>
      <c r="E3598" t="inlineStr"/>
      <c r="F3598">
        <f>IMAGE("https://cf.shopee.tw/file/tw-11134207-7qul4-lghnzj6nawbub8_tn")</f>
        <v/>
      </c>
    </row>
    <row r="3599">
      <c r="A3599" t="inlineStr">
        <is>
          <t>12599437882</t>
        </is>
      </c>
      <c r="B3599" t="inlineStr">
        <is>
          <t>隔日到貨🔥 充電線保護線套 卡通線套 保護線套 咬線器 線套 防止斷裂 矽膠 iPhone</t>
        </is>
      </c>
      <c r="C3599">
        <f>IMAGE("https://cf.shopee.tw/file/tw-11134207-7qul3-lghn4ssccbhm7c_tn")</f>
        <v/>
      </c>
      <c r="D3599" t="inlineStr">
        <is>
          <t>19. 黃色花朵</t>
        </is>
      </c>
      <c r="E3599" t="inlineStr"/>
      <c r="F3599">
        <f>IMAGE("https://cf.shopee.tw/file/tw-11134207-7qula-lgho02quodmp5a_tn")</f>
        <v/>
      </c>
    </row>
    <row r="3600">
      <c r="A3600" t="inlineStr">
        <is>
          <t>12599437882</t>
        </is>
      </c>
      <c r="B3600" t="inlineStr">
        <is>
          <t>隔日到貨🔥 充電線保護線套 卡通線套 保護線套 咬線器 線套 防止斷裂 矽膠 iPhone</t>
        </is>
      </c>
      <c r="C3600">
        <f>IMAGE("https://cf.shopee.tw/file/tw-11134207-7qul3-lghn4ssccbhm7c_tn")</f>
        <v/>
      </c>
      <c r="D3600" t="inlineStr">
        <is>
          <t>20. 淺紫色花朵</t>
        </is>
      </c>
      <c r="E3600" t="inlineStr"/>
      <c r="F3600">
        <f>IMAGE("https://cf.shopee.tw/file/tw-11134207-7qul7-lgho02qups7544_tn")</f>
        <v/>
      </c>
    </row>
    <row r="3601">
      <c r="A3601" t="inlineStr">
        <is>
          <t>12599437882</t>
        </is>
      </c>
      <c r="B3601" t="inlineStr">
        <is>
          <t>隔日到貨🔥 充電線保護線套 卡通線套 保護線套 咬線器 線套 防止斷裂 矽膠 iPhone</t>
        </is>
      </c>
      <c r="C3601">
        <f>IMAGE("https://cf.shopee.tw/file/tw-11134207-7qul3-lghn4ssccbhm7c_tn")</f>
        <v/>
      </c>
      <c r="D3601" t="inlineStr">
        <is>
          <t>25. 白色太空宇航員</t>
        </is>
      </c>
      <c r="E3601" t="inlineStr">
        <is>
          <t>137573889584</t>
        </is>
      </c>
      <c r="F3601">
        <f>IMAGE("https://cf.shopee.tw/file/tw-11134207-7qukz-lghocmdpq3gh3f_tn")</f>
        <v/>
      </c>
    </row>
    <row r="3602">
      <c r="A3602" t="inlineStr">
        <is>
          <t>12599437882</t>
        </is>
      </c>
      <c r="B3602" t="inlineStr">
        <is>
          <t>隔日到貨🔥 充電線保護線套 卡通線套 保護線套 咬線器 線套 防止斷裂 矽膠 iPhone</t>
        </is>
      </c>
      <c r="C3602">
        <f>IMAGE("https://cf.shopee.tw/file/tw-11134207-7qul3-lghn4ssccbhm7c_tn")</f>
        <v/>
      </c>
      <c r="D3602" t="inlineStr">
        <is>
          <t>29. 黑色Q版企鵝</t>
        </is>
      </c>
      <c r="E3602" t="inlineStr">
        <is>
          <t>138612418704</t>
        </is>
      </c>
      <c r="F3602">
        <f>IMAGE("https://cf.shopee.tw/file/tw-11134207-7qul4-lghoe02j0dtt55_tn")</f>
        <v/>
      </c>
    </row>
    <row r="3603">
      <c r="A3603" t="inlineStr">
        <is>
          <t>12599437882</t>
        </is>
      </c>
      <c r="B3603" t="inlineStr">
        <is>
          <t>隔日到貨🔥 充電線保護線套 卡通線套 保護線套 咬線器 線套 防止斷裂 矽膠 iPhone</t>
        </is>
      </c>
      <c r="C3603">
        <f>IMAGE("https://cf.shopee.tw/file/tw-11134207-7qul3-lghn4ssccbhm7c_tn")</f>
        <v/>
      </c>
      <c r="D3603" t="inlineStr">
        <is>
          <t>33. 紫色瓶子</t>
        </is>
      </c>
      <c r="E3603" t="inlineStr">
        <is>
          <t>137573889578</t>
        </is>
      </c>
      <c r="F3603">
        <f>IMAGE("https://cf.shopee.tw/file/tw-11134207-7quky-lghoej770lq9f2_tn")</f>
        <v/>
      </c>
    </row>
    <row r="3604">
      <c r="A3604" t="inlineStr">
        <is>
          <t>12599437882</t>
        </is>
      </c>
      <c r="B3604" t="inlineStr">
        <is>
          <t>隔日到貨🔥 充電線保護線套 卡通線套 保護線套 咬線器 線套 防止斷裂 矽膠 iPhone</t>
        </is>
      </c>
      <c r="C3604">
        <f>IMAGE("https://cf.shopee.tw/file/tw-11134207-7qul3-lghn4ssccbhm7c_tn")</f>
        <v/>
      </c>
      <c r="D3604" t="inlineStr">
        <is>
          <t>34. 粉色花朵企鵝</t>
        </is>
      </c>
      <c r="E3604" t="inlineStr">
        <is>
          <t>137573889579</t>
        </is>
      </c>
      <c r="F3604">
        <f>IMAGE("https://cf.shopee.tw/file/tw-11134207-7qul6-lghoej7720apd0_tn")</f>
        <v/>
      </c>
    </row>
    <row r="3605">
      <c r="A3605" t="inlineStr">
        <is>
          <t>12599437882</t>
        </is>
      </c>
      <c r="B3605" t="inlineStr">
        <is>
          <t>隔日到貨🔥 充電線保護線套 卡通線套 保護線套 咬線器 線套 防止斷裂 矽膠 iPhone</t>
        </is>
      </c>
      <c r="C3605">
        <f>IMAGE("https://cf.shopee.tw/file/tw-11134207-7qul3-lghn4ssccbhm7c_tn")</f>
        <v/>
      </c>
      <c r="D3605" t="inlineStr">
        <is>
          <t>36. 皇冠企鵝</t>
        </is>
      </c>
      <c r="E3605" t="inlineStr">
        <is>
          <t>138612418694</t>
        </is>
      </c>
      <c r="F3605">
        <f>IMAGE("https://cf.shopee.tw/file/tw-11134207-7qul4-lghoertyf8yy0a_tn")</f>
        <v/>
      </c>
    </row>
    <row r="3606">
      <c r="A3606" t="inlineStr">
        <is>
          <t>12599437882</t>
        </is>
      </c>
      <c r="B3606" t="inlineStr">
        <is>
          <t>隔日到貨🔥 充電線保護線套 卡通線套 保護線套 咬線器 線套 防止斷裂 矽膠 iPhone</t>
        </is>
      </c>
      <c r="C3606">
        <f>IMAGE("https://cf.shopee.tw/file/tw-11134207-7qul3-lghn4ssccbhm7c_tn")</f>
        <v/>
      </c>
      <c r="D3606" t="inlineStr">
        <is>
          <t>37. 蝴蝶香水瓶</t>
        </is>
      </c>
      <c r="E3606" t="inlineStr">
        <is>
          <t>138612418711</t>
        </is>
      </c>
      <c r="F3606">
        <f>IMAGE("https://cf.shopee.tw/file/tw-11134207-7qul0-lghof2sidv6y14_tn")</f>
        <v/>
      </c>
    </row>
    <row r="3607">
      <c r="A3607" t="inlineStr">
        <is>
          <t>12599437882</t>
        </is>
      </c>
      <c r="B3607" t="inlineStr">
        <is>
          <t>隔日到貨🔥 充電線保護線套 卡通線套 保護線套 咬線器 線套 防止斷裂 矽膠 iPhone</t>
        </is>
      </c>
      <c r="C3607">
        <f>IMAGE("https://cf.shopee.tw/file/tw-11134207-7qul3-lghn4ssccbhm7c_tn")</f>
        <v/>
      </c>
      <c r="D3607" t="inlineStr">
        <is>
          <t>38. 黑色瓶子</t>
        </is>
      </c>
      <c r="E3607" t="inlineStr">
        <is>
          <t>138612418712</t>
        </is>
      </c>
      <c r="F3607">
        <f>IMAGE("https://cf.shopee.tw/file/tw-11134207-7qula-lghof2sif9re26_tn")</f>
        <v/>
      </c>
    </row>
    <row r="3608">
      <c r="A3608" t="inlineStr">
        <is>
          <t>12599437882</t>
        </is>
      </c>
      <c r="B3608" t="inlineStr">
        <is>
          <t>隔日到貨🔥 充電線保護線套 卡通線套 保護線套 咬線器 線套 防止斷裂 矽膠 iPhone</t>
        </is>
      </c>
      <c r="C3608">
        <f>IMAGE("https://cf.shopee.tw/file/tw-11134207-7qul3-lghn4ssccbhm7c_tn")</f>
        <v/>
      </c>
      <c r="D3608" t="inlineStr">
        <is>
          <t>42. 帶葉桃子</t>
        </is>
      </c>
      <c r="E3608" t="inlineStr"/>
      <c r="F3608">
        <f>IMAGE("https://cf.shopee.tw/file/tw-11134207-7qul0-lghofhxg8eui73_tn")</f>
        <v/>
      </c>
    </row>
    <row r="3609">
      <c r="A3609" t="inlineStr">
        <is>
          <t>12599437882</t>
        </is>
      </c>
      <c r="B3609" t="inlineStr">
        <is>
          <t>隔日到貨🔥 充電線保護線套 卡通線套 保護線套 咬線器 線套 防止斷裂 矽膠 iPhone</t>
        </is>
      </c>
      <c r="C3609">
        <f>IMAGE("https://cf.shopee.tw/file/tw-11134207-7qul3-lghn4ssccbhm7c_tn")</f>
        <v/>
      </c>
      <c r="D3609" t="inlineStr">
        <is>
          <t>43. 胖墩企鵝</t>
        </is>
      </c>
      <c r="E3609" t="inlineStr"/>
      <c r="F3609">
        <f>IMAGE("https://cf.shopee.tw/file/tw-11134207-7qul9-lghofqq1d4iy79_tn")</f>
        <v/>
      </c>
    </row>
    <row r="3610">
      <c r="A3610" t="inlineStr">
        <is>
          <t>12599437882</t>
        </is>
      </c>
      <c r="B3610" t="inlineStr">
        <is>
          <t>隔日到貨🔥 充電線保護線套 卡通線套 保護線套 咬線器 線套 防止斷裂 矽膠 iPhone</t>
        </is>
      </c>
      <c r="C3610">
        <f>IMAGE("https://cf.shopee.tw/file/tw-11134207-7qul3-lghn4ssccbhm7c_tn")</f>
        <v/>
      </c>
      <c r="D3610" t="inlineStr">
        <is>
          <t>44. 粉愛心耳機猴 黑</t>
        </is>
      </c>
      <c r="E3610" t="inlineStr"/>
      <c r="F3610">
        <f>IMAGE("https://cf.shopee.tw/file/tw-11134207-7qul3-lghofyitwt9m35_tn")</f>
        <v/>
      </c>
    </row>
    <row r="3611">
      <c r="A3611" t="inlineStr">
        <is>
          <t>12599437882</t>
        </is>
      </c>
      <c r="B3611" t="inlineStr">
        <is>
          <t>隔日到貨🔥 充電線保護線套 卡通線套 保護線套 咬線器 線套 防止斷裂 矽膠 iPhone</t>
        </is>
      </c>
      <c r="C3611">
        <f>IMAGE("https://cf.shopee.tw/file/tw-11134207-7qul3-lghn4ssccbhm7c_tn")</f>
        <v/>
      </c>
      <c r="D3611" t="inlineStr">
        <is>
          <t>46. 紅色宇航員</t>
        </is>
      </c>
      <c r="E3611" t="inlineStr">
        <is>
          <t>138612418719</t>
        </is>
      </c>
      <c r="F3611">
        <f>IMAGE("https://cf.shopee.tw/file/tw-11134207-7qul3-lghog4cldukh45_tn")</f>
        <v/>
      </c>
    </row>
    <row r="3612">
      <c r="A3612" t="inlineStr">
        <is>
          <t>12599437882</t>
        </is>
      </c>
      <c r="B3612" t="inlineStr">
        <is>
          <t>隔日到貨🔥 充電線保護線套 卡通線套 保護線套 咬線器 線套 防止斷裂 矽膠 iPhone</t>
        </is>
      </c>
      <c r="C3612">
        <f>IMAGE("https://cf.shopee.tw/file/tw-11134207-7qul3-lghn4ssccbhm7c_tn")</f>
        <v/>
      </c>
      <c r="D3612" t="inlineStr">
        <is>
          <t>47. 紅愛心耳機猴 紫</t>
        </is>
      </c>
      <c r="E3612" t="inlineStr"/>
      <c r="F3612">
        <f>IMAGE("https://cf.shopee.tw/file/tw-11134207-7qul7-lghog4clf94xa8_tn")</f>
        <v/>
      </c>
    </row>
    <row r="3613">
      <c r="A3613" t="inlineStr">
        <is>
          <t>23531347631</t>
        </is>
      </c>
      <c r="B3613" t="inlineStr">
        <is>
          <t>隔日到貨🔥 iPhone 手機殼 15 14 13 12 11 XS XR SE 7 8 保護殼 軟殼 手機殼 蘋果</t>
        </is>
      </c>
      <c r="C3613">
        <f>IMAGE("https://cf.shopee.tw/file/tw-11134207-23030-vughskp48jov29_tn")</f>
        <v/>
      </c>
      <c r="D3613" t="inlineStr">
        <is>
          <t>花身蝴蝶,7 / 8 / SE2 / SE3</t>
        </is>
      </c>
      <c r="E3613" t="inlineStr"/>
      <c r="F3613">
        <f>IMAGE("https://cf.shopee.tw/file/tw-11134207-23030-a6zb18458jov51_tn")</f>
        <v/>
      </c>
    </row>
    <row r="3614">
      <c r="A3614" t="inlineStr">
        <is>
          <t>23531347631</t>
        </is>
      </c>
      <c r="B3614" t="inlineStr">
        <is>
          <t>隔日到貨🔥 iPhone 手機殼 15 14 13 12 11 XS XR SE 7 8 保護殼 軟殼 手機殼 蘋果</t>
        </is>
      </c>
      <c r="C3614">
        <f>IMAGE("https://cf.shopee.tw/file/tw-11134207-23030-vughskp48jov29_tn")</f>
        <v/>
      </c>
      <c r="D3614" t="inlineStr">
        <is>
          <t>花身蝴蝶,X / XS</t>
        </is>
      </c>
      <c r="E3614" t="inlineStr"/>
      <c r="F3614">
        <f>IMAGE("https://cf.shopee.tw/file/tw-11134207-23030-a6zb18458jov51_tn")</f>
        <v/>
      </c>
    </row>
    <row r="3615">
      <c r="A3615" t="inlineStr">
        <is>
          <t>23531347631</t>
        </is>
      </c>
      <c r="B3615" t="inlineStr">
        <is>
          <t>隔日到貨🔥 iPhone 手機殼 15 14 13 12 11 XS XR SE 7 8 保護殼 軟殼 手機殼 蘋果</t>
        </is>
      </c>
      <c r="C3615">
        <f>IMAGE("https://cf.shopee.tw/file/tw-11134207-23030-vughskp48jov29_tn")</f>
        <v/>
      </c>
      <c r="D3615" t="inlineStr">
        <is>
          <t>花身蝴蝶,XR</t>
        </is>
      </c>
      <c r="E3615" t="inlineStr"/>
      <c r="F3615">
        <f>IMAGE("https://cf.shopee.tw/file/tw-11134207-23030-a6zb18458jov51_tn")</f>
        <v/>
      </c>
    </row>
    <row r="3616">
      <c r="A3616" t="inlineStr">
        <is>
          <t>23531347631</t>
        </is>
      </c>
      <c r="B3616" t="inlineStr">
        <is>
          <t>隔日到貨🔥 iPhone 手機殼 15 14 13 12 11 XS XR SE 7 8 保護殼 軟殼 手機殼 蘋果</t>
        </is>
      </c>
      <c r="C3616">
        <f>IMAGE("https://cf.shopee.tw/file/tw-11134207-23030-vughskp48jov29_tn")</f>
        <v/>
      </c>
      <c r="D3616" t="inlineStr">
        <is>
          <t>花身蝴蝶,11</t>
        </is>
      </c>
      <c r="E3616" t="inlineStr"/>
      <c r="F3616">
        <f>IMAGE("https://cf.shopee.tw/file/tw-11134207-23030-a6zb18458jov51_tn")</f>
        <v/>
      </c>
    </row>
    <row r="3617">
      <c r="A3617" t="inlineStr">
        <is>
          <t>23531347631</t>
        </is>
      </c>
      <c r="B3617" t="inlineStr">
        <is>
          <t>隔日到貨🔥 iPhone 手機殼 15 14 13 12 11 XS XR SE 7 8 保護殼 軟殼 手機殼 蘋果</t>
        </is>
      </c>
      <c r="C3617">
        <f>IMAGE("https://cf.shopee.tw/file/tw-11134207-23030-vughskp48jov29_tn")</f>
        <v/>
      </c>
      <c r="D3617" t="inlineStr">
        <is>
          <t>花身蝴蝶,11 pro</t>
        </is>
      </c>
      <c r="E3617" t="inlineStr"/>
      <c r="F3617">
        <f>IMAGE("https://cf.shopee.tw/file/tw-11134207-23030-a6zb18458jov51_tn")</f>
        <v/>
      </c>
    </row>
    <row r="3618">
      <c r="A3618" t="inlineStr">
        <is>
          <t>23531347631</t>
        </is>
      </c>
      <c r="B3618" t="inlineStr">
        <is>
          <t>隔日到貨🔥 iPhone 手機殼 15 14 13 12 11 XS XR SE 7 8 保護殼 軟殼 手機殼 蘋果</t>
        </is>
      </c>
      <c r="C3618">
        <f>IMAGE("https://cf.shopee.tw/file/tw-11134207-23030-vughskp48jov29_tn")</f>
        <v/>
      </c>
      <c r="D3618" t="inlineStr">
        <is>
          <t>花身蝴蝶,11 pro Max</t>
        </is>
      </c>
      <c r="E3618" t="inlineStr"/>
      <c r="F3618">
        <f>IMAGE("https://cf.shopee.tw/file/tw-11134207-23030-a6zb18458jov51_tn")</f>
        <v/>
      </c>
    </row>
    <row r="3619">
      <c r="A3619" t="inlineStr">
        <is>
          <t>23531347631</t>
        </is>
      </c>
      <c r="B3619" t="inlineStr">
        <is>
          <t>隔日到貨🔥 iPhone 手機殼 15 14 13 12 11 XS XR SE 7 8 保護殼 軟殼 手機殼 蘋果</t>
        </is>
      </c>
      <c r="C3619">
        <f>IMAGE("https://cf.shopee.tw/file/tw-11134207-23030-vughskp48jov29_tn")</f>
        <v/>
      </c>
      <c r="D3619" t="inlineStr">
        <is>
          <t>花身蝴蝶,13 mini</t>
        </is>
      </c>
      <c r="E3619" t="inlineStr"/>
      <c r="F3619">
        <f>IMAGE("https://cf.shopee.tw/file/tw-11134207-23030-a6zb18458jov51_tn")</f>
        <v/>
      </c>
    </row>
    <row r="3620">
      <c r="A3620" t="inlineStr">
        <is>
          <t>23531347631</t>
        </is>
      </c>
      <c r="B3620" t="inlineStr">
        <is>
          <t>隔日到貨🔥 iPhone 手機殼 15 14 13 12 11 XS XR SE 7 8 保護殼 軟殼 手機殼 蘋果</t>
        </is>
      </c>
      <c r="C3620">
        <f>IMAGE("https://cf.shopee.tw/file/tw-11134207-23030-vughskp48jov29_tn")</f>
        <v/>
      </c>
      <c r="D3620" t="inlineStr">
        <is>
          <t>花身蝴蝶,14 Plus</t>
        </is>
      </c>
      <c r="E3620" t="inlineStr">
        <is>
          <t>221270678509</t>
        </is>
      </c>
      <c r="F3620">
        <f>IMAGE("https://cf.shopee.tw/file/tw-11134207-23030-a6zb18458jov51_tn")</f>
        <v/>
      </c>
    </row>
    <row r="3621">
      <c r="A3621" t="inlineStr">
        <is>
          <t>23531347631</t>
        </is>
      </c>
      <c r="B3621" t="inlineStr">
        <is>
          <t>隔日到貨🔥 iPhone 手機殼 15 14 13 12 11 XS XR SE 7 8 保護殼 軟殼 手機殼 蘋果</t>
        </is>
      </c>
      <c r="C3621">
        <f>IMAGE("https://cf.shopee.tw/file/tw-11134207-23030-vughskp48jov29_tn")</f>
        <v/>
      </c>
      <c r="D3621" t="inlineStr">
        <is>
          <t>花身蝴蝶,15 Plus</t>
        </is>
      </c>
      <c r="E3621" t="inlineStr"/>
      <c r="F3621">
        <f>IMAGE("https://cf.shopee.tw/file/tw-11134207-23030-a6zb18458jov51_tn")</f>
        <v/>
      </c>
    </row>
    <row r="3622">
      <c r="A3622" t="inlineStr">
        <is>
          <t>23531347631</t>
        </is>
      </c>
      <c r="B3622" t="inlineStr">
        <is>
          <t>隔日到貨🔥 iPhone 手機殼 15 14 13 12 11 XS XR SE 7 8 保護殼 軟殼 手機殼 蘋果</t>
        </is>
      </c>
      <c r="C3622">
        <f>IMAGE("https://cf.shopee.tw/file/tw-11134207-23030-vughskp48jov29_tn")</f>
        <v/>
      </c>
      <c r="D3622" t="inlineStr">
        <is>
          <t>花身蝴蝶,15 pro</t>
        </is>
      </c>
      <c r="E3622" t="inlineStr"/>
      <c r="F3622">
        <f>IMAGE("https://cf.shopee.tw/file/tw-11134207-23030-a6zb18458jov51_tn")</f>
        <v/>
      </c>
    </row>
    <row r="3623">
      <c r="A3623" t="inlineStr">
        <is>
          <t>23531347631</t>
        </is>
      </c>
      <c r="B3623" t="inlineStr">
        <is>
          <t>隔日到貨🔥 iPhone 手機殼 15 14 13 12 11 XS XR SE 7 8 保護殼 軟殼 手機殼 蘋果</t>
        </is>
      </c>
      <c r="C3623">
        <f>IMAGE("https://cf.shopee.tw/file/tw-11134207-23030-vughskp48jov29_tn")</f>
        <v/>
      </c>
      <c r="D3623" t="inlineStr">
        <is>
          <t>花身蝴蝶,7Plus / 8Plus</t>
        </is>
      </c>
      <c r="E3623" t="inlineStr"/>
      <c r="F3623">
        <f>IMAGE("https://cf.shopee.tw/file/tw-11134207-23030-a6zb18458jov51_tn")</f>
        <v/>
      </c>
    </row>
    <row r="3624">
      <c r="A3624" t="inlineStr">
        <is>
          <t>23531347631</t>
        </is>
      </c>
      <c r="B3624" t="inlineStr">
        <is>
          <t>隔日到貨🔥 iPhone 手機殼 15 14 13 12 11 XS XR SE 7 8 保護殼 軟殼 手機殼 蘋果</t>
        </is>
      </c>
      <c r="C3624">
        <f>IMAGE("https://cf.shopee.tw/file/tw-11134207-23030-vughskp48jov29_tn")</f>
        <v/>
      </c>
      <c r="D3624" t="inlineStr">
        <is>
          <t>花身蝴蝶,XS Max</t>
        </is>
      </c>
      <c r="E3624" t="inlineStr">
        <is>
          <t>221270678503</t>
        </is>
      </c>
      <c r="F3624">
        <f>IMAGE("https://cf.shopee.tw/file/tw-11134207-23030-a6zb18458jov51_tn")</f>
        <v/>
      </c>
    </row>
    <row r="3625">
      <c r="A3625" t="inlineStr">
        <is>
          <t>23531347631</t>
        </is>
      </c>
      <c r="B3625" t="inlineStr">
        <is>
          <t>隔日到貨🔥 iPhone 手機殼 15 14 13 12 11 XS XR SE 7 8 保護殼 軟殼 手機殼 蘋果</t>
        </is>
      </c>
      <c r="C3625">
        <f>IMAGE("https://cf.shopee.tw/file/tw-11134207-23030-vughskp48jov29_tn")</f>
        <v/>
      </c>
      <c r="D3625" t="inlineStr">
        <is>
          <t>花身蝴蝶,12</t>
        </is>
      </c>
      <c r="E3625" t="inlineStr">
        <is>
          <t>221270678505</t>
        </is>
      </c>
      <c r="F3625">
        <f>IMAGE("https://cf.shopee.tw/file/tw-11134207-23030-a6zb18458jov51_tn")</f>
        <v/>
      </c>
    </row>
    <row r="3626">
      <c r="A3626" t="inlineStr">
        <is>
          <t>23531347631</t>
        </is>
      </c>
      <c r="B3626" t="inlineStr">
        <is>
          <t>隔日到貨🔥 iPhone 手機殼 15 14 13 12 11 XS XR SE 7 8 保護殼 軟殼 手機殼 蘋果</t>
        </is>
      </c>
      <c r="C3626">
        <f>IMAGE("https://cf.shopee.tw/file/tw-11134207-23030-vughskp48jov29_tn")</f>
        <v/>
      </c>
      <c r="D3626" t="inlineStr">
        <is>
          <t>花身蝴蝶,12 pro</t>
        </is>
      </c>
      <c r="E3626" t="inlineStr">
        <is>
          <t>221270678506</t>
        </is>
      </c>
      <c r="F3626">
        <f>IMAGE("https://cf.shopee.tw/file/tw-11134207-23030-a6zb18458jov51_tn")</f>
        <v/>
      </c>
    </row>
    <row r="3627">
      <c r="A3627" t="inlineStr">
        <is>
          <t>23531347631</t>
        </is>
      </c>
      <c r="B3627" t="inlineStr">
        <is>
          <t>隔日到貨🔥 iPhone 手機殼 15 14 13 12 11 XS XR SE 7 8 保護殼 軟殼 手機殼 蘋果</t>
        </is>
      </c>
      <c r="C3627">
        <f>IMAGE("https://cf.shopee.tw/file/tw-11134207-23030-vughskp48jov29_tn")</f>
        <v/>
      </c>
      <c r="D3627" t="inlineStr">
        <is>
          <t>花身蝴蝶,12 pro Max</t>
        </is>
      </c>
      <c r="E3627" t="inlineStr">
        <is>
          <t>221270678500</t>
        </is>
      </c>
      <c r="F3627">
        <f>IMAGE("https://cf.shopee.tw/file/tw-11134207-23030-a6zb18458jov51_tn")</f>
        <v/>
      </c>
    </row>
    <row r="3628">
      <c r="A3628" t="inlineStr">
        <is>
          <t>23531347631</t>
        </is>
      </c>
      <c r="B3628" t="inlineStr">
        <is>
          <t>隔日到貨🔥 iPhone 手機殼 15 14 13 12 11 XS XR SE 7 8 保護殼 軟殼 手機殼 蘋果</t>
        </is>
      </c>
      <c r="C3628">
        <f>IMAGE("https://cf.shopee.tw/file/tw-11134207-23030-vughskp48jov29_tn")</f>
        <v/>
      </c>
      <c r="D3628" t="inlineStr">
        <is>
          <t>花身蝴蝶,13</t>
        </is>
      </c>
      <c r="E3628" t="inlineStr"/>
      <c r="F3628">
        <f>IMAGE("https://cf.shopee.tw/file/tw-11134207-23030-a6zb18458jov51_tn")</f>
        <v/>
      </c>
    </row>
    <row r="3629">
      <c r="A3629" t="inlineStr">
        <is>
          <t>23531347631</t>
        </is>
      </c>
      <c r="B3629" t="inlineStr">
        <is>
          <t>隔日到貨🔥 iPhone 手機殼 15 14 13 12 11 XS XR SE 7 8 保護殼 軟殼 手機殼 蘋果</t>
        </is>
      </c>
      <c r="C3629">
        <f>IMAGE("https://cf.shopee.tw/file/tw-11134207-23030-vughskp48jov29_tn")</f>
        <v/>
      </c>
      <c r="D3629" t="inlineStr">
        <is>
          <t>花身蝴蝶,13 pro</t>
        </is>
      </c>
      <c r="E3629" t="inlineStr">
        <is>
          <t>221270678501</t>
        </is>
      </c>
      <c r="F3629">
        <f>IMAGE("https://cf.shopee.tw/file/tw-11134207-23030-a6zb18458jov51_tn")</f>
        <v/>
      </c>
    </row>
    <row r="3630">
      <c r="A3630" t="inlineStr">
        <is>
          <t>23531347631</t>
        </is>
      </c>
      <c r="B3630" t="inlineStr">
        <is>
          <t>隔日到貨🔥 iPhone 手機殼 15 14 13 12 11 XS XR SE 7 8 保護殼 軟殼 手機殼 蘋果</t>
        </is>
      </c>
      <c r="C3630">
        <f>IMAGE("https://cf.shopee.tw/file/tw-11134207-23030-vughskp48jov29_tn")</f>
        <v/>
      </c>
      <c r="D3630" t="inlineStr">
        <is>
          <t>花身蝴蝶,13 pro Max</t>
        </is>
      </c>
      <c r="E3630" t="inlineStr">
        <is>
          <t>221270678508</t>
        </is>
      </c>
      <c r="F3630">
        <f>IMAGE("https://cf.shopee.tw/file/tw-11134207-23030-a6zb18458jov51_tn")</f>
        <v/>
      </c>
    </row>
    <row r="3631">
      <c r="A3631" t="inlineStr">
        <is>
          <t>23531347631</t>
        </is>
      </c>
      <c r="B3631" t="inlineStr">
        <is>
          <t>隔日到貨🔥 iPhone 手機殼 15 14 13 12 11 XS XR SE 7 8 保護殼 軟殼 手機殼 蘋果</t>
        </is>
      </c>
      <c r="C3631">
        <f>IMAGE("https://cf.shopee.tw/file/tw-11134207-23030-vughskp48jov29_tn")</f>
        <v/>
      </c>
      <c r="D3631" t="inlineStr">
        <is>
          <t>花身蝴蝶,14</t>
        </is>
      </c>
      <c r="E3631" t="inlineStr">
        <is>
          <t>221270678511</t>
        </is>
      </c>
      <c r="F3631">
        <f>IMAGE("https://cf.shopee.tw/file/tw-11134207-23030-a6zb18458jov51_tn")</f>
        <v/>
      </c>
    </row>
    <row r="3632">
      <c r="A3632" t="inlineStr">
        <is>
          <t>23531347631</t>
        </is>
      </c>
      <c r="B3632" t="inlineStr">
        <is>
          <t>隔日到貨🔥 iPhone 手機殼 15 14 13 12 11 XS XR SE 7 8 保護殼 軟殼 手機殼 蘋果</t>
        </is>
      </c>
      <c r="C3632">
        <f>IMAGE("https://cf.shopee.tw/file/tw-11134207-23030-vughskp48jov29_tn")</f>
        <v/>
      </c>
      <c r="D3632" t="inlineStr">
        <is>
          <t>花身蝴蝶,14 pro</t>
        </is>
      </c>
      <c r="E3632" t="inlineStr">
        <is>
          <t>221270678512</t>
        </is>
      </c>
      <c r="F3632">
        <f>IMAGE("https://cf.shopee.tw/file/tw-11134207-23030-a6zb18458jov51_tn")</f>
        <v/>
      </c>
    </row>
    <row r="3633">
      <c r="A3633" t="inlineStr">
        <is>
          <t>23531347631</t>
        </is>
      </c>
      <c r="B3633" t="inlineStr">
        <is>
          <t>隔日到貨🔥 iPhone 手機殼 15 14 13 12 11 XS XR SE 7 8 保護殼 軟殼 手機殼 蘋果</t>
        </is>
      </c>
      <c r="C3633">
        <f>IMAGE("https://cf.shopee.tw/file/tw-11134207-23030-vughskp48jov29_tn")</f>
        <v/>
      </c>
      <c r="D3633" t="inlineStr">
        <is>
          <t>花身蝴蝶,14 pro Max</t>
        </is>
      </c>
      <c r="E3633" t="inlineStr"/>
      <c r="F3633">
        <f>IMAGE("https://cf.shopee.tw/file/tw-11134207-23030-a6zb18458jov51_tn")</f>
        <v/>
      </c>
    </row>
    <row r="3634">
      <c r="A3634" t="inlineStr">
        <is>
          <t>23531347631</t>
        </is>
      </c>
      <c r="B3634" t="inlineStr">
        <is>
          <t>隔日到貨🔥 iPhone 手機殼 15 14 13 12 11 XS XR SE 7 8 保護殼 軟殼 手機殼 蘋果</t>
        </is>
      </c>
      <c r="C3634">
        <f>IMAGE("https://cf.shopee.tw/file/tw-11134207-23030-vughskp48jov29_tn")</f>
        <v/>
      </c>
      <c r="D3634" t="inlineStr">
        <is>
          <t>花身蝴蝶,15</t>
        </is>
      </c>
      <c r="E3634" t="inlineStr">
        <is>
          <t>167864389600</t>
        </is>
      </c>
      <c r="F3634">
        <f>IMAGE("https://cf.shopee.tw/file/tw-11134207-23030-a6zb18458jov51_tn")</f>
        <v/>
      </c>
    </row>
    <row r="3635">
      <c r="A3635" t="inlineStr">
        <is>
          <t>23531347631</t>
        </is>
      </c>
      <c r="B3635" t="inlineStr">
        <is>
          <t>隔日到貨🔥 iPhone 手機殼 15 14 13 12 11 XS XR SE 7 8 保護殼 軟殼 手機殼 蘋果</t>
        </is>
      </c>
      <c r="C3635">
        <f>IMAGE("https://cf.shopee.tw/file/tw-11134207-23030-vughskp48jov29_tn")</f>
        <v/>
      </c>
      <c r="D3635" t="inlineStr">
        <is>
          <t>花身蝴蝶,15 pro Max</t>
        </is>
      </c>
      <c r="E3635" t="inlineStr">
        <is>
          <t>167864389601</t>
        </is>
      </c>
      <c r="F3635">
        <f>IMAGE("https://cf.shopee.tw/file/tw-11134207-23030-a6zb18458jov51_tn")</f>
        <v/>
      </c>
    </row>
    <row r="3636">
      <c r="A3636" t="inlineStr">
        <is>
          <t>23531347631</t>
        </is>
      </c>
      <c r="B3636" t="inlineStr">
        <is>
          <t>隔日到貨🔥 iPhone 手機殼 15 14 13 12 11 XS XR SE 7 8 保護殼 軟殼 手機殼 蘋果</t>
        </is>
      </c>
      <c r="C3636">
        <f>IMAGE("https://cf.shopee.tw/file/tw-11134207-23030-vughskp48jov29_tn")</f>
        <v/>
      </c>
      <c r="D3636" t="inlineStr">
        <is>
          <t>花身蝴蝶,16</t>
        </is>
      </c>
      <c r="E3636" t="inlineStr">
        <is>
          <t>252555596017</t>
        </is>
      </c>
      <c r="F3636">
        <f>IMAGE("https://cf.shopee.tw/file/tw-11134207-23030-a6zb18458jov51_tn")</f>
        <v/>
      </c>
    </row>
    <row r="3637">
      <c r="A3637" t="inlineStr">
        <is>
          <t>23531347631</t>
        </is>
      </c>
      <c r="B3637" t="inlineStr">
        <is>
          <t>隔日到貨🔥 iPhone 手機殼 15 14 13 12 11 XS XR SE 7 8 保護殼 軟殼 手機殼 蘋果</t>
        </is>
      </c>
      <c r="C3637">
        <f>IMAGE("https://cf.shopee.tw/file/tw-11134207-23030-vughskp48jov29_tn")</f>
        <v/>
      </c>
      <c r="D3637" t="inlineStr">
        <is>
          <t>花身蝴蝶,16 plus</t>
        </is>
      </c>
      <c r="E3637" t="inlineStr">
        <is>
          <t>252555596018</t>
        </is>
      </c>
      <c r="F3637">
        <f>IMAGE("https://cf.shopee.tw/file/tw-11134207-23030-a6zb18458jov51_tn")</f>
        <v/>
      </c>
    </row>
    <row r="3638">
      <c r="A3638" t="inlineStr">
        <is>
          <t>23531347631</t>
        </is>
      </c>
      <c r="B3638" t="inlineStr">
        <is>
          <t>隔日到貨🔥 iPhone 手機殼 15 14 13 12 11 XS XR SE 7 8 保護殼 軟殼 手機殼 蘋果</t>
        </is>
      </c>
      <c r="C3638">
        <f>IMAGE("https://cf.shopee.tw/file/tw-11134207-23030-vughskp48jov29_tn")</f>
        <v/>
      </c>
      <c r="D3638" t="inlineStr">
        <is>
          <t>花身蝴蝶,16 pro</t>
        </is>
      </c>
      <c r="E3638" t="inlineStr">
        <is>
          <t>252555596019</t>
        </is>
      </c>
      <c r="F3638">
        <f>IMAGE("https://cf.shopee.tw/file/tw-11134207-23030-a6zb18458jov51_tn")</f>
        <v/>
      </c>
    </row>
    <row r="3639">
      <c r="A3639" t="inlineStr">
        <is>
          <t>23531347631</t>
        </is>
      </c>
      <c r="B3639" t="inlineStr">
        <is>
          <t>隔日到貨🔥 iPhone 手機殼 15 14 13 12 11 XS XR SE 7 8 保護殼 軟殼 手機殼 蘋果</t>
        </is>
      </c>
      <c r="C3639">
        <f>IMAGE("https://cf.shopee.tw/file/tw-11134207-23030-vughskp48jov29_tn")</f>
        <v/>
      </c>
      <c r="D3639" t="inlineStr">
        <is>
          <t>花身蝴蝶,16 pro max</t>
        </is>
      </c>
      <c r="E3639" t="inlineStr">
        <is>
          <t>252555596020</t>
        </is>
      </c>
      <c r="F3639">
        <f>IMAGE("https://cf.shopee.tw/file/tw-11134207-23030-a6zb18458jov51_tn")</f>
        <v/>
      </c>
    </row>
    <row r="3640">
      <c r="A3640" t="inlineStr">
        <is>
          <t>26791512677</t>
        </is>
      </c>
      <c r="B3640" t="inlineStr">
        <is>
          <t>隔日到貨🔥 iPhone 手機殼 17 16 15 14 pro 13 12 11 保護殼 軟殼 蘋果</t>
        </is>
      </c>
      <c r="C3640">
        <f>IMAGE("https://cf.shopee.tw/file/tw-11134207-81zti-memxgo92olc697_tn")</f>
        <v/>
      </c>
      <c r="D3640" t="inlineStr">
        <is>
          <t>奶油黃 喵熊麵包頭,11</t>
        </is>
      </c>
      <c r="E3640" t="inlineStr">
        <is>
          <t>286552619590</t>
        </is>
      </c>
      <c r="F3640">
        <f>IMAGE("https://cf.shopee.tw/file/tw-11134207-81zte-memxq8d6z0n9c2_tn")</f>
        <v/>
      </c>
    </row>
    <row r="3641">
      <c r="A3641" t="inlineStr">
        <is>
          <t>26791512677</t>
        </is>
      </c>
      <c r="B3641" t="inlineStr">
        <is>
          <t>隔日到貨🔥 iPhone 手機殼 17 16 15 14 pro 13 12 11 保護殼 軟殼 蘋果</t>
        </is>
      </c>
      <c r="C3641">
        <f>IMAGE("https://cf.shopee.tw/file/tw-11134207-81zti-memxgo92olc697_tn")</f>
        <v/>
      </c>
      <c r="D3641" t="inlineStr">
        <is>
          <t>奶油黃 喵熊麵包頭,12 / 12 pro</t>
        </is>
      </c>
      <c r="E3641" t="inlineStr">
        <is>
          <t>286552619591</t>
        </is>
      </c>
      <c r="F3641">
        <f>IMAGE("https://cf.shopee.tw/file/tw-11134207-81zte-memxq8d6z0n9c2_tn")</f>
        <v/>
      </c>
    </row>
    <row r="3642">
      <c r="A3642" t="inlineStr">
        <is>
          <t>26791512677</t>
        </is>
      </c>
      <c r="B3642" t="inlineStr">
        <is>
          <t>隔日到貨🔥 iPhone 手機殼 17 16 15 14 pro 13 12 11 保護殼 軟殼 蘋果</t>
        </is>
      </c>
      <c r="C3642">
        <f>IMAGE("https://cf.shopee.tw/file/tw-11134207-81zti-memxgo92olc697_tn")</f>
        <v/>
      </c>
      <c r="D3642" t="inlineStr">
        <is>
          <t>奶油黃 喵熊麵包頭,12 pro Max</t>
        </is>
      </c>
      <c r="E3642" t="inlineStr">
        <is>
          <t>286552619592</t>
        </is>
      </c>
      <c r="F3642">
        <f>IMAGE("https://cf.shopee.tw/file/tw-11134207-81zte-memxq8d6z0n9c2_tn")</f>
        <v/>
      </c>
    </row>
    <row r="3643">
      <c r="A3643" t="inlineStr">
        <is>
          <t>26791512677</t>
        </is>
      </c>
      <c r="B3643" t="inlineStr">
        <is>
          <t>隔日到貨🔥 iPhone 手機殼 17 16 15 14 pro 13 12 11 保護殼 軟殼 蘋果</t>
        </is>
      </c>
      <c r="C3643">
        <f>IMAGE("https://cf.shopee.tw/file/tw-11134207-81zti-memxgo92olc697_tn")</f>
        <v/>
      </c>
      <c r="D3643" t="inlineStr">
        <is>
          <t>奶油黃 喵熊麵包頭,13</t>
        </is>
      </c>
      <c r="E3643" t="inlineStr">
        <is>
          <t>286552619593</t>
        </is>
      </c>
      <c r="F3643">
        <f>IMAGE("https://cf.shopee.tw/file/tw-11134207-81zte-memxq8d6z0n9c2_tn")</f>
        <v/>
      </c>
    </row>
    <row r="3644">
      <c r="A3644" t="inlineStr">
        <is>
          <t>26791512677</t>
        </is>
      </c>
      <c r="B3644" t="inlineStr">
        <is>
          <t>隔日到貨🔥 iPhone 手機殼 17 16 15 14 pro 13 12 11 保護殼 軟殼 蘋果</t>
        </is>
      </c>
      <c r="C3644">
        <f>IMAGE("https://cf.shopee.tw/file/tw-11134207-81zti-memxgo92olc697_tn")</f>
        <v/>
      </c>
      <c r="D3644" t="inlineStr">
        <is>
          <t>奶油黃 喵熊麵包頭,13 pro</t>
        </is>
      </c>
      <c r="E3644" t="inlineStr">
        <is>
          <t>286552619594</t>
        </is>
      </c>
      <c r="F3644">
        <f>IMAGE("https://cf.shopee.tw/file/tw-11134207-81zte-memxq8d6z0n9c2_tn")</f>
        <v/>
      </c>
    </row>
    <row r="3645">
      <c r="A3645" t="inlineStr">
        <is>
          <t>26791512677</t>
        </is>
      </c>
      <c r="B3645" t="inlineStr">
        <is>
          <t>隔日到貨🔥 iPhone 手機殼 17 16 15 14 pro 13 12 11 保護殼 軟殼 蘋果</t>
        </is>
      </c>
      <c r="C3645">
        <f>IMAGE("https://cf.shopee.tw/file/tw-11134207-81zti-memxgo92olc697_tn")</f>
        <v/>
      </c>
      <c r="D3645" t="inlineStr">
        <is>
          <t>奶油黃 喵熊麵包頭,13 pro Max</t>
        </is>
      </c>
      <c r="E3645" t="inlineStr">
        <is>
          <t>286552619595</t>
        </is>
      </c>
      <c r="F3645">
        <f>IMAGE("https://cf.shopee.tw/file/tw-11134207-81zte-memxq8d6z0n9c2_tn")</f>
        <v/>
      </c>
    </row>
    <row r="3646">
      <c r="A3646" t="inlineStr">
        <is>
          <t>26791512677</t>
        </is>
      </c>
      <c r="B3646" t="inlineStr">
        <is>
          <t>隔日到貨🔥 iPhone 手機殼 17 16 15 14 pro 13 12 11 保護殼 軟殼 蘋果</t>
        </is>
      </c>
      <c r="C3646">
        <f>IMAGE("https://cf.shopee.tw/file/tw-11134207-81zti-memxgo92olc697_tn")</f>
        <v/>
      </c>
      <c r="D3646" t="inlineStr">
        <is>
          <t>奶油黃 喵熊麵包頭,14</t>
        </is>
      </c>
      <c r="E3646" t="inlineStr">
        <is>
          <t>286552619596</t>
        </is>
      </c>
      <c r="F3646">
        <f>IMAGE("https://cf.shopee.tw/file/tw-11134207-81zte-memxq8d6z0n9c2_tn")</f>
        <v/>
      </c>
    </row>
    <row r="3647">
      <c r="A3647" t="inlineStr">
        <is>
          <t>26791512677</t>
        </is>
      </c>
      <c r="B3647" t="inlineStr">
        <is>
          <t>隔日到貨🔥 iPhone 手機殼 17 16 15 14 pro 13 12 11 保護殼 軟殼 蘋果</t>
        </is>
      </c>
      <c r="C3647">
        <f>IMAGE("https://cf.shopee.tw/file/tw-11134207-81zti-memxgo92olc697_tn")</f>
        <v/>
      </c>
      <c r="D3647" t="inlineStr">
        <is>
          <t>奶油黃 喵熊麵包頭,14 pro</t>
        </is>
      </c>
      <c r="E3647" t="inlineStr">
        <is>
          <t>286552619597</t>
        </is>
      </c>
      <c r="F3647">
        <f>IMAGE("https://cf.shopee.tw/file/tw-11134207-81zte-memxq8d6z0n9c2_tn")</f>
        <v/>
      </c>
    </row>
    <row r="3648">
      <c r="A3648" t="inlineStr">
        <is>
          <t>26791512677</t>
        </is>
      </c>
      <c r="B3648" t="inlineStr">
        <is>
          <t>隔日到貨🔥 iPhone 手機殼 17 16 15 14 pro 13 12 11 保護殼 軟殼 蘋果</t>
        </is>
      </c>
      <c r="C3648">
        <f>IMAGE("https://cf.shopee.tw/file/tw-11134207-81zti-memxgo92olc697_tn")</f>
        <v/>
      </c>
      <c r="D3648" t="inlineStr">
        <is>
          <t>奶油黃 喵熊麵包頭,14 pro Max</t>
        </is>
      </c>
      <c r="E3648" t="inlineStr">
        <is>
          <t>286552619598</t>
        </is>
      </c>
      <c r="F3648">
        <f>IMAGE("https://cf.shopee.tw/file/tw-11134207-81zte-memxq8d6z0n9c2_tn")</f>
        <v/>
      </c>
    </row>
    <row r="3649">
      <c r="A3649" t="inlineStr">
        <is>
          <t>26791512677</t>
        </is>
      </c>
      <c r="B3649" t="inlineStr">
        <is>
          <t>隔日到貨🔥 iPhone 手機殼 17 16 15 14 pro 13 12 11 保護殼 軟殼 蘋果</t>
        </is>
      </c>
      <c r="C3649">
        <f>IMAGE("https://cf.shopee.tw/file/tw-11134207-81zti-memxgo92olc697_tn")</f>
        <v/>
      </c>
      <c r="D3649" t="inlineStr">
        <is>
          <t>奶油黃 喵熊麵包頭,15</t>
        </is>
      </c>
      <c r="E3649" t="inlineStr">
        <is>
          <t>286552619599</t>
        </is>
      </c>
      <c r="F3649">
        <f>IMAGE("https://cf.shopee.tw/file/tw-11134207-81zte-memxq8d6z0n9c2_tn")</f>
        <v/>
      </c>
    </row>
    <row r="3650">
      <c r="A3650" t="inlineStr">
        <is>
          <t>26791512677</t>
        </is>
      </c>
      <c r="B3650" t="inlineStr">
        <is>
          <t>隔日到貨🔥 iPhone 手機殼 17 16 15 14 pro 13 12 11 保護殼 軟殼 蘋果</t>
        </is>
      </c>
      <c r="C3650">
        <f>IMAGE("https://cf.shopee.tw/file/tw-11134207-81zti-memxgo92olc697_tn")</f>
        <v/>
      </c>
      <c r="D3650" t="inlineStr">
        <is>
          <t>奶油黃 喵熊麵包頭,15 pro</t>
        </is>
      </c>
      <c r="E3650" t="inlineStr">
        <is>
          <t>286552619600</t>
        </is>
      </c>
      <c r="F3650">
        <f>IMAGE("https://cf.shopee.tw/file/tw-11134207-81zte-memxq8d6z0n9c2_tn")</f>
        <v/>
      </c>
    </row>
    <row r="3651">
      <c r="A3651" t="inlineStr">
        <is>
          <t>26791512677</t>
        </is>
      </c>
      <c r="B3651" t="inlineStr">
        <is>
          <t>隔日到貨🔥 iPhone 手機殼 17 16 15 14 pro 13 12 11 保護殼 軟殼 蘋果</t>
        </is>
      </c>
      <c r="C3651">
        <f>IMAGE("https://cf.shopee.tw/file/tw-11134207-81zti-memxgo92olc697_tn")</f>
        <v/>
      </c>
      <c r="D3651" t="inlineStr">
        <is>
          <t>奶油黃 喵熊麵包頭,15 pro Max</t>
        </is>
      </c>
      <c r="E3651" t="inlineStr">
        <is>
          <t>286552619601</t>
        </is>
      </c>
      <c r="F3651">
        <f>IMAGE("https://cf.shopee.tw/file/tw-11134207-81zte-memxq8d6z0n9c2_tn")</f>
        <v/>
      </c>
    </row>
    <row r="3652">
      <c r="A3652" t="inlineStr">
        <is>
          <t>26791512677</t>
        </is>
      </c>
      <c r="B3652" t="inlineStr">
        <is>
          <t>隔日到貨🔥 iPhone 手機殼 17 16 15 14 pro 13 12 11 保護殼 軟殼 蘋果</t>
        </is>
      </c>
      <c r="C3652">
        <f>IMAGE("https://cf.shopee.tw/file/tw-11134207-81zti-memxgo92olc697_tn")</f>
        <v/>
      </c>
      <c r="D3652" t="inlineStr">
        <is>
          <t>奶油黃 喵熊麵包頭,16</t>
        </is>
      </c>
      <c r="E3652" t="inlineStr">
        <is>
          <t>286552619602</t>
        </is>
      </c>
      <c r="F3652">
        <f>IMAGE("https://cf.shopee.tw/file/tw-11134207-81zte-memxq8d6z0n9c2_tn")</f>
        <v/>
      </c>
    </row>
    <row r="3653">
      <c r="A3653" t="inlineStr">
        <is>
          <t>26791512677</t>
        </is>
      </c>
      <c r="B3653" t="inlineStr">
        <is>
          <t>隔日到貨🔥 iPhone 手機殼 17 16 15 14 pro 13 12 11 保護殼 軟殼 蘋果</t>
        </is>
      </c>
      <c r="C3653">
        <f>IMAGE("https://cf.shopee.tw/file/tw-11134207-81zti-memxgo92olc697_tn")</f>
        <v/>
      </c>
      <c r="D3653" t="inlineStr">
        <is>
          <t>奶油黃 喵熊麵包頭,16 pro</t>
        </is>
      </c>
      <c r="E3653" t="inlineStr">
        <is>
          <t>286552619603</t>
        </is>
      </c>
      <c r="F3653">
        <f>IMAGE("https://cf.shopee.tw/file/tw-11134207-81zte-memxq8d6z0n9c2_tn")</f>
        <v/>
      </c>
    </row>
    <row r="3654">
      <c r="A3654" t="inlineStr">
        <is>
          <t>26791512677</t>
        </is>
      </c>
      <c r="B3654" t="inlineStr">
        <is>
          <t>隔日到貨🔥 iPhone 手機殼 17 16 15 14 pro 13 12 11 保護殼 軟殼 蘋果</t>
        </is>
      </c>
      <c r="C3654">
        <f>IMAGE("https://cf.shopee.tw/file/tw-11134207-81zti-memxgo92olc697_tn")</f>
        <v/>
      </c>
      <c r="D3654" t="inlineStr">
        <is>
          <t>奶油黃 喵熊麵包頭,16 pro Max</t>
        </is>
      </c>
      <c r="E3654" t="inlineStr">
        <is>
          <t>286552619604</t>
        </is>
      </c>
      <c r="F3654">
        <f>IMAGE("https://cf.shopee.tw/file/tw-11134207-81zte-memxq8d6z0n9c2_tn")</f>
        <v/>
      </c>
    </row>
    <row r="3655">
      <c r="A3655" t="inlineStr">
        <is>
          <t>26791512677</t>
        </is>
      </c>
      <c r="B3655" t="inlineStr">
        <is>
          <t>隔日到貨🔥 iPhone 手機殼 17 16 15 14 pro 13 12 11 保護殼 軟殼 蘋果</t>
        </is>
      </c>
      <c r="C3655">
        <f>IMAGE("https://cf.shopee.tw/file/tw-11134207-81zti-memxgo92olc697_tn")</f>
        <v/>
      </c>
      <c r="D3655" t="inlineStr">
        <is>
          <t>奶油黃 喵熊麵包頭,16 Plus</t>
        </is>
      </c>
      <c r="E3655" t="inlineStr">
        <is>
          <t>286552619605</t>
        </is>
      </c>
      <c r="F3655">
        <f>IMAGE("https://cf.shopee.tw/file/tw-11134207-81zte-memxq8d6z0n9c2_tn")</f>
        <v/>
      </c>
    </row>
    <row r="3656">
      <c r="A3656" t="inlineStr">
        <is>
          <t>26791512677</t>
        </is>
      </c>
      <c r="B3656" t="inlineStr">
        <is>
          <t>隔日到貨🔥 iPhone 手機殼 17 16 15 14 pro 13 12 11 保護殼 軟殼 蘋果</t>
        </is>
      </c>
      <c r="C3656">
        <f>IMAGE("https://cf.shopee.tw/file/tw-11134207-81zti-memxgo92olc697_tn")</f>
        <v/>
      </c>
      <c r="D3656" t="inlineStr">
        <is>
          <t>奶油黃 喵熊麵包頭,17</t>
        </is>
      </c>
      <c r="E3656" t="inlineStr">
        <is>
          <t>286552619606</t>
        </is>
      </c>
      <c r="F3656">
        <f>IMAGE("https://cf.shopee.tw/file/tw-11134207-81zte-memxq8d6z0n9c2_tn")</f>
        <v/>
      </c>
    </row>
    <row r="3657">
      <c r="A3657" t="inlineStr">
        <is>
          <t>26791512677</t>
        </is>
      </c>
      <c r="B3657" t="inlineStr">
        <is>
          <t>隔日到貨🔥 iPhone 手機殼 17 16 15 14 pro 13 12 11 保護殼 軟殼 蘋果</t>
        </is>
      </c>
      <c r="C3657">
        <f>IMAGE("https://cf.shopee.tw/file/tw-11134207-81zti-memxgo92olc697_tn")</f>
        <v/>
      </c>
      <c r="D3657" t="inlineStr">
        <is>
          <t>奶油黃 喵熊麵包頭,17 Pro</t>
        </is>
      </c>
      <c r="E3657" t="inlineStr">
        <is>
          <t>286552619607</t>
        </is>
      </c>
      <c r="F3657">
        <f>IMAGE("https://cf.shopee.tw/file/tw-11134207-81zte-memxq8d6z0n9c2_tn")</f>
        <v/>
      </c>
    </row>
    <row r="3658">
      <c r="A3658" t="inlineStr">
        <is>
          <t>26791512677</t>
        </is>
      </c>
      <c r="B3658" t="inlineStr">
        <is>
          <t>隔日到貨🔥 iPhone 手機殼 17 16 15 14 pro 13 12 11 保護殼 軟殼 蘋果</t>
        </is>
      </c>
      <c r="C3658">
        <f>IMAGE("https://cf.shopee.tw/file/tw-11134207-81zti-memxgo92olc697_tn")</f>
        <v/>
      </c>
      <c r="D3658" t="inlineStr">
        <is>
          <t>奶油黃 喵熊麵包頭,17 Pro Max</t>
        </is>
      </c>
      <c r="E3658" t="inlineStr">
        <is>
          <t>286552619608</t>
        </is>
      </c>
      <c r="F3658">
        <f>IMAGE("https://cf.shopee.tw/file/tw-11134207-81zte-memxq8d6z0n9c2_tn")</f>
        <v/>
      </c>
    </row>
    <row r="3659">
      <c r="A3659" t="inlineStr">
        <is>
          <t>25811193291</t>
        </is>
      </c>
      <c r="B3659" t="inlineStr">
        <is>
          <t>隔日到貨🔥 Type-C To Lightning母 蘋果充電線轉接器 可充電 可傳輸 寶利威爾 POLYWELL</t>
        </is>
      </c>
      <c r="C3659">
        <f>IMAGE("https://cf.shopee.tw/file/tw-11134207-7r990-lr0j1pshzwlu6b_tn")</f>
        <v/>
      </c>
      <c r="D3659" t="inlineStr">
        <is>
          <t>10W</t>
        </is>
      </c>
      <c r="E3659" t="inlineStr">
        <is>
          <t>250283225791</t>
        </is>
      </c>
      <c r="F3659">
        <f>IMAGE("https://cf.shopee.tw/file/tw-11134207-7r98w-lr0jlyh3m9zcb9_tn")</f>
        <v/>
      </c>
    </row>
    <row r="3660">
      <c r="A3660" t="inlineStr">
        <is>
          <t>25811193291</t>
        </is>
      </c>
      <c r="B3660" t="inlineStr">
        <is>
          <t>隔日到貨🔥 Type-C To Lightning母 蘋果充電線轉接器 可充電 可傳輸 寶利威爾 POLYWELL</t>
        </is>
      </c>
      <c r="C3660">
        <f>IMAGE("https://cf.shopee.tw/file/tw-11134207-7r990-lr0j1pshzwlu6b_tn")</f>
        <v/>
      </c>
      <c r="D3660" t="inlineStr">
        <is>
          <t>27W</t>
        </is>
      </c>
      <c r="E3660" t="inlineStr">
        <is>
          <t>39398178855</t>
        </is>
      </c>
      <c r="F3660">
        <f>IMAGE("https://cf.shopee.tw/file/tw-11134207-7r98z-ls124d9hf37sd3_tn")</f>
        <v/>
      </c>
    </row>
    <row r="3661">
      <c r="A3661" t="inlineStr">
        <is>
          <t>24661436897</t>
        </is>
      </c>
      <c r="B3661" t="inlineStr">
        <is>
          <t>隔日到貨🔥 iPhone 手機殼 15 14 pro 13 12 11 13pro 保護殼 軟殼 蘋果 手機套</t>
        </is>
      </c>
      <c r="C3661">
        <f>IMAGE("https://cf.shopee.tw/file/tw-11134207-7r98w-lr3d2e3xfea0b3_tn")</f>
        <v/>
      </c>
      <c r="D3661" t="inlineStr">
        <is>
          <t>奶黃 哈哈小狗,11</t>
        </is>
      </c>
      <c r="E3661" t="inlineStr">
        <is>
          <t>108290171576</t>
        </is>
      </c>
      <c r="F3661">
        <f>IMAGE("https://cf.shopee.tw/file/tw-11134207-81ztg-mguhvozpaolofb_tn")</f>
        <v/>
      </c>
    </row>
    <row r="3662">
      <c r="A3662" t="inlineStr">
        <is>
          <t>24661436897</t>
        </is>
      </c>
      <c r="B3662" t="inlineStr">
        <is>
          <t>隔日到貨🔥 iPhone 手機殼 15 14 pro 13 12 11 13pro 保護殼 軟殼 蘋果 手機套</t>
        </is>
      </c>
      <c r="C3662">
        <f>IMAGE("https://cf.shopee.tw/file/tw-11134207-7r98w-lr3d2e3xfea0b3_tn")</f>
        <v/>
      </c>
      <c r="D3662" t="inlineStr">
        <is>
          <t>奶黃 哈哈小狗,12</t>
        </is>
      </c>
      <c r="E3662" t="inlineStr"/>
      <c r="F3662">
        <f>IMAGE("https://cf.shopee.tw/file/tw-11134207-81ztg-mguhvozpaolofb_tn")</f>
        <v/>
      </c>
    </row>
    <row r="3663">
      <c r="A3663" t="inlineStr">
        <is>
          <t>24661436897</t>
        </is>
      </c>
      <c r="B3663" t="inlineStr">
        <is>
          <t>隔日到貨🔥 iPhone 手機殼 15 14 pro 13 12 11 13pro 保護殼 軟殼 蘋果 手機套</t>
        </is>
      </c>
      <c r="C3663">
        <f>IMAGE("https://cf.shopee.tw/file/tw-11134207-7r98w-lr3d2e3xfea0b3_tn")</f>
        <v/>
      </c>
      <c r="D3663" t="inlineStr">
        <is>
          <t>奶黃 哈哈小狗,12 Pro</t>
        </is>
      </c>
      <c r="E3663" t="inlineStr">
        <is>
          <t>108290171578</t>
        </is>
      </c>
      <c r="F3663">
        <f>IMAGE("https://cf.shopee.tw/file/tw-11134207-81ztg-mguhvozpaolofb_tn")</f>
        <v/>
      </c>
    </row>
    <row r="3664">
      <c r="A3664" t="inlineStr">
        <is>
          <t>24661436897</t>
        </is>
      </c>
      <c r="B3664" t="inlineStr">
        <is>
          <t>隔日到貨🔥 iPhone 手機殼 15 14 pro 13 12 11 13pro 保護殼 軟殼 蘋果 手機套</t>
        </is>
      </c>
      <c r="C3664">
        <f>IMAGE("https://cf.shopee.tw/file/tw-11134207-7r98w-lr3d2e3xfea0b3_tn")</f>
        <v/>
      </c>
      <c r="D3664" t="inlineStr">
        <is>
          <t>奶黃 哈哈小狗,12 Pro Max</t>
        </is>
      </c>
      <c r="E3664" t="inlineStr">
        <is>
          <t>108290171579</t>
        </is>
      </c>
      <c r="F3664">
        <f>IMAGE("https://cf.shopee.tw/file/tw-11134207-81ztg-mguhvozpaolofb_tn")</f>
        <v/>
      </c>
    </row>
    <row r="3665">
      <c r="A3665" t="inlineStr">
        <is>
          <t>24661436897</t>
        </is>
      </c>
      <c r="B3665" t="inlineStr">
        <is>
          <t>隔日到貨🔥 iPhone 手機殼 15 14 pro 13 12 11 13pro 保護殼 軟殼 蘋果 手機套</t>
        </is>
      </c>
      <c r="C3665">
        <f>IMAGE("https://cf.shopee.tw/file/tw-11134207-7r98w-lr3d2e3xfea0b3_tn")</f>
        <v/>
      </c>
      <c r="D3665" t="inlineStr">
        <is>
          <t>奶黃 哈哈小狗,13</t>
        </is>
      </c>
      <c r="E3665" t="inlineStr">
        <is>
          <t>108290171580</t>
        </is>
      </c>
      <c r="F3665">
        <f>IMAGE("https://cf.shopee.tw/file/tw-11134207-81ztg-mguhvozpaolofb_tn")</f>
        <v/>
      </c>
    </row>
    <row r="3666">
      <c r="A3666" t="inlineStr">
        <is>
          <t>24661436897</t>
        </is>
      </c>
      <c r="B3666" t="inlineStr">
        <is>
          <t>隔日到貨🔥 iPhone 手機殼 15 14 pro 13 12 11 13pro 保護殼 軟殼 蘋果 手機套</t>
        </is>
      </c>
      <c r="C3666">
        <f>IMAGE("https://cf.shopee.tw/file/tw-11134207-7r98w-lr3d2e3xfea0b3_tn")</f>
        <v/>
      </c>
      <c r="D3666" t="inlineStr">
        <is>
          <t>奶黃 哈哈小狗,13 Pro</t>
        </is>
      </c>
      <c r="E3666" t="inlineStr">
        <is>
          <t>108290171581</t>
        </is>
      </c>
      <c r="F3666">
        <f>IMAGE("https://cf.shopee.tw/file/tw-11134207-81ztg-mguhvozpaolofb_tn")</f>
        <v/>
      </c>
    </row>
    <row r="3667">
      <c r="A3667" t="inlineStr">
        <is>
          <t>24661436897</t>
        </is>
      </c>
      <c r="B3667" t="inlineStr">
        <is>
          <t>隔日到貨🔥 iPhone 手機殼 15 14 pro 13 12 11 13pro 保護殼 軟殼 蘋果 手機套</t>
        </is>
      </c>
      <c r="C3667">
        <f>IMAGE("https://cf.shopee.tw/file/tw-11134207-7r98w-lr3d2e3xfea0b3_tn")</f>
        <v/>
      </c>
      <c r="D3667" t="inlineStr">
        <is>
          <t>奶黃 哈哈小狗,13 Pro Max</t>
        </is>
      </c>
      <c r="E3667" t="inlineStr">
        <is>
          <t>108290171582</t>
        </is>
      </c>
      <c r="F3667">
        <f>IMAGE("https://cf.shopee.tw/file/tw-11134207-81ztg-mguhvozpaolofb_tn")</f>
        <v/>
      </c>
    </row>
    <row r="3668">
      <c r="A3668" t="inlineStr">
        <is>
          <t>24661436897</t>
        </is>
      </c>
      <c r="B3668" t="inlineStr">
        <is>
          <t>隔日到貨🔥 iPhone 手機殼 15 14 pro 13 12 11 13pro 保護殼 軟殼 蘋果 手機套</t>
        </is>
      </c>
      <c r="C3668">
        <f>IMAGE("https://cf.shopee.tw/file/tw-11134207-7r98w-lr3d2e3xfea0b3_tn")</f>
        <v/>
      </c>
      <c r="D3668" t="inlineStr">
        <is>
          <t>奶黃 哈哈小狗,14</t>
        </is>
      </c>
      <c r="E3668" t="inlineStr"/>
      <c r="F3668">
        <f>IMAGE("https://cf.shopee.tw/file/tw-11134207-81ztg-mguhvozpaolofb_tn")</f>
        <v/>
      </c>
    </row>
    <row r="3669">
      <c r="A3669" t="inlineStr">
        <is>
          <t>24661436897</t>
        </is>
      </c>
      <c r="B3669" t="inlineStr">
        <is>
          <t>隔日到貨🔥 iPhone 手機殼 15 14 pro 13 12 11 13pro 保護殼 軟殼 蘋果 手機套</t>
        </is>
      </c>
      <c r="C3669">
        <f>IMAGE("https://cf.shopee.tw/file/tw-11134207-7r98w-lr3d2e3xfea0b3_tn")</f>
        <v/>
      </c>
      <c r="D3669" t="inlineStr">
        <is>
          <t>奶黃 哈哈小狗,14 Plus</t>
        </is>
      </c>
      <c r="E3669" t="inlineStr"/>
      <c r="F3669">
        <f>IMAGE("https://cf.shopee.tw/file/tw-11134207-81ztg-mguhvozpaolofb_tn")</f>
        <v/>
      </c>
    </row>
    <row r="3670">
      <c r="A3670" t="inlineStr">
        <is>
          <t>24661436897</t>
        </is>
      </c>
      <c r="B3670" t="inlineStr">
        <is>
          <t>隔日到貨🔥 iPhone 手機殼 15 14 pro 13 12 11 13pro 保護殼 軟殼 蘋果 手機套</t>
        </is>
      </c>
      <c r="C3670">
        <f>IMAGE("https://cf.shopee.tw/file/tw-11134207-7r98w-lr3d2e3xfea0b3_tn")</f>
        <v/>
      </c>
      <c r="D3670" t="inlineStr">
        <is>
          <t>奶黃 哈哈小狗,14 Pro</t>
        </is>
      </c>
      <c r="E3670" t="inlineStr"/>
      <c r="F3670">
        <f>IMAGE("https://cf.shopee.tw/file/tw-11134207-81ztg-mguhvozpaolofb_tn")</f>
        <v/>
      </c>
    </row>
    <row r="3671">
      <c r="A3671" t="inlineStr">
        <is>
          <t>24661436897</t>
        </is>
      </c>
      <c r="B3671" t="inlineStr">
        <is>
          <t>隔日到貨🔥 iPhone 手機殼 15 14 pro 13 12 11 13pro 保護殼 軟殼 蘋果 手機套</t>
        </is>
      </c>
      <c r="C3671">
        <f>IMAGE("https://cf.shopee.tw/file/tw-11134207-7r98w-lr3d2e3xfea0b3_tn")</f>
        <v/>
      </c>
      <c r="D3671" t="inlineStr">
        <is>
          <t>奶黃 哈哈小狗,14 Pro Max</t>
        </is>
      </c>
      <c r="E3671" t="inlineStr"/>
      <c r="F3671">
        <f>IMAGE("https://cf.shopee.tw/file/tw-11134207-81ztg-mguhvozpaolofb_tn")</f>
        <v/>
      </c>
    </row>
    <row r="3672">
      <c r="A3672" t="inlineStr">
        <is>
          <t>24661436897</t>
        </is>
      </c>
      <c r="B3672" t="inlineStr">
        <is>
          <t>隔日到貨🔥 iPhone 手機殼 15 14 pro 13 12 11 13pro 保護殼 軟殼 蘋果 手機套</t>
        </is>
      </c>
      <c r="C3672">
        <f>IMAGE("https://cf.shopee.tw/file/tw-11134207-7r98w-lr3d2e3xfea0b3_tn")</f>
        <v/>
      </c>
      <c r="D3672" t="inlineStr">
        <is>
          <t>奶黃 哈哈小狗,15</t>
        </is>
      </c>
      <c r="E3672" t="inlineStr"/>
      <c r="F3672">
        <f>IMAGE("https://cf.shopee.tw/file/tw-11134207-81ztg-mguhvozpaolofb_tn")</f>
        <v/>
      </c>
    </row>
    <row r="3673">
      <c r="A3673" t="inlineStr">
        <is>
          <t>24661436897</t>
        </is>
      </c>
      <c r="B3673" t="inlineStr">
        <is>
          <t>隔日到貨🔥 iPhone 手機殼 15 14 pro 13 12 11 13pro 保護殼 軟殼 蘋果 手機套</t>
        </is>
      </c>
      <c r="C3673">
        <f>IMAGE("https://cf.shopee.tw/file/tw-11134207-7r98w-lr3d2e3xfea0b3_tn")</f>
        <v/>
      </c>
      <c r="D3673" t="inlineStr">
        <is>
          <t>奶黃 哈哈小狗,15 Plus</t>
        </is>
      </c>
      <c r="E3673" t="inlineStr">
        <is>
          <t>119094316501</t>
        </is>
      </c>
      <c r="F3673">
        <f>IMAGE("https://cf.shopee.tw/file/tw-11134207-81ztg-mguhvozpaolofb_tn")</f>
        <v/>
      </c>
    </row>
    <row r="3674">
      <c r="A3674" t="inlineStr">
        <is>
          <t>24661436897</t>
        </is>
      </c>
      <c r="B3674" t="inlineStr">
        <is>
          <t>隔日到貨🔥 iPhone 手機殼 15 14 pro 13 12 11 13pro 保護殼 軟殼 蘋果 手機套</t>
        </is>
      </c>
      <c r="C3674">
        <f>IMAGE("https://cf.shopee.tw/file/tw-11134207-7r98w-lr3d2e3xfea0b3_tn")</f>
        <v/>
      </c>
      <c r="D3674" t="inlineStr">
        <is>
          <t>奶黃 哈哈小狗,15 Pro</t>
        </is>
      </c>
      <c r="E3674" t="inlineStr"/>
      <c r="F3674">
        <f>IMAGE("https://cf.shopee.tw/file/tw-11134207-81ztg-mguhvozpaolofb_tn")</f>
        <v/>
      </c>
    </row>
    <row r="3675">
      <c r="A3675" t="inlineStr">
        <is>
          <t>24661436897</t>
        </is>
      </c>
      <c r="B3675" t="inlineStr">
        <is>
          <t>隔日到貨🔥 iPhone 手機殼 15 14 pro 13 12 11 13pro 保護殼 軟殼 蘋果 手機套</t>
        </is>
      </c>
      <c r="C3675">
        <f>IMAGE("https://cf.shopee.tw/file/tw-11134207-7r98w-lr3d2e3xfea0b3_tn")</f>
        <v/>
      </c>
      <c r="D3675" t="inlineStr">
        <is>
          <t>奶黃 哈哈小狗,15 Pro Max</t>
        </is>
      </c>
      <c r="E3675" t="inlineStr"/>
      <c r="F3675">
        <f>IMAGE("https://cf.shopee.tw/file/tw-11134207-81ztg-mguhvozpaolofb_tn")</f>
        <v/>
      </c>
    </row>
    <row r="3676">
      <c r="A3676" t="inlineStr">
        <is>
          <t>24661436897</t>
        </is>
      </c>
      <c r="B3676" t="inlineStr">
        <is>
          <t>隔日到貨🔥 iPhone 手機殼 15 14 pro 13 12 11 13pro 保護殼 軟殼 蘋果 手機套</t>
        </is>
      </c>
      <c r="C3676">
        <f>IMAGE("https://cf.shopee.tw/file/tw-11134207-7r98w-lr3d2e3xfea0b3_tn")</f>
        <v/>
      </c>
      <c r="D3676" t="inlineStr">
        <is>
          <t>水藍 皺眉小狗,11</t>
        </is>
      </c>
      <c r="E3676" t="inlineStr">
        <is>
          <t>119094316504</t>
        </is>
      </c>
      <c r="F3676">
        <f>IMAGE("https://cf.shopee.tw/file/tw-11134207-81zte-mguhw61ecw7c5c_tn")</f>
        <v/>
      </c>
    </row>
    <row r="3677">
      <c r="A3677" t="inlineStr">
        <is>
          <t>24661436897</t>
        </is>
      </c>
      <c r="B3677" t="inlineStr">
        <is>
          <t>隔日到貨🔥 iPhone 手機殼 15 14 pro 13 12 11 13pro 保護殼 軟殼 蘋果 手機套</t>
        </is>
      </c>
      <c r="C3677">
        <f>IMAGE("https://cf.shopee.tw/file/tw-11134207-7r98w-lr3d2e3xfea0b3_tn")</f>
        <v/>
      </c>
      <c r="D3677" t="inlineStr">
        <is>
          <t>水藍 皺眉小狗,12</t>
        </is>
      </c>
      <c r="E3677" t="inlineStr">
        <is>
          <t>119094316505</t>
        </is>
      </c>
      <c r="F3677">
        <f>IMAGE("https://cf.shopee.tw/file/tw-11134207-81zte-mguhw61ecw7c5c_tn")</f>
        <v/>
      </c>
    </row>
    <row r="3678">
      <c r="A3678" t="inlineStr">
        <is>
          <t>24661436897</t>
        </is>
      </c>
      <c r="B3678" t="inlineStr">
        <is>
          <t>隔日到貨🔥 iPhone 手機殼 15 14 pro 13 12 11 13pro 保護殼 軟殼 蘋果 手機套</t>
        </is>
      </c>
      <c r="C3678">
        <f>IMAGE("https://cf.shopee.tw/file/tw-11134207-7r98w-lr3d2e3xfea0b3_tn")</f>
        <v/>
      </c>
      <c r="D3678" t="inlineStr">
        <is>
          <t>水藍 皺眉小狗,12 Pro</t>
        </is>
      </c>
      <c r="E3678" t="inlineStr"/>
      <c r="F3678">
        <f>IMAGE("https://cf.shopee.tw/file/tw-11134207-81zte-mguhw61ecw7c5c_tn")</f>
        <v/>
      </c>
    </row>
    <row r="3679">
      <c r="A3679" t="inlineStr">
        <is>
          <t>24661436897</t>
        </is>
      </c>
      <c r="B3679" t="inlineStr">
        <is>
          <t>隔日到貨🔥 iPhone 手機殼 15 14 pro 13 12 11 13pro 保護殼 軟殼 蘋果 手機套</t>
        </is>
      </c>
      <c r="C3679">
        <f>IMAGE("https://cf.shopee.tw/file/tw-11134207-7r98w-lr3d2e3xfea0b3_tn")</f>
        <v/>
      </c>
      <c r="D3679" t="inlineStr">
        <is>
          <t>水藍 皺眉小狗,12 Pro Max</t>
        </is>
      </c>
      <c r="E3679" t="inlineStr">
        <is>
          <t>119094316507</t>
        </is>
      </c>
      <c r="F3679">
        <f>IMAGE("https://cf.shopee.tw/file/tw-11134207-81zte-mguhw61ecw7c5c_tn")</f>
        <v/>
      </c>
    </row>
    <row r="3680">
      <c r="A3680" t="inlineStr">
        <is>
          <t>24661436897</t>
        </is>
      </c>
      <c r="B3680" t="inlineStr">
        <is>
          <t>隔日到貨🔥 iPhone 手機殼 15 14 pro 13 12 11 13pro 保護殼 軟殼 蘋果 手機套</t>
        </is>
      </c>
      <c r="C3680">
        <f>IMAGE("https://cf.shopee.tw/file/tw-11134207-7r98w-lr3d2e3xfea0b3_tn")</f>
        <v/>
      </c>
      <c r="D3680" t="inlineStr">
        <is>
          <t>水藍 皺眉小狗,13</t>
        </is>
      </c>
      <c r="E3680" t="inlineStr">
        <is>
          <t>119094316508</t>
        </is>
      </c>
      <c r="F3680">
        <f>IMAGE("https://cf.shopee.tw/file/tw-11134207-81zte-mguhw61ecw7c5c_tn")</f>
        <v/>
      </c>
    </row>
    <row r="3681">
      <c r="A3681" t="inlineStr">
        <is>
          <t>24661436897</t>
        </is>
      </c>
      <c r="B3681" t="inlineStr">
        <is>
          <t>隔日到貨🔥 iPhone 手機殼 15 14 pro 13 12 11 13pro 保護殼 軟殼 蘋果 手機套</t>
        </is>
      </c>
      <c r="C3681">
        <f>IMAGE("https://cf.shopee.tw/file/tw-11134207-7r98w-lr3d2e3xfea0b3_tn")</f>
        <v/>
      </c>
      <c r="D3681" t="inlineStr">
        <is>
          <t>水藍 皺眉小狗,13 Pro</t>
        </is>
      </c>
      <c r="E3681" t="inlineStr"/>
      <c r="F3681">
        <f>IMAGE("https://cf.shopee.tw/file/tw-11134207-81zte-mguhw61ecw7c5c_tn")</f>
        <v/>
      </c>
    </row>
    <row r="3682">
      <c r="A3682" t="inlineStr">
        <is>
          <t>24661436897</t>
        </is>
      </c>
      <c r="B3682" t="inlineStr">
        <is>
          <t>隔日到貨🔥 iPhone 手機殼 15 14 pro 13 12 11 13pro 保護殼 軟殼 蘋果 手機套</t>
        </is>
      </c>
      <c r="C3682">
        <f>IMAGE("https://cf.shopee.tw/file/tw-11134207-7r98w-lr3d2e3xfea0b3_tn")</f>
        <v/>
      </c>
      <c r="D3682" t="inlineStr">
        <is>
          <t>水藍 皺眉小狗,13 Pro Max</t>
        </is>
      </c>
      <c r="E3682" t="inlineStr">
        <is>
          <t>119094316510</t>
        </is>
      </c>
      <c r="F3682">
        <f>IMAGE("https://cf.shopee.tw/file/tw-11134207-81zte-mguhw61ecw7c5c_tn")</f>
        <v/>
      </c>
    </row>
    <row r="3683">
      <c r="A3683" t="inlineStr">
        <is>
          <t>24661436897</t>
        </is>
      </c>
      <c r="B3683" t="inlineStr">
        <is>
          <t>隔日到貨🔥 iPhone 手機殼 15 14 pro 13 12 11 13pro 保護殼 軟殼 蘋果 手機套</t>
        </is>
      </c>
      <c r="C3683">
        <f>IMAGE("https://cf.shopee.tw/file/tw-11134207-7r98w-lr3d2e3xfea0b3_tn")</f>
        <v/>
      </c>
      <c r="D3683" t="inlineStr">
        <is>
          <t>水藍 皺眉小狗,14</t>
        </is>
      </c>
      <c r="E3683" t="inlineStr"/>
      <c r="F3683">
        <f>IMAGE("https://cf.shopee.tw/file/tw-11134207-81zte-mguhw61ecw7c5c_tn")</f>
        <v/>
      </c>
    </row>
    <row r="3684">
      <c r="A3684" t="inlineStr">
        <is>
          <t>24661436897</t>
        </is>
      </c>
      <c r="B3684" t="inlineStr">
        <is>
          <t>隔日到貨🔥 iPhone 手機殼 15 14 pro 13 12 11 13pro 保護殼 軟殼 蘋果 手機套</t>
        </is>
      </c>
      <c r="C3684">
        <f>IMAGE("https://cf.shopee.tw/file/tw-11134207-7r98w-lr3d2e3xfea0b3_tn")</f>
        <v/>
      </c>
      <c r="D3684" t="inlineStr">
        <is>
          <t>水藍 皺眉小狗,14 Plus</t>
        </is>
      </c>
      <c r="E3684" t="inlineStr"/>
      <c r="F3684">
        <f>IMAGE("https://cf.shopee.tw/file/tw-11134207-81zte-mguhw61ecw7c5c_tn")</f>
        <v/>
      </c>
    </row>
    <row r="3685">
      <c r="A3685" t="inlineStr">
        <is>
          <t>24661436897</t>
        </is>
      </c>
      <c r="B3685" t="inlineStr">
        <is>
          <t>隔日到貨🔥 iPhone 手機殼 15 14 pro 13 12 11 13pro 保護殼 軟殼 蘋果 手機套</t>
        </is>
      </c>
      <c r="C3685">
        <f>IMAGE("https://cf.shopee.tw/file/tw-11134207-7r98w-lr3d2e3xfea0b3_tn")</f>
        <v/>
      </c>
      <c r="D3685" t="inlineStr">
        <is>
          <t>水藍 皺眉小狗,14 Pro</t>
        </is>
      </c>
      <c r="E3685" t="inlineStr">
        <is>
          <t>119094316513</t>
        </is>
      </c>
      <c r="F3685">
        <f>IMAGE("https://cf.shopee.tw/file/tw-11134207-81zte-mguhw61ecw7c5c_tn")</f>
        <v/>
      </c>
    </row>
    <row r="3686">
      <c r="A3686" t="inlineStr">
        <is>
          <t>24661436897</t>
        </is>
      </c>
      <c r="B3686" t="inlineStr">
        <is>
          <t>隔日到貨🔥 iPhone 手機殼 15 14 pro 13 12 11 13pro 保護殼 軟殼 蘋果 手機套</t>
        </is>
      </c>
      <c r="C3686">
        <f>IMAGE("https://cf.shopee.tw/file/tw-11134207-7r98w-lr3d2e3xfea0b3_tn")</f>
        <v/>
      </c>
      <c r="D3686" t="inlineStr">
        <is>
          <t>水藍 皺眉小狗,14 Pro Max</t>
        </is>
      </c>
      <c r="E3686" t="inlineStr">
        <is>
          <t>119094316514</t>
        </is>
      </c>
      <c r="F3686">
        <f>IMAGE("https://cf.shopee.tw/file/tw-11134207-81zte-mguhw61ecw7c5c_tn")</f>
        <v/>
      </c>
    </row>
    <row r="3687">
      <c r="A3687" t="inlineStr">
        <is>
          <t>24661436897</t>
        </is>
      </c>
      <c r="B3687" t="inlineStr">
        <is>
          <t>隔日到貨🔥 iPhone 手機殼 15 14 pro 13 12 11 13pro 保護殼 軟殼 蘋果 手機套</t>
        </is>
      </c>
      <c r="C3687">
        <f>IMAGE("https://cf.shopee.tw/file/tw-11134207-7r98w-lr3d2e3xfea0b3_tn")</f>
        <v/>
      </c>
      <c r="D3687" t="inlineStr">
        <is>
          <t>水藍 皺眉小狗,15</t>
        </is>
      </c>
      <c r="E3687" t="inlineStr">
        <is>
          <t>119094316515</t>
        </is>
      </c>
      <c r="F3687">
        <f>IMAGE("https://cf.shopee.tw/file/tw-11134207-81zte-mguhw61ecw7c5c_tn")</f>
        <v/>
      </c>
    </row>
    <row r="3688">
      <c r="A3688" t="inlineStr">
        <is>
          <t>24661436897</t>
        </is>
      </c>
      <c r="B3688" t="inlineStr">
        <is>
          <t>隔日到貨🔥 iPhone 手機殼 15 14 pro 13 12 11 13pro 保護殼 軟殼 蘋果 手機套</t>
        </is>
      </c>
      <c r="C3688">
        <f>IMAGE("https://cf.shopee.tw/file/tw-11134207-7r98w-lr3d2e3xfea0b3_tn")</f>
        <v/>
      </c>
      <c r="D3688" t="inlineStr">
        <is>
          <t>水藍 皺眉小狗,15 Plus</t>
        </is>
      </c>
      <c r="E3688" t="inlineStr">
        <is>
          <t>119094316516</t>
        </is>
      </c>
      <c r="F3688">
        <f>IMAGE("https://cf.shopee.tw/file/tw-11134207-81zte-mguhw61ecw7c5c_tn")</f>
        <v/>
      </c>
    </row>
    <row r="3689">
      <c r="A3689" t="inlineStr">
        <is>
          <t>24661436897</t>
        </is>
      </c>
      <c r="B3689" t="inlineStr">
        <is>
          <t>隔日到貨🔥 iPhone 手機殼 15 14 pro 13 12 11 13pro 保護殼 軟殼 蘋果 手機套</t>
        </is>
      </c>
      <c r="C3689">
        <f>IMAGE("https://cf.shopee.tw/file/tw-11134207-7r98w-lr3d2e3xfea0b3_tn")</f>
        <v/>
      </c>
      <c r="D3689" t="inlineStr">
        <is>
          <t>水藍 皺眉小狗,15 Pro</t>
        </is>
      </c>
      <c r="E3689" t="inlineStr"/>
      <c r="F3689">
        <f>IMAGE("https://cf.shopee.tw/file/tw-11134207-81zte-mguhw61ecw7c5c_tn")</f>
        <v/>
      </c>
    </row>
    <row r="3690">
      <c r="A3690" t="inlineStr">
        <is>
          <t>24661436897</t>
        </is>
      </c>
      <c r="B3690" t="inlineStr">
        <is>
          <t>隔日到貨🔥 iPhone 手機殼 15 14 pro 13 12 11 13pro 保護殼 軟殼 蘋果 手機套</t>
        </is>
      </c>
      <c r="C3690">
        <f>IMAGE("https://cf.shopee.tw/file/tw-11134207-7r98w-lr3d2e3xfea0b3_tn")</f>
        <v/>
      </c>
      <c r="D3690" t="inlineStr">
        <is>
          <t>水藍 皺眉小狗,15 Pro Max</t>
        </is>
      </c>
      <c r="E3690" t="inlineStr"/>
      <c r="F3690">
        <f>IMAGE("https://cf.shopee.tw/file/tw-11134207-81zte-mguhw61ecw7c5c_tn")</f>
        <v/>
      </c>
    </row>
    <row r="3691">
      <c r="A3691" t="inlineStr">
        <is>
          <t>12439413079</t>
        </is>
      </c>
      <c r="B3691" t="inlineStr">
        <is>
          <t>隔日到貨🔥 iPhone 手機殼 17 16 15 14 13 12 11 XS XR SE3 X 保護殼 軟殼 蘋果</t>
        </is>
      </c>
      <c r="C3691">
        <f>IMAGE("https://cf.shopee.tw/file/1632d6b5d234d29ddbe479a1838bec99_tn")</f>
        <v/>
      </c>
      <c r="D3691" t="inlineStr">
        <is>
          <t>1.透明藍殼,16 Plus</t>
        </is>
      </c>
      <c r="E3691" t="inlineStr"/>
      <c r="F3691">
        <f>IMAGE("https://cf.shopee.tw/file/dffa29243ad7410b0de17fda42132f2f_tn")</f>
        <v/>
      </c>
    </row>
    <row r="3692">
      <c r="A3692" t="inlineStr">
        <is>
          <t>12439413079</t>
        </is>
      </c>
      <c r="B3692" t="inlineStr">
        <is>
          <t>隔日到貨🔥 iPhone 手機殼 17 16 15 14 13 12 11 XS XR SE3 X 保護殼 軟殼 蘋果</t>
        </is>
      </c>
      <c r="C3692">
        <f>IMAGE("https://cf.shopee.tw/file/1632d6b5d234d29ddbe479a1838bec99_tn")</f>
        <v/>
      </c>
      <c r="D3692" t="inlineStr">
        <is>
          <t>2.熊熊,7 / 8 / SE2 / SE3</t>
        </is>
      </c>
      <c r="E3692" t="inlineStr"/>
      <c r="F3692">
        <f>IMAGE("https://cf.shopee.tw/file/267ed1f2ca0e8508e03806fcfa22fc12_tn")</f>
        <v/>
      </c>
    </row>
    <row r="3693">
      <c r="A3693" t="inlineStr">
        <is>
          <t>12439413079</t>
        </is>
      </c>
      <c r="B3693" t="inlineStr">
        <is>
          <t>隔日到貨🔥 iPhone 手機殼 17 16 15 14 13 12 11 XS XR SE3 X 保護殼 軟殼 蘋果</t>
        </is>
      </c>
      <c r="C3693">
        <f>IMAGE("https://cf.shopee.tw/file/1632d6b5d234d29ddbe479a1838bec99_tn")</f>
        <v/>
      </c>
      <c r="D3693" t="inlineStr">
        <is>
          <t>2.熊熊,7Plus / 8Plus</t>
        </is>
      </c>
      <c r="E3693" t="inlineStr"/>
      <c r="F3693">
        <f>IMAGE("https://cf.shopee.tw/file/267ed1f2ca0e8508e03806fcfa22fc12_tn")</f>
        <v/>
      </c>
    </row>
    <row r="3694">
      <c r="A3694" t="inlineStr">
        <is>
          <t>12439413079</t>
        </is>
      </c>
      <c r="B3694" t="inlineStr">
        <is>
          <t>隔日到貨🔥 iPhone 手機殼 17 16 15 14 13 12 11 XS XR SE3 X 保護殼 軟殼 蘋果</t>
        </is>
      </c>
      <c r="C3694">
        <f>IMAGE("https://cf.shopee.tw/file/1632d6b5d234d29ddbe479a1838bec99_tn")</f>
        <v/>
      </c>
      <c r="D3694" t="inlineStr">
        <is>
          <t>2.熊熊,X / XS</t>
        </is>
      </c>
      <c r="E3694" t="inlineStr"/>
      <c r="F3694">
        <f>IMAGE("https://cf.shopee.tw/file/267ed1f2ca0e8508e03806fcfa22fc12_tn")</f>
        <v/>
      </c>
    </row>
    <row r="3695">
      <c r="A3695" t="inlineStr">
        <is>
          <t>12439413079</t>
        </is>
      </c>
      <c r="B3695" t="inlineStr">
        <is>
          <t>隔日到貨🔥 iPhone 手機殼 17 16 15 14 13 12 11 XS XR SE3 X 保護殼 軟殼 蘋果</t>
        </is>
      </c>
      <c r="C3695">
        <f>IMAGE("https://cf.shopee.tw/file/1632d6b5d234d29ddbe479a1838bec99_tn")</f>
        <v/>
      </c>
      <c r="D3695" t="inlineStr">
        <is>
          <t>2.熊熊,12 mini</t>
        </is>
      </c>
      <c r="E3695" t="inlineStr"/>
      <c r="F3695">
        <f>IMAGE("https://cf.shopee.tw/file/267ed1f2ca0e8508e03806fcfa22fc12_tn")</f>
        <v/>
      </c>
    </row>
    <row r="3696">
      <c r="A3696" t="inlineStr">
        <is>
          <t>12439413079</t>
        </is>
      </c>
      <c r="B3696" t="inlineStr">
        <is>
          <t>隔日到貨🔥 iPhone 手機殼 17 16 15 14 13 12 11 XS XR SE3 X 保護殼 軟殼 蘋果</t>
        </is>
      </c>
      <c r="C3696">
        <f>IMAGE("https://cf.shopee.tw/file/1632d6b5d234d29ddbe479a1838bec99_tn")</f>
        <v/>
      </c>
      <c r="D3696" t="inlineStr">
        <is>
          <t>2.熊熊,13</t>
        </is>
      </c>
      <c r="E3696" t="inlineStr"/>
      <c r="F3696">
        <f>IMAGE("https://cf.shopee.tw/file/267ed1f2ca0e8508e03806fcfa22fc12_tn")</f>
        <v/>
      </c>
    </row>
    <row r="3697">
      <c r="A3697" t="inlineStr">
        <is>
          <t>12439413079</t>
        </is>
      </c>
      <c r="B3697" t="inlineStr">
        <is>
          <t>隔日到貨🔥 iPhone 手機殼 17 16 15 14 13 12 11 XS XR SE3 X 保護殼 軟殼 蘋果</t>
        </is>
      </c>
      <c r="C3697">
        <f>IMAGE("https://cf.shopee.tw/file/1632d6b5d234d29ddbe479a1838bec99_tn")</f>
        <v/>
      </c>
      <c r="D3697" t="inlineStr">
        <is>
          <t>2.熊熊,16</t>
        </is>
      </c>
      <c r="E3697" t="inlineStr"/>
      <c r="F3697">
        <f>IMAGE("https://cf.shopee.tw/file/267ed1f2ca0e8508e03806fcfa22fc12_tn")</f>
        <v/>
      </c>
    </row>
    <row r="3698">
      <c r="A3698" t="inlineStr">
        <is>
          <t>12439413079</t>
        </is>
      </c>
      <c r="B3698" t="inlineStr">
        <is>
          <t>隔日到貨🔥 iPhone 手機殼 17 16 15 14 13 12 11 XS XR SE3 X 保護殼 軟殼 蘋果</t>
        </is>
      </c>
      <c r="C3698">
        <f>IMAGE("https://cf.shopee.tw/file/1632d6b5d234d29ddbe479a1838bec99_tn")</f>
        <v/>
      </c>
      <c r="D3698" t="inlineStr">
        <is>
          <t>2.熊熊,16 Pro</t>
        </is>
      </c>
      <c r="E3698" t="inlineStr"/>
      <c r="F3698">
        <f>IMAGE("https://cf.shopee.tw/file/267ed1f2ca0e8508e03806fcfa22fc12_tn")</f>
        <v/>
      </c>
    </row>
    <row r="3699">
      <c r="A3699" t="inlineStr">
        <is>
          <t>12439413079</t>
        </is>
      </c>
      <c r="B3699" t="inlineStr">
        <is>
          <t>隔日到貨🔥 iPhone 手機殼 17 16 15 14 13 12 11 XS XR SE3 X 保護殼 軟殼 蘋果</t>
        </is>
      </c>
      <c r="C3699">
        <f>IMAGE("https://cf.shopee.tw/file/1632d6b5d234d29ddbe479a1838bec99_tn")</f>
        <v/>
      </c>
      <c r="D3699" t="inlineStr">
        <is>
          <t>2.熊熊,16 Plus</t>
        </is>
      </c>
      <c r="E3699" t="inlineStr"/>
      <c r="F3699">
        <f>IMAGE("https://cf.shopee.tw/file/267ed1f2ca0e8508e03806fcfa22fc12_tn")</f>
        <v/>
      </c>
    </row>
    <row r="3700">
      <c r="A3700" t="inlineStr">
        <is>
          <t>12439413079</t>
        </is>
      </c>
      <c r="B3700" t="inlineStr">
        <is>
          <t>隔日到貨🔥 iPhone 手機殼 17 16 15 14 13 12 11 XS XR SE3 X 保護殼 軟殼 蘋果</t>
        </is>
      </c>
      <c r="C3700">
        <f>IMAGE("https://cf.shopee.tw/file/1632d6b5d234d29ddbe479a1838bec99_tn")</f>
        <v/>
      </c>
      <c r="D3700" t="inlineStr">
        <is>
          <t>2.熊熊,16 Pro Max</t>
        </is>
      </c>
      <c r="E3700" t="inlineStr"/>
      <c r="F3700">
        <f>IMAGE("https://cf.shopee.tw/file/267ed1f2ca0e8508e03806fcfa22fc12_tn")</f>
        <v/>
      </c>
    </row>
    <row r="3701">
      <c r="A3701" t="inlineStr">
        <is>
          <t>12439413079</t>
        </is>
      </c>
      <c r="B3701" t="inlineStr">
        <is>
          <t>隔日到貨🔥 iPhone 手機殼 17 16 15 14 13 12 11 XS XR SE3 X 保護殼 軟殼 蘋果</t>
        </is>
      </c>
      <c r="C3701">
        <f>IMAGE("https://cf.shopee.tw/file/1632d6b5d234d29ddbe479a1838bec99_tn")</f>
        <v/>
      </c>
      <c r="D3701" t="inlineStr">
        <is>
          <t>2.熊熊,17</t>
        </is>
      </c>
      <c r="E3701" t="inlineStr"/>
      <c r="F3701">
        <f>IMAGE("https://cf.shopee.tw/file/267ed1f2ca0e8508e03806fcfa22fc12_tn")</f>
        <v/>
      </c>
    </row>
    <row r="3702">
      <c r="A3702" t="inlineStr">
        <is>
          <t>12439413079</t>
        </is>
      </c>
      <c r="B3702" t="inlineStr">
        <is>
          <t>隔日到貨🔥 iPhone 手機殼 17 16 15 14 13 12 11 XS XR SE3 X 保護殼 軟殼 蘋果</t>
        </is>
      </c>
      <c r="C3702">
        <f>IMAGE("https://cf.shopee.tw/file/1632d6b5d234d29ddbe479a1838bec99_tn")</f>
        <v/>
      </c>
      <c r="D3702" t="inlineStr">
        <is>
          <t>2.熊熊,17 Pro</t>
        </is>
      </c>
      <c r="E3702" t="inlineStr"/>
      <c r="F3702">
        <f>IMAGE("https://cf.shopee.tw/file/267ed1f2ca0e8508e03806fcfa22fc12_tn")</f>
        <v/>
      </c>
    </row>
    <row r="3703">
      <c r="A3703" t="inlineStr">
        <is>
          <t>12439413079</t>
        </is>
      </c>
      <c r="B3703" t="inlineStr">
        <is>
          <t>隔日到貨🔥 iPhone 手機殼 17 16 15 14 13 12 11 XS XR SE3 X 保護殼 軟殼 蘋果</t>
        </is>
      </c>
      <c r="C3703">
        <f>IMAGE("https://cf.shopee.tw/file/1632d6b5d234d29ddbe479a1838bec99_tn")</f>
        <v/>
      </c>
      <c r="D3703" t="inlineStr">
        <is>
          <t>2.熊熊,17 Pro Max</t>
        </is>
      </c>
      <c r="E3703" t="inlineStr"/>
      <c r="F3703">
        <f>IMAGE("https://cf.shopee.tw/file/267ed1f2ca0e8508e03806fcfa22fc12_tn")</f>
        <v/>
      </c>
    </row>
    <row r="3704">
      <c r="A3704" t="inlineStr">
        <is>
          <t>12439413079</t>
        </is>
      </c>
      <c r="B3704" t="inlineStr">
        <is>
          <t>隔日到貨🔥 iPhone 手機殼 17 16 15 14 13 12 11 XS XR SE3 X 保護殼 軟殼 蘋果</t>
        </is>
      </c>
      <c r="C3704">
        <f>IMAGE("https://cf.shopee.tw/file/1632d6b5d234d29ddbe479a1838bec99_tn")</f>
        <v/>
      </c>
      <c r="D3704" t="inlineStr">
        <is>
          <t>2.熊熊,17 Air</t>
        </is>
      </c>
      <c r="E3704" t="inlineStr"/>
      <c r="F3704">
        <f>IMAGE("https://cf.shopee.tw/file/267ed1f2ca0e8508e03806fcfa22fc12_tn")</f>
        <v/>
      </c>
    </row>
    <row r="3705">
      <c r="A3705" t="inlineStr">
        <is>
          <t>12439413079</t>
        </is>
      </c>
      <c r="B3705" t="inlineStr">
        <is>
          <t>隔日到貨🔥 iPhone 手機殼 17 16 15 14 13 12 11 XS XR SE3 X 保護殼 軟殼 蘋果</t>
        </is>
      </c>
      <c r="C3705">
        <f>IMAGE("https://cf.shopee.tw/file/1632d6b5d234d29ddbe479a1838bec99_tn")</f>
        <v/>
      </c>
      <c r="D3705" t="inlineStr">
        <is>
          <t>1.透明藍殼,7 / 8 / SE2 / SE3</t>
        </is>
      </c>
      <c r="E3705" t="inlineStr"/>
      <c r="F3705">
        <f>IMAGE("https://cf.shopee.tw/file/dffa29243ad7410b0de17fda42132f2f_tn")</f>
        <v/>
      </c>
    </row>
    <row r="3706">
      <c r="A3706" t="inlineStr">
        <is>
          <t>12439413079</t>
        </is>
      </c>
      <c r="B3706" t="inlineStr">
        <is>
          <t>隔日到貨🔥 iPhone 手機殼 17 16 15 14 13 12 11 XS XR SE3 X 保護殼 軟殼 蘋果</t>
        </is>
      </c>
      <c r="C3706">
        <f>IMAGE("https://cf.shopee.tw/file/1632d6b5d234d29ddbe479a1838bec99_tn")</f>
        <v/>
      </c>
      <c r="D3706" t="inlineStr">
        <is>
          <t>1.透明藍殼,7Plus / 8Plus</t>
        </is>
      </c>
      <c r="E3706" t="inlineStr"/>
      <c r="F3706">
        <f>IMAGE("https://cf.shopee.tw/file/dffa29243ad7410b0de17fda42132f2f_tn")</f>
        <v/>
      </c>
    </row>
    <row r="3707">
      <c r="A3707" t="inlineStr">
        <is>
          <t>12439413079</t>
        </is>
      </c>
      <c r="B3707" t="inlineStr">
        <is>
          <t>隔日到貨🔥 iPhone 手機殼 17 16 15 14 13 12 11 XS XR SE3 X 保護殼 軟殼 蘋果</t>
        </is>
      </c>
      <c r="C3707">
        <f>IMAGE("https://cf.shopee.tw/file/1632d6b5d234d29ddbe479a1838bec99_tn")</f>
        <v/>
      </c>
      <c r="D3707" t="inlineStr">
        <is>
          <t>1.透明藍殼,X / XS</t>
        </is>
      </c>
      <c r="E3707" t="inlineStr">
        <is>
          <t>171110111481</t>
        </is>
      </c>
      <c r="F3707">
        <f>IMAGE("https://cf.shopee.tw/file/dffa29243ad7410b0de17fda42132f2f_tn")</f>
        <v/>
      </c>
    </row>
    <row r="3708">
      <c r="A3708" t="inlineStr">
        <is>
          <t>12439413079</t>
        </is>
      </c>
      <c r="B3708" t="inlineStr">
        <is>
          <t>隔日到貨🔥 iPhone 手機殼 17 16 15 14 13 12 11 XS XR SE3 X 保護殼 軟殼 蘋果</t>
        </is>
      </c>
      <c r="C3708">
        <f>IMAGE("https://cf.shopee.tw/file/1632d6b5d234d29ddbe479a1838bec99_tn")</f>
        <v/>
      </c>
      <c r="D3708" t="inlineStr">
        <is>
          <t>1.透明藍殼,XR</t>
        </is>
      </c>
      <c r="E3708" t="inlineStr"/>
      <c r="F3708">
        <f>IMAGE("https://cf.shopee.tw/file/dffa29243ad7410b0de17fda42132f2f_tn")</f>
        <v/>
      </c>
    </row>
    <row r="3709">
      <c r="A3709" t="inlineStr">
        <is>
          <t>12439413079</t>
        </is>
      </c>
      <c r="B3709" t="inlineStr">
        <is>
          <t>隔日到貨🔥 iPhone 手機殼 17 16 15 14 13 12 11 XS XR SE3 X 保護殼 軟殼 蘋果</t>
        </is>
      </c>
      <c r="C3709">
        <f>IMAGE("https://cf.shopee.tw/file/1632d6b5d234d29ddbe479a1838bec99_tn")</f>
        <v/>
      </c>
      <c r="D3709" t="inlineStr">
        <is>
          <t>1.透明藍殼,XS Max</t>
        </is>
      </c>
      <c r="E3709" t="inlineStr"/>
      <c r="F3709">
        <f>IMAGE("https://cf.shopee.tw/file/dffa29243ad7410b0de17fda42132f2f_tn")</f>
        <v/>
      </c>
    </row>
    <row r="3710">
      <c r="A3710" t="inlineStr">
        <is>
          <t>12439413079</t>
        </is>
      </c>
      <c r="B3710" t="inlineStr">
        <is>
          <t>隔日到貨🔥 iPhone 手機殼 17 16 15 14 13 12 11 XS XR SE3 X 保護殼 軟殼 蘋果</t>
        </is>
      </c>
      <c r="C3710">
        <f>IMAGE("https://cf.shopee.tw/file/1632d6b5d234d29ddbe479a1838bec99_tn")</f>
        <v/>
      </c>
      <c r="D3710" t="inlineStr">
        <is>
          <t>1.透明藍殼,11</t>
        </is>
      </c>
      <c r="E3710" t="inlineStr">
        <is>
          <t>171110111470</t>
        </is>
      </c>
      <c r="F3710">
        <f>IMAGE("https://cf.shopee.tw/file/dffa29243ad7410b0de17fda42132f2f_tn")</f>
        <v/>
      </c>
    </row>
    <row r="3711">
      <c r="A3711" t="inlineStr">
        <is>
          <t>12439413079</t>
        </is>
      </c>
      <c r="B3711" t="inlineStr">
        <is>
          <t>隔日到貨🔥 iPhone 手機殼 17 16 15 14 13 12 11 XS XR SE3 X 保護殼 軟殼 蘋果</t>
        </is>
      </c>
      <c r="C3711">
        <f>IMAGE("https://cf.shopee.tw/file/1632d6b5d234d29ddbe479a1838bec99_tn")</f>
        <v/>
      </c>
      <c r="D3711" t="inlineStr">
        <is>
          <t>1.透明藍殼,11 pro</t>
        </is>
      </c>
      <c r="E3711" t="inlineStr"/>
      <c r="F3711">
        <f>IMAGE("https://cf.shopee.tw/file/dffa29243ad7410b0de17fda42132f2f_tn")</f>
        <v/>
      </c>
    </row>
    <row r="3712">
      <c r="A3712" t="inlineStr">
        <is>
          <t>12439413079</t>
        </is>
      </c>
      <c r="B3712" t="inlineStr">
        <is>
          <t>隔日到貨🔥 iPhone 手機殼 17 16 15 14 13 12 11 XS XR SE3 X 保護殼 軟殼 蘋果</t>
        </is>
      </c>
      <c r="C3712">
        <f>IMAGE("https://cf.shopee.tw/file/1632d6b5d234d29ddbe479a1838bec99_tn")</f>
        <v/>
      </c>
      <c r="D3712" t="inlineStr">
        <is>
          <t>1.透明藍殼,11 pro Max</t>
        </is>
      </c>
      <c r="E3712" t="inlineStr"/>
      <c r="F3712">
        <f>IMAGE("https://cf.shopee.tw/file/dffa29243ad7410b0de17fda42132f2f_tn")</f>
        <v/>
      </c>
    </row>
    <row r="3713">
      <c r="A3713" t="inlineStr">
        <is>
          <t>12439413079</t>
        </is>
      </c>
      <c r="B3713" t="inlineStr">
        <is>
          <t>隔日到貨🔥 iPhone 手機殼 17 16 15 14 13 12 11 XS XR SE3 X 保護殼 軟殼 蘋果</t>
        </is>
      </c>
      <c r="C3713">
        <f>IMAGE("https://cf.shopee.tw/file/1632d6b5d234d29ddbe479a1838bec99_tn")</f>
        <v/>
      </c>
      <c r="D3713" t="inlineStr">
        <is>
          <t>1.透明藍殼,12</t>
        </is>
      </c>
      <c r="E3713" t="inlineStr">
        <is>
          <t>171110111464</t>
        </is>
      </c>
      <c r="F3713">
        <f>IMAGE("https://cf.shopee.tw/file/dffa29243ad7410b0de17fda42132f2f_tn")</f>
        <v/>
      </c>
    </row>
    <row r="3714">
      <c r="A3714" t="inlineStr">
        <is>
          <t>12439413079</t>
        </is>
      </c>
      <c r="B3714" t="inlineStr">
        <is>
          <t>隔日到貨🔥 iPhone 手機殼 17 16 15 14 13 12 11 XS XR SE3 X 保護殼 軟殼 蘋果</t>
        </is>
      </c>
      <c r="C3714">
        <f>IMAGE("https://cf.shopee.tw/file/1632d6b5d234d29ddbe479a1838bec99_tn")</f>
        <v/>
      </c>
      <c r="D3714" t="inlineStr">
        <is>
          <t>1.透明藍殼,12 pro</t>
        </is>
      </c>
      <c r="E3714" t="inlineStr"/>
      <c r="F3714">
        <f>IMAGE("https://cf.shopee.tw/file/dffa29243ad7410b0de17fda42132f2f_tn")</f>
        <v/>
      </c>
    </row>
    <row r="3715">
      <c r="A3715" t="inlineStr">
        <is>
          <t>12439413079</t>
        </is>
      </c>
      <c r="B3715" t="inlineStr">
        <is>
          <t>隔日到貨🔥 iPhone 手機殼 17 16 15 14 13 12 11 XS XR SE3 X 保護殼 軟殼 蘋果</t>
        </is>
      </c>
      <c r="C3715">
        <f>IMAGE("https://cf.shopee.tw/file/1632d6b5d234d29ddbe479a1838bec99_tn")</f>
        <v/>
      </c>
      <c r="D3715" t="inlineStr">
        <is>
          <t>1.透明藍殼,12 pro Max</t>
        </is>
      </c>
      <c r="E3715" t="inlineStr"/>
      <c r="F3715">
        <f>IMAGE("https://cf.shopee.tw/file/dffa29243ad7410b0de17fda42132f2f_tn")</f>
        <v/>
      </c>
    </row>
    <row r="3716">
      <c r="A3716" t="inlineStr">
        <is>
          <t>12439413079</t>
        </is>
      </c>
      <c r="B3716" t="inlineStr">
        <is>
          <t>隔日到貨🔥 iPhone 手機殼 17 16 15 14 13 12 11 XS XR SE3 X 保護殼 軟殼 蘋果</t>
        </is>
      </c>
      <c r="C3716">
        <f>IMAGE("https://cf.shopee.tw/file/1632d6b5d234d29ddbe479a1838bec99_tn")</f>
        <v/>
      </c>
      <c r="D3716" t="inlineStr">
        <is>
          <t>1.透明藍殼,12 mini</t>
        </is>
      </c>
      <c r="E3716" t="inlineStr">
        <is>
          <t>171110111479</t>
        </is>
      </c>
      <c r="F3716">
        <f>IMAGE("https://cf.shopee.tw/file/dffa29243ad7410b0de17fda42132f2f_tn")</f>
        <v/>
      </c>
    </row>
    <row r="3717">
      <c r="A3717" t="inlineStr">
        <is>
          <t>12439413079</t>
        </is>
      </c>
      <c r="B3717" t="inlineStr">
        <is>
          <t>隔日到貨🔥 iPhone 手機殼 17 16 15 14 13 12 11 XS XR SE3 X 保護殼 軟殼 蘋果</t>
        </is>
      </c>
      <c r="C3717">
        <f>IMAGE("https://cf.shopee.tw/file/1632d6b5d234d29ddbe479a1838bec99_tn")</f>
        <v/>
      </c>
      <c r="D3717" t="inlineStr">
        <is>
          <t>1.透明藍殼,13</t>
        </is>
      </c>
      <c r="E3717" t="inlineStr"/>
      <c r="F3717">
        <f>IMAGE("https://cf.shopee.tw/file/dffa29243ad7410b0de17fda42132f2f_tn")</f>
        <v/>
      </c>
    </row>
    <row r="3718">
      <c r="A3718" t="inlineStr">
        <is>
          <t>12439413079</t>
        </is>
      </c>
      <c r="B3718" t="inlineStr">
        <is>
          <t>隔日到貨🔥 iPhone 手機殼 17 16 15 14 13 12 11 XS XR SE3 X 保護殼 軟殼 蘋果</t>
        </is>
      </c>
      <c r="C3718">
        <f>IMAGE("https://cf.shopee.tw/file/1632d6b5d234d29ddbe479a1838bec99_tn")</f>
        <v/>
      </c>
      <c r="D3718" t="inlineStr">
        <is>
          <t>1.透明藍殼,13 pro</t>
        </is>
      </c>
      <c r="E3718" t="inlineStr">
        <is>
          <t>171110111471</t>
        </is>
      </c>
      <c r="F3718">
        <f>IMAGE("https://cf.shopee.tw/file/dffa29243ad7410b0de17fda42132f2f_tn")</f>
        <v/>
      </c>
    </row>
    <row r="3719">
      <c r="A3719" t="inlineStr">
        <is>
          <t>12439413079</t>
        </is>
      </c>
      <c r="B3719" t="inlineStr">
        <is>
          <t>隔日到貨🔥 iPhone 手機殼 17 16 15 14 13 12 11 XS XR SE3 X 保護殼 軟殼 蘋果</t>
        </is>
      </c>
      <c r="C3719">
        <f>IMAGE("https://cf.shopee.tw/file/1632d6b5d234d29ddbe479a1838bec99_tn")</f>
        <v/>
      </c>
      <c r="D3719" t="inlineStr">
        <is>
          <t>1.透明藍殼,13 pro Max</t>
        </is>
      </c>
      <c r="E3719" t="inlineStr"/>
      <c r="F3719">
        <f>IMAGE("https://cf.shopee.tw/file/dffa29243ad7410b0de17fda42132f2f_tn")</f>
        <v/>
      </c>
    </row>
    <row r="3720">
      <c r="A3720" t="inlineStr">
        <is>
          <t>12439413079</t>
        </is>
      </c>
      <c r="B3720" t="inlineStr">
        <is>
          <t>隔日到貨🔥 iPhone 手機殼 17 16 15 14 13 12 11 XS XR SE3 X 保護殼 軟殼 蘋果</t>
        </is>
      </c>
      <c r="C3720">
        <f>IMAGE("https://cf.shopee.tw/file/1632d6b5d234d29ddbe479a1838bec99_tn")</f>
        <v/>
      </c>
      <c r="D3720" t="inlineStr">
        <is>
          <t>1.透明藍殼,13 mini</t>
        </is>
      </c>
      <c r="E3720" t="inlineStr"/>
      <c r="F3720">
        <f>IMAGE("https://cf.shopee.tw/file/dffa29243ad7410b0de17fda42132f2f_tn")</f>
        <v/>
      </c>
    </row>
    <row r="3721">
      <c r="A3721" t="inlineStr">
        <is>
          <t>12439413079</t>
        </is>
      </c>
      <c r="B3721" t="inlineStr">
        <is>
          <t>隔日到貨🔥 iPhone 手機殼 17 16 15 14 13 12 11 XS XR SE3 X 保護殼 軟殼 蘋果</t>
        </is>
      </c>
      <c r="C3721">
        <f>IMAGE("https://cf.shopee.tw/file/1632d6b5d234d29ddbe479a1838bec99_tn")</f>
        <v/>
      </c>
      <c r="D3721" t="inlineStr">
        <is>
          <t>1.透明藍殼,14</t>
        </is>
      </c>
      <c r="E3721" t="inlineStr"/>
      <c r="F3721">
        <f>IMAGE("https://cf.shopee.tw/file/dffa29243ad7410b0de17fda42132f2f_tn")</f>
        <v/>
      </c>
    </row>
    <row r="3722">
      <c r="A3722" t="inlineStr">
        <is>
          <t>12439413079</t>
        </is>
      </c>
      <c r="B3722" t="inlineStr">
        <is>
          <t>隔日到貨🔥 iPhone 手機殼 17 16 15 14 13 12 11 XS XR SE3 X 保護殼 軟殼 蘋果</t>
        </is>
      </c>
      <c r="C3722">
        <f>IMAGE("https://cf.shopee.tw/file/1632d6b5d234d29ddbe479a1838bec99_tn")</f>
        <v/>
      </c>
      <c r="D3722" t="inlineStr">
        <is>
          <t>1.透明藍殼,14 pro</t>
        </is>
      </c>
      <c r="E3722" t="inlineStr"/>
      <c r="F3722">
        <f>IMAGE("https://cf.shopee.tw/file/dffa29243ad7410b0de17fda42132f2f_tn")</f>
        <v/>
      </c>
    </row>
    <row r="3723">
      <c r="A3723" t="inlineStr">
        <is>
          <t>12439413079</t>
        </is>
      </c>
      <c r="B3723" t="inlineStr">
        <is>
          <t>隔日到貨🔥 iPhone 手機殼 17 16 15 14 13 12 11 XS XR SE3 X 保護殼 軟殼 蘋果</t>
        </is>
      </c>
      <c r="C3723">
        <f>IMAGE("https://cf.shopee.tw/file/1632d6b5d234d29ddbe479a1838bec99_tn")</f>
        <v/>
      </c>
      <c r="D3723" t="inlineStr">
        <is>
          <t>1.透明藍殼,14 Plus</t>
        </is>
      </c>
      <c r="E3723" t="inlineStr"/>
      <c r="F3723">
        <f>IMAGE("https://cf.shopee.tw/file/dffa29243ad7410b0de17fda42132f2f_tn")</f>
        <v/>
      </c>
    </row>
    <row r="3724">
      <c r="A3724" t="inlineStr">
        <is>
          <t>12439413079</t>
        </is>
      </c>
      <c r="B3724" t="inlineStr">
        <is>
          <t>隔日到貨🔥 iPhone 手機殼 17 16 15 14 13 12 11 XS XR SE3 X 保護殼 軟殼 蘋果</t>
        </is>
      </c>
      <c r="C3724">
        <f>IMAGE("https://cf.shopee.tw/file/1632d6b5d234d29ddbe479a1838bec99_tn")</f>
        <v/>
      </c>
      <c r="D3724" t="inlineStr">
        <is>
          <t>1.透明藍殼,14 pro Max</t>
        </is>
      </c>
      <c r="E3724" t="inlineStr"/>
      <c r="F3724">
        <f>IMAGE("https://cf.shopee.tw/file/dffa29243ad7410b0de17fda42132f2f_tn")</f>
        <v/>
      </c>
    </row>
    <row r="3725">
      <c r="A3725" t="inlineStr">
        <is>
          <t>12439413079</t>
        </is>
      </c>
      <c r="B3725" t="inlineStr">
        <is>
          <t>隔日到貨🔥 iPhone 手機殼 17 16 15 14 13 12 11 XS XR SE3 X 保護殼 軟殼 蘋果</t>
        </is>
      </c>
      <c r="C3725">
        <f>IMAGE("https://cf.shopee.tw/file/1632d6b5d234d29ddbe479a1838bec99_tn")</f>
        <v/>
      </c>
      <c r="D3725" t="inlineStr">
        <is>
          <t>1.透明藍殼,15</t>
        </is>
      </c>
      <c r="E3725" t="inlineStr">
        <is>
          <t>157018715009</t>
        </is>
      </c>
      <c r="F3725">
        <f>IMAGE("https://cf.shopee.tw/file/dffa29243ad7410b0de17fda42132f2f_tn")</f>
        <v/>
      </c>
    </row>
    <row r="3726">
      <c r="A3726" t="inlineStr">
        <is>
          <t>12439413079</t>
        </is>
      </c>
      <c r="B3726" t="inlineStr">
        <is>
          <t>隔日到貨🔥 iPhone 手機殼 17 16 15 14 13 12 11 XS XR SE3 X 保護殼 軟殼 蘋果</t>
        </is>
      </c>
      <c r="C3726">
        <f>IMAGE("https://cf.shopee.tw/file/1632d6b5d234d29ddbe479a1838bec99_tn")</f>
        <v/>
      </c>
      <c r="D3726" t="inlineStr">
        <is>
          <t>1.透明藍殼,15 pro</t>
        </is>
      </c>
      <c r="E3726" t="inlineStr"/>
      <c r="F3726">
        <f>IMAGE("https://cf.shopee.tw/file/dffa29243ad7410b0de17fda42132f2f_tn")</f>
        <v/>
      </c>
    </row>
    <row r="3727">
      <c r="A3727" t="inlineStr">
        <is>
          <t>12439413079</t>
        </is>
      </c>
      <c r="B3727" t="inlineStr">
        <is>
          <t>隔日到貨🔥 iPhone 手機殼 17 16 15 14 13 12 11 XS XR SE3 X 保護殼 軟殼 蘋果</t>
        </is>
      </c>
      <c r="C3727">
        <f>IMAGE("https://cf.shopee.tw/file/1632d6b5d234d29ddbe479a1838bec99_tn")</f>
        <v/>
      </c>
      <c r="D3727" t="inlineStr">
        <is>
          <t>1.透明藍殼,15 Plus</t>
        </is>
      </c>
      <c r="E3727" t="inlineStr">
        <is>
          <t>157018715006</t>
        </is>
      </c>
      <c r="F3727">
        <f>IMAGE("https://cf.shopee.tw/file/dffa29243ad7410b0de17fda42132f2f_tn")</f>
        <v/>
      </c>
    </row>
    <row r="3728">
      <c r="A3728" t="inlineStr">
        <is>
          <t>12439413079</t>
        </is>
      </c>
      <c r="B3728" t="inlineStr">
        <is>
          <t>隔日到貨🔥 iPhone 手機殼 17 16 15 14 13 12 11 XS XR SE3 X 保護殼 軟殼 蘋果</t>
        </is>
      </c>
      <c r="C3728">
        <f>IMAGE("https://cf.shopee.tw/file/1632d6b5d234d29ddbe479a1838bec99_tn")</f>
        <v/>
      </c>
      <c r="D3728" t="inlineStr">
        <is>
          <t>1.透明藍殼,15 pro Max</t>
        </is>
      </c>
      <c r="E3728" t="inlineStr"/>
      <c r="F3728">
        <f>IMAGE("https://cf.shopee.tw/file/dffa29243ad7410b0de17fda42132f2f_tn")</f>
        <v/>
      </c>
    </row>
    <row r="3729">
      <c r="A3729" t="inlineStr">
        <is>
          <t>12439413079</t>
        </is>
      </c>
      <c r="B3729" t="inlineStr">
        <is>
          <t>隔日到貨🔥 iPhone 手機殼 17 16 15 14 13 12 11 XS XR SE3 X 保護殼 軟殼 蘋果</t>
        </is>
      </c>
      <c r="C3729">
        <f>IMAGE("https://cf.shopee.tw/file/1632d6b5d234d29ddbe479a1838bec99_tn")</f>
        <v/>
      </c>
      <c r="D3729" t="inlineStr">
        <is>
          <t>1.透明藍殼,16</t>
        </is>
      </c>
      <c r="E3729" t="inlineStr">
        <is>
          <t>148876167829</t>
        </is>
      </c>
      <c r="F3729">
        <f>IMAGE("https://cf.shopee.tw/file/dffa29243ad7410b0de17fda42132f2f_tn")</f>
        <v/>
      </c>
    </row>
    <row r="3730">
      <c r="A3730" t="inlineStr">
        <is>
          <t>12439413079</t>
        </is>
      </c>
      <c r="B3730" t="inlineStr">
        <is>
          <t>隔日到貨🔥 iPhone 手機殼 17 16 15 14 13 12 11 XS XR SE3 X 保護殼 軟殼 蘋果</t>
        </is>
      </c>
      <c r="C3730">
        <f>IMAGE("https://cf.shopee.tw/file/1632d6b5d234d29ddbe479a1838bec99_tn")</f>
        <v/>
      </c>
      <c r="D3730" t="inlineStr">
        <is>
          <t>1.透明藍殼,16 Pro</t>
        </is>
      </c>
      <c r="E3730" t="inlineStr"/>
      <c r="F3730">
        <f>IMAGE("https://cf.shopee.tw/file/dffa29243ad7410b0de17fda42132f2f_tn")</f>
        <v/>
      </c>
    </row>
    <row r="3731">
      <c r="A3731" t="inlineStr">
        <is>
          <t>12439413079</t>
        </is>
      </c>
      <c r="B3731" t="inlineStr">
        <is>
          <t>隔日到貨🔥 iPhone 手機殼 17 16 15 14 13 12 11 XS XR SE3 X 保護殼 軟殼 蘋果</t>
        </is>
      </c>
      <c r="C3731">
        <f>IMAGE("https://cf.shopee.tw/file/1632d6b5d234d29ddbe479a1838bec99_tn")</f>
        <v/>
      </c>
      <c r="D3731" t="inlineStr">
        <is>
          <t>1.透明藍殼,16 Pro Max</t>
        </is>
      </c>
      <c r="E3731" t="inlineStr"/>
      <c r="F3731">
        <f>IMAGE("https://cf.shopee.tw/file/dffa29243ad7410b0de17fda42132f2f_tn")</f>
        <v/>
      </c>
    </row>
    <row r="3732">
      <c r="A3732" t="inlineStr">
        <is>
          <t>12439413079</t>
        </is>
      </c>
      <c r="B3732" t="inlineStr">
        <is>
          <t>隔日到貨🔥 iPhone 手機殼 17 16 15 14 13 12 11 XS XR SE3 X 保護殼 軟殼 蘋果</t>
        </is>
      </c>
      <c r="C3732">
        <f>IMAGE("https://cf.shopee.tw/file/1632d6b5d234d29ddbe479a1838bec99_tn")</f>
        <v/>
      </c>
      <c r="D3732" t="inlineStr">
        <is>
          <t>1.透明藍殼,17</t>
        </is>
      </c>
      <c r="E3732" t="inlineStr">
        <is>
          <t>395093201574</t>
        </is>
      </c>
      <c r="F3732">
        <f>IMAGE("https://cf.shopee.tw/file/dffa29243ad7410b0de17fda42132f2f_tn")</f>
        <v/>
      </c>
    </row>
    <row r="3733">
      <c r="A3733" t="inlineStr">
        <is>
          <t>12439413079</t>
        </is>
      </c>
      <c r="B3733" t="inlineStr">
        <is>
          <t>隔日到貨🔥 iPhone 手機殼 17 16 15 14 13 12 11 XS XR SE3 X 保護殼 軟殼 蘋果</t>
        </is>
      </c>
      <c r="C3733">
        <f>IMAGE("https://cf.shopee.tw/file/1632d6b5d234d29ddbe479a1838bec99_tn")</f>
        <v/>
      </c>
      <c r="D3733" t="inlineStr">
        <is>
          <t>1.透明藍殼,17 Pro</t>
        </is>
      </c>
      <c r="E3733" t="inlineStr">
        <is>
          <t>395093201575</t>
        </is>
      </c>
      <c r="F3733">
        <f>IMAGE("https://cf.shopee.tw/file/dffa29243ad7410b0de17fda42132f2f_tn")</f>
        <v/>
      </c>
    </row>
    <row r="3734">
      <c r="A3734" t="inlineStr">
        <is>
          <t>12439413079</t>
        </is>
      </c>
      <c r="B3734" t="inlineStr">
        <is>
          <t>隔日到貨🔥 iPhone 手機殼 17 16 15 14 13 12 11 XS XR SE3 X 保護殼 軟殼 蘋果</t>
        </is>
      </c>
      <c r="C3734">
        <f>IMAGE("https://cf.shopee.tw/file/1632d6b5d234d29ddbe479a1838bec99_tn")</f>
        <v/>
      </c>
      <c r="D3734" t="inlineStr">
        <is>
          <t>1.透明藍殼,17 Pro Max</t>
        </is>
      </c>
      <c r="E3734" t="inlineStr"/>
      <c r="F3734">
        <f>IMAGE("https://cf.shopee.tw/file/dffa29243ad7410b0de17fda42132f2f_tn")</f>
        <v/>
      </c>
    </row>
    <row r="3735">
      <c r="A3735" t="inlineStr">
        <is>
          <t>12439413079</t>
        </is>
      </c>
      <c r="B3735" t="inlineStr">
        <is>
          <t>隔日到貨🔥 iPhone 手機殼 17 16 15 14 13 12 11 XS XR SE3 X 保護殼 軟殼 蘋果</t>
        </is>
      </c>
      <c r="C3735">
        <f>IMAGE("https://cf.shopee.tw/file/1632d6b5d234d29ddbe479a1838bec99_tn")</f>
        <v/>
      </c>
      <c r="D3735" t="inlineStr">
        <is>
          <t>1.透明藍殼,17 Air</t>
        </is>
      </c>
      <c r="E3735" t="inlineStr"/>
      <c r="F3735">
        <f>IMAGE("https://cf.shopee.tw/file/dffa29243ad7410b0de17fda42132f2f_tn")</f>
        <v/>
      </c>
    </row>
    <row r="3736">
      <c r="A3736" t="inlineStr">
        <is>
          <t>12439413079</t>
        </is>
      </c>
      <c r="B3736" t="inlineStr">
        <is>
          <t>隔日到貨🔥 iPhone 手機殼 17 16 15 14 13 12 11 XS XR SE3 X 保護殼 軟殼 蘋果</t>
        </is>
      </c>
      <c r="C3736">
        <f>IMAGE("https://cf.shopee.tw/file/1632d6b5d234d29ddbe479a1838bec99_tn")</f>
        <v/>
      </c>
      <c r="D3736" t="inlineStr">
        <is>
          <t>2.熊熊,XR</t>
        </is>
      </c>
      <c r="E3736" t="inlineStr"/>
      <c r="F3736">
        <f>IMAGE("https://cf.shopee.tw/file/267ed1f2ca0e8508e03806fcfa22fc12_tn")</f>
        <v/>
      </c>
    </row>
    <row r="3737">
      <c r="A3737" t="inlineStr">
        <is>
          <t>12439413079</t>
        </is>
      </c>
      <c r="B3737" t="inlineStr">
        <is>
          <t>隔日到貨🔥 iPhone 手機殼 17 16 15 14 13 12 11 XS XR SE3 X 保護殼 軟殼 蘋果</t>
        </is>
      </c>
      <c r="C3737">
        <f>IMAGE("https://cf.shopee.tw/file/1632d6b5d234d29ddbe479a1838bec99_tn")</f>
        <v/>
      </c>
      <c r="D3737" t="inlineStr">
        <is>
          <t>2.熊熊,XS Max</t>
        </is>
      </c>
      <c r="E3737" t="inlineStr"/>
      <c r="F3737">
        <f>IMAGE("https://cf.shopee.tw/file/267ed1f2ca0e8508e03806fcfa22fc12_tn")</f>
        <v/>
      </c>
    </row>
    <row r="3738">
      <c r="A3738" t="inlineStr">
        <is>
          <t>12439413079</t>
        </is>
      </c>
      <c r="B3738" t="inlineStr">
        <is>
          <t>隔日到貨🔥 iPhone 手機殼 17 16 15 14 13 12 11 XS XR SE3 X 保護殼 軟殼 蘋果</t>
        </is>
      </c>
      <c r="C3738">
        <f>IMAGE("https://cf.shopee.tw/file/1632d6b5d234d29ddbe479a1838bec99_tn")</f>
        <v/>
      </c>
      <c r="D3738" t="inlineStr">
        <is>
          <t>2.熊熊,11</t>
        </is>
      </c>
      <c r="E3738" t="inlineStr"/>
      <c r="F3738">
        <f>IMAGE("https://cf.shopee.tw/file/267ed1f2ca0e8508e03806fcfa22fc12_tn")</f>
        <v/>
      </c>
    </row>
    <row r="3739">
      <c r="A3739" t="inlineStr">
        <is>
          <t>12439413079</t>
        </is>
      </c>
      <c r="B3739" t="inlineStr">
        <is>
          <t>隔日到貨🔥 iPhone 手機殼 17 16 15 14 13 12 11 XS XR SE3 X 保護殼 軟殼 蘋果</t>
        </is>
      </c>
      <c r="C3739">
        <f>IMAGE("https://cf.shopee.tw/file/1632d6b5d234d29ddbe479a1838bec99_tn")</f>
        <v/>
      </c>
      <c r="D3739" t="inlineStr">
        <is>
          <t>2.熊熊,11 pro</t>
        </is>
      </c>
      <c r="E3739" t="inlineStr"/>
      <c r="F3739">
        <f>IMAGE("https://cf.shopee.tw/file/267ed1f2ca0e8508e03806fcfa22fc12_tn")</f>
        <v/>
      </c>
    </row>
    <row r="3740">
      <c r="A3740" t="inlineStr">
        <is>
          <t>12439413079</t>
        </is>
      </c>
      <c r="B3740" t="inlineStr">
        <is>
          <t>隔日到貨🔥 iPhone 手機殼 17 16 15 14 13 12 11 XS XR SE3 X 保護殼 軟殼 蘋果</t>
        </is>
      </c>
      <c r="C3740">
        <f>IMAGE("https://cf.shopee.tw/file/1632d6b5d234d29ddbe479a1838bec99_tn")</f>
        <v/>
      </c>
      <c r="D3740" t="inlineStr">
        <is>
          <t>2.熊熊,11 pro Max</t>
        </is>
      </c>
      <c r="E3740" t="inlineStr"/>
      <c r="F3740">
        <f>IMAGE("https://cf.shopee.tw/file/267ed1f2ca0e8508e03806fcfa22fc12_tn")</f>
        <v/>
      </c>
    </row>
    <row r="3741">
      <c r="A3741" t="inlineStr">
        <is>
          <t>12439413079</t>
        </is>
      </c>
      <c r="B3741" t="inlineStr">
        <is>
          <t>隔日到貨🔥 iPhone 手機殼 17 16 15 14 13 12 11 XS XR SE3 X 保護殼 軟殼 蘋果</t>
        </is>
      </c>
      <c r="C3741">
        <f>IMAGE("https://cf.shopee.tw/file/1632d6b5d234d29ddbe479a1838bec99_tn")</f>
        <v/>
      </c>
      <c r="D3741" t="inlineStr">
        <is>
          <t>2.熊熊,12</t>
        </is>
      </c>
      <c r="E3741" t="inlineStr"/>
      <c r="F3741">
        <f>IMAGE("https://cf.shopee.tw/file/267ed1f2ca0e8508e03806fcfa22fc12_tn")</f>
        <v/>
      </c>
    </row>
    <row r="3742">
      <c r="A3742" t="inlineStr">
        <is>
          <t>12439413079</t>
        </is>
      </c>
      <c r="B3742" t="inlineStr">
        <is>
          <t>隔日到貨🔥 iPhone 手機殼 17 16 15 14 13 12 11 XS XR SE3 X 保護殼 軟殼 蘋果</t>
        </is>
      </c>
      <c r="C3742">
        <f>IMAGE("https://cf.shopee.tw/file/1632d6b5d234d29ddbe479a1838bec99_tn")</f>
        <v/>
      </c>
      <c r="D3742" t="inlineStr">
        <is>
          <t>2.熊熊,12 pro</t>
        </is>
      </c>
      <c r="E3742" t="inlineStr"/>
      <c r="F3742">
        <f>IMAGE("https://cf.shopee.tw/file/267ed1f2ca0e8508e03806fcfa22fc12_tn")</f>
        <v/>
      </c>
    </row>
    <row r="3743">
      <c r="A3743" t="inlineStr">
        <is>
          <t>12439413079</t>
        </is>
      </c>
      <c r="B3743" t="inlineStr">
        <is>
          <t>隔日到貨🔥 iPhone 手機殼 17 16 15 14 13 12 11 XS XR SE3 X 保護殼 軟殼 蘋果</t>
        </is>
      </c>
      <c r="C3743">
        <f>IMAGE("https://cf.shopee.tw/file/1632d6b5d234d29ddbe479a1838bec99_tn")</f>
        <v/>
      </c>
      <c r="D3743" t="inlineStr">
        <is>
          <t>2.熊熊,12 pro Max</t>
        </is>
      </c>
      <c r="E3743" t="inlineStr"/>
      <c r="F3743">
        <f>IMAGE("https://cf.shopee.tw/file/267ed1f2ca0e8508e03806fcfa22fc12_tn")</f>
        <v/>
      </c>
    </row>
    <row r="3744">
      <c r="A3744" t="inlineStr">
        <is>
          <t>12439413079</t>
        </is>
      </c>
      <c r="B3744" t="inlineStr">
        <is>
          <t>隔日到貨🔥 iPhone 手機殼 17 16 15 14 13 12 11 XS XR SE3 X 保護殼 軟殼 蘋果</t>
        </is>
      </c>
      <c r="C3744">
        <f>IMAGE("https://cf.shopee.tw/file/1632d6b5d234d29ddbe479a1838bec99_tn")</f>
        <v/>
      </c>
      <c r="D3744" t="inlineStr">
        <is>
          <t>2.熊熊,13 pro</t>
        </is>
      </c>
      <c r="E3744" t="inlineStr">
        <is>
          <t>171110111477</t>
        </is>
      </c>
      <c r="F3744">
        <f>IMAGE("https://cf.shopee.tw/file/267ed1f2ca0e8508e03806fcfa22fc12_tn")</f>
        <v/>
      </c>
    </row>
    <row r="3745">
      <c r="A3745" t="inlineStr">
        <is>
          <t>12439413079</t>
        </is>
      </c>
      <c r="B3745" t="inlineStr">
        <is>
          <t>隔日到貨🔥 iPhone 手機殼 17 16 15 14 13 12 11 XS XR SE3 X 保護殼 軟殼 蘋果</t>
        </is>
      </c>
      <c r="C3745">
        <f>IMAGE("https://cf.shopee.tw/file/1632d6b5d234d29ddbe479a1838bec99_tn")</f>
        <v/>
      </c>
      <c r="D3745" t="inlineStr">
        <is>
          <t>2.熊熊,13 pro Max</t>
        </is>
      </c>
      <c r="E3745" t="inlineStr">
        <is>
          <t>171110111468</t>
        </is>
      </c>
      <c r="F3745">
        <f>IMAGE("https://cf.shopee.tw/file/267ed1f2ca0e8508e03806fcfa22fc12_tn")</f>
        <v/>
      </c>
    </row>
    <row r="3746">
      <c r="A3746" t="inlineStr">
        <is>
          <t>12439413079</t>
        </is>
      </c>
      <c r="B3746" t="inlineStr">
        <is>
          <t>隔日到貨🔥 iPhone 手機殼 17 16 15 14 13 12 11 XS XR SE3 X 保護殼 軟殼 蘋果</t>
        </is>
      </c>
      <c r="C3746">
        <f>IMAGE("https://cf.shopee.tw/file/1632d6b5d234d29ddbe479a1838bec99_tn")</f>
        <v/>
      </c>
      <c r="D3746" t="inlineStr">
        <is>
          <t>2.熊熊,13 mini</t>
        </is>
      </c>
      <c r="E3746" t="inlineStr"/>
      <c r="F3746">
        <f>IMAGE("https://cf.shopee.tw/file/267ed1f2ca0e8508e03806fcfa22fc12_tn")</f>
        <v/>
      </c>
    </row>
    <row r="3747">
      <c r="A3747" t="inlineStr">
        <is>
          <t>12439413079</t>
        </is>
      </c>
      <c r="B3747" t="inlineStr">
        <is>
          <t>隔日到貨🔥 iPhone 手機殼 17 16 15 14 13 12 11 XS XR SE3 X 保護殼 軟殼 蘋果</t>
        </is>
      </c>
      <c r="C3747">
        <f>IMAGE("https://cf.shopee.tw/file/1632d6b5d234d29ddbe479a1838bec99_tn")</f>
        <v/>
      </c>
      <c r="D3747" t="inlineStr">
        <is>
          <t>2.熊熊,14</t>
        </is>
      </c>
      <c r="E3747" t="inlineStr">
        <is>
          <t>192364938256</t>
        </is>
      </c>
      <c r="F3747">
        <f>IMAGE("https://cf.shopee.tw/file/267ed1f2ca0e8508e03806fcfa22fc12_tn")</f>
        <v/>
      </c>
    </row>
    <row r="3748">
      <c r="A3748" t="inlineStr">
        <is>
          <t>12439413079</t>
        </is>
      </c>
      <c r="B3748" t="inlineStr">
        <is>
          <t>隔日到貨🔥 iPhone 手機殼 17 16 15 14 13 12 11 XS XR SE3 X 保護殼 軟殼 蘋果</t>
        </is>
      </c>
      <c r="C3748">
        <f>IMAGE("https://cf.shopee.tw/file/1632d6b5d234d29ddbe479a1838bec99_tn")</f>
        <v/>
      </c>
      <c r="D3748" t="inlineStr">
        <is>
          <t>2.熊熊,14 pro</t>
        </is>
      </c>
      <c r="E3748" t="inlineStr"/>
      <c r="F3748">
        <f>IMAGE("https://cf.shopee.tw/file/267ed1f2ca0e8508e03806fcfa22fc12_tn")</f>
        <v/>
      </c>
    </row>
    <row r="3749">
      <c r="A3749" t="inlineStr">
        <is>
          <t>12439413079</t>
        </is>
      </c>
      <c r="B3749" t="inlineStr">
        <is>
          <t>隔日到貨🔥 iPhone 手機殼 17 16 15 14 13 12 11 XS XR SE3 X 保護殼 軟殼 蘋果</t>
        </is>
      </c>
      <c r="C3749">
        <f>IMAGE("https://cf.shopee.tw/file/1632d6b5d234d29ddbe479a1838bec99_tn")</f>
        <v/>
      </c>
      <c r="D3749" t="inlineStr">
        <is>
          <t>2.熊熊,14 Plus</t>
        </is>
      </c>
      <c r="E3749" t="inlineStr"/>
      <c r="F3749">
        <f>IMAGE("https://cf.shopee.tw/file/267ed1f2ca0e8508e03806fcfa22fc12_tn")</f>
        <v/>
      </c>
    </row>
    <row r="3750">
      <c r="A3750" t="inlineStr">
        <is>
          <t>12439413079</t>
        </is>
      </c>
      <c r="B3750" t="inlineStr">
        <is>
          <t>隔日到貨🔥 iPhone 手機殼 17 16 15 14 13 12 11 XS XR SE3 X 保護殼 軟殼 蘋果</t>
        </is>
      </c>
      <c r="C3750">
        <f>IMAGE("https://cf.shopee.tw/file/1632d6b5d234d29ddbe479a1838bec99_tn")</f>
        <v/>
      </c>
      <c r="D3750" t="inlineStr">
        <is>
          <t>2.熊熊,14 pro Max</t>
        </is>
      </c>
      <c r="E3750" t="inlineStr"/>
      <c r="F3750">
        <f>IMAGE("https://cf.shopee.tw/file/267ed1f2ca0e8508e03806fcfa22fc12_tn")</f>
        <v/>
      </c>
    </row>
    <row r="3751">
      <c r="A3751" t="inlineStr">
        <is>
          <t>12439413079</t>
        </is>
      </c>
      <c r="B3751" t="inlineStr">
        <is>
          <t>隔日到貨🔥 iPhone 手機殼 17 16 15 14 13 12 11 XS XR SE3 X 保護殼 軟殼 蘋果</t>
        </is>
      </c>
      <c r="C3751">
        <f>IMAGE("https://cf.shopee.tw/file/1632d6b5d234d29ddbe479a1838bec99_tn")</f>
        <v/>
      </c>
      <c r="D3751" t="inlineStr">
        <is>
          <t>2.熊熊,15</t>
        </is>
      </c>
      <c r="E3751" t="inlineStr"/>
      <c r="F3751">
        <f>IMAGE("https://cf.shopee.tw/file/267ed1f2ca0e8508e03806fcfa22fc12_tn")</f>
        <v/>
      </c>
    </row>
    <row r="3752">
      <c r="A3752" t="inlineStr">
        <is>
          <t>12439413079</t>
        </is>
      </c>
      <c r="B3752" t="inlineStr">
        <is>
          <t>隔日到貨🔥 iPhone 手機殼 17 16 15 14 13 12 11 XS XR SE3 X 保護殼 軟殼 蘋果</t>
        </is>
      </c>
      <c r="C3752">
        <f>IMAGE("https://cf.shopee.tw/file/1632d6b5d234d29ddbe479a1838bec99_tn")</f>
        <v/>
      </c>
      <c r="D3752" t="inlineStr">
        <is>
          <t>2.熊熊,15 pro</t>
        </is>
      </c>
      <c r="E3752" t="inlineStr"/>
      <c r="F3752">
        <f>IMAGE("https://cf.shopee.tw/file/267ed1f2ca0e8508e03806fcfa22fc12_tn")</f>
        <v/>
      </c>
    </row>
    <row r="3753">
      <c r="A3753" t="inlineStr">
        <is>
          <t>12439413079</t>
        </is>
      </c>
      <c r="B3753" t="inlineStr">
        <is>
          <t>隔日到貨🔥 iPhone 手機殼 17 16 15 14 13 12 11 XS XR SE3 X 保護殼 軟殼 蘋果</t>
        </is>
      </c>
      <c r="C3753">
        <f>IMAGE("https://cf.shopee.tw/file/1632d6b5d234d29ddbe479a1838bec99_tn")</f>
        <v/>
      </c>
      <c r="D3753" t="inlineStr">
        <is>
          <t>2.熊熊,15 Plus</t>
        </is>
      </c>
      <c r="E3753" t="inlineStr"/>
      <c r="F3753">
        <f>IMAGE("https://cf.shopee.tw/file/267ed1f2ca0e8508e03806fcfa22fc12_tn")</f>
        <v/>
      </c>
    </row>
    <row r="3754">
      <c r="A3754" t="inlineStr">
        <is>
          <t>12439413079</t>
        </is>
      </c>
      <c r="B3754" t="inlineStr">
        <is>
          <t>隔日到貨🔥 iPhone 手機殼 17 16 15 14 13 12 11 XS XR SE3 X 保護殼 軟殼 蘋果</t>
        </is>
      </c>
      <c r="C3754">
        <f>IMAGE("https://cf.shopee.tw/file/1632d6b5d234d29ddbe479a1838bec99_tn")</f>
        <v/>
      </c>
      <c r="D3754" t="inlineStr">
        <is>
          <t>2.熊熊,15 pro Max</t>
        </is>
      </c>
      <c r="E3754" t="inlineStr"/>
      <c r="F3754">
        <f>IMAGE("https://cf.shopee.tw/file/267ed1f2ca0e8508e03806fcfa22fc12_tn")</f>
        <v/>
      </c>
    </row>
    <row r="3755">
      <c r="A3755" t="inlineStr">
        <is>
          <t>3118688969</t>
        </is>
      </c>
      <c r="B3755" t="inlineStr">
        <is>
          <t>隔日到貨🔥 韓系 ins 熱銷款🏆 B14 可放長夾 單肩 帆布 斜背 側背包 單肩包 學生包 斜背包</t>
        </is>
      </c>
      <c r="C3755">
        <f>IMAGE("https://cf.shopee.tw/file/6ef35c8c670917e5c9e6e6e64b3d2ec6_tn")</f>
        <v/>
      </c>
      <c r="D3755" t="inlineStr">
        <is>
          <t>1.黑色</t>
        </is>
      </c>
      <c r="E3755" t="inlineStr">
        <is>
          <t>10050032858</t>
        </is>
      </c>
      <c r="F3755">
        <f>IMAGE("https://cf.shopee.tw/file/3225f6fb0a9d81cd65717c7a3e8d448e_tn")</f>
        <v/>
      </c>
    </row>
    <row r="3756">
      <c r="A3756" t="inlineStr">
        <is>
          <t>3118688969</t>
        </is>
      </c>
      <c r="B3756" t="inlineStr">
        <is>
          <t>隔日到貨🔥 韓系 ins 熱銷款🏆 B14 可放長夾 單肩 帆布 斜背 側背包 單肩包 學生包 斜背包</t>
        </is>
      </c>
      <c r="C3756">
        <f>IMAGE("https://cf.shopee.tw/file/6ef35c8c670917e5c9e6e6e64b3d2ec6_tn")</f>
        <v/>
      </c>
      <c r="D3756" t="inlineStr">
        <is>
          <t>2.黃色</t>
        </is>
      </c>
      <c r="E3756" t="inlineStr">
        <is>
          <t>10050032859</t>
        </is>
      </c>
      <c r="F3756">
        <f>IMAGE("https://cf.shopee.tw/file/7b50ccebc3a27b1de9ac46b2c8af2802_tn")</f>
        <v/>
      </c>
    </row>
    <row r="3757">
      <c r="A3757" t="inlineStr">
        <is>
          <t>3118688969</t>
        </is>
      </c>
      <c r="B3757" t="inlineStr">
        <is>
          <t>隔日到貨🔥 韓系 ins 熱銷款🏆 B14 可放長夾 單肩 帆布 斜背 側背包 單肩包 學生包 斜背包</t>
        </is>
      </c>
      <c r="C3757">
        <f>IMAGE("https://cf.shopee.tw/file/6ef35c8c670917e5c9e6e6e64b3d2ec6_tn")</f>
        <v/>
      </c>
      <c r="D3757" t="inlineStr">
        <is>
          <t>3.白色</t>
        </is>
      </c>
      <c r="E3757" t="inlineStr">
        <is>
          <t>10050032860</t>
        </is>
      </c>
      <c r="F3757">
        <f>IMAGE("https://cf.shopee.tw/file/4b06fee25934a01d9de28f384fa0a72a_tn")</f>
        <v/>
      </c>
    </row>
    <row r="3758">
      <c r="A3758" t="inlineStr">
        <is>
          <t>20801138947</t>
        </is>
      </c>
      <c r="B3758" t="inlineStr">
        <is>
          <t>隔日到貨🔥 Airpods 透明殼 1代 2代 pro pro2 3 軟殼 A7 保護殼 防摔殼 保護套 耳機殼</t>
        </is>
      </c>
      <c r="C3758">
        <f>IMAGE("https://cf.shopee.tw/file/sg-11134201-22120-qou0a4s3umkvf6_tn")</f>
        <v/>
      </c>
      <c r="D3758" t="inlineStr">
        <is>
          <t>1號(附掛鉤),［3代］</t>
        </is>
      </c>
      <c r="E3758" t="inlineStr"/>
      <c r="F3758">
        <f>IMAGE("https://cf.shopee.tw/file/1aab360f66ebbc05ffe525a27e6edebb_tn")</f>
        <v/>
      </c>
    </row>
    <row r="3759">
      <c r="A3759" t="inlineStr">
        <is>
          <t>20801138947</t>
        </is>
      </c>
      <c r="B3759" t="inlineStr">
        <is>
          <t>隔日到貨🔥 Airpods 透明殼 1代 2代 pro pro2 3 軟殼 A7 保護殼 防摔殼 保護套 耳機殼</t>
        </is>
      </c>
      <c r="C3759">
        <f>IMAGE("https://cf.shopee.tw/file/sg-11134201-22120-qou0a4s3umkvf6_tn")</f>
        <v/>
      </c>
      <c r="D3759" t="inlineStr">
        <is>
          <t>3號(附圖上吊飾),［3代］</t>
        </is>
      </c>
      <c r="E3759" t="inlineStr"/>
      <c r="F3759">
        <f>IMAGE("https://cf.shopee.tw/file/sg-11134201-22110-y91g759x8ijv03_tn")</f>
        <v/>
      </c>
    </row>
    <row r="3760">
      <c r="A3760" t="inlineStr">
        <is>
          <t>20801138947</t>
        </is>
      </c>
      <c r="B3760" t="inlineStr">
        <is>
          <t>隔日到貨🔥 Airpods 透明殼 1代 2代 pro pro2 3 軟殼 A7 保護殼 防摔殼 保護套 耳機殼</t>
        </is>
      </c>
      <c r="C3760">
        <f>IMAGE("https://cf.shopee.tw/file/sg-11134201-22120-qou0a4s3umkvf6_tn")</f>
        <v/>
      </c>
      <c r="D3760" t="inlineStr">
        <is>
          <t>4號(附圖上吊飾),［3代］</t>
        </is>
      </c>
      <c r="E3760" t="inlineStr"/>
      <c r="F3760">
        <f>IMAGE("https://cf.shopee.tw/file/sg-11134201-22110-h2tq5ujy8ijv39_tn")</f>
        <v/>
      </c>
    </row>
    <row r="3761">
      <c r="A3761" t="inlineStr">
        <is>
          <t>20801138947</t>
        </is>
      </c>
      <c r="B3761" t="inlineStr">
        <is>
          <t>隔日到貨🔥 Airpods 透明殼 1代 2代 pro pro2 3 軟殼 A7 保護殼 防摔殼 保護套 耳機殼</t>
        </is>
      </c>
      <c r="C3761">
        <f>IMAGE("https://cf.shopee.tw/file/sg-11134201-22120-qou0a4s3umkvf6_tn")</f>
        <v/>
      </c>
      <c r="D3761" t="inlineStr">
        <is>
          <t>5號(附圖上吊飾),1代 / 2代</t>
        </is>
      </c>
      <c r="E3761" t="inlineStr"/>
      <c r="F3761">
        <f>IMAGE("https://cf.shopee.tw/file/sg-11134201-22110-itnwi7zy8ijvfd_tn")</f>
        <v/>
      </c>
    </row>
    <row r="3762">
      <c r="A3762" t="inlineStr">
        <is>
          <t>20801138947</t>
        </is>
      </c>
      <c r="B3762" t="inlineStr">
        <is>
          <t>隔日到貨🔥 Airpods 透明殼 1代 2代 pro pro2 3 軟殼 A7 保護殼 防摔殼 保護套 耳機殼</t>
        </is>
      </c>
      <c r="C3762">
        <f>IMAGE("https://cf.shopee.tw/file/sg-11134201-22120-qou0a4s3umkvf6_tn")</f>
        <v/>
      </c>
      <c r="D3762" t="inlineStr">
        <is>
          <t>5號(附圖上吊飾),［3代］</t>
        </is>
      </c>
      <c r="E3762" t="inlineStr"/>
      <c r="F3762">
        <f>IMAGE("https://cf.shopee.tw/file/sg-11134201-22110-itnwi7zy8ijvfd_tn")</f>
        <v/>
      </c>
    </row>
    <row r="3763">
      <c r="A3763" t="inlineStr">
        <is>
          <t>20801138947</t>
        </is>
      </c>
      <c r="B3763" t="inlineStr">
        <is>
          <t>隔日到貨🔥 Airpods 透明殼 1代 2代 pro pro2 3 軟殼 A7 保護殼 防摔殼 保護套 耳機殼</t>
        </is>
      </c>
      <c r="C3763">
        <f>IMAGE("https://cf.shopee.tw/file/sg-11134201-22120-qou0a4s3umkvf6_tn")</f>
        <v/>
      </c>
      <c r="D3763" t="inlineStr">
        <is>
          <t>9號(附圖上掛飾),Pro1代 / Pro2代 (通用）</t>
        </is>
      </c>
      <c r="E3763" t="inlineStr"/>
      <c r="F3763">
        <f>IMAGE("https://cf.shopee.tw/file/sg-11134201-22120-kuh0n5bwumkvf4_tn")</f>
        <v/>
      </c>
    </row>
    <row r="3764">
      <c r="A3764" t="inlineStr">
        <is>
          <t>20801138947</t>
        </is>
      </c>
      <c r="B3764" t="inlineStr">
        <is>
          <t>隔日到貨🔥 Airpods 透明殼 1代 2代 pro pro2 3 軟殼 A7 保護殼 防摔殼 保護套 耳機殼</t>
        </is>
      </c>
      <c r="C3764">
        <f>IMAGE("https://cf.shopee.tw/file/sg-11134201-22120-qou0a4s3umkvf6_tn")</f>
        <v/>
      </c>
      <c r="D3764" t="inlineStr">
        <is>
          <t>1號(附掛鉤),1代 / 2代</t>
        </is>
      </c>
      <c r="E3764" t="inlineStr"/>
      <c r="F3764">
        <f>IMAGE("https://cf.shopee.tw/file/1aab360f66ebbc05ffe525a27e6edebb_tn")</f>
        <v/>
      </c>
    </row>
    <row r="3765">
      <c r="A3765" t="inlineStr">
        <is>
          <t>20801138947</t>
        </is>
      </c>
      <c r="B3765" t="inlineStr">
        <is>
          <t>隔日到貨🔥 Airpods 透明殼 1代 2代 pro pro2 3 軟殼 A7 保護殼 防摔殼 保護套 耳機殼</t>
        </is>
      </c>
      <c r="C3765">
        <f>IMAGE("https://cf.shopee.tw/file/sg-11134201-22120-qou0a4s3umkvf6_tn")</f>
        <v/>
      </c>
      <c r="D3765" t="inlineStr">
        <is>
          <t>1號(附掛鉤),Pro1代 / Pro2代 (通用）</t>
        </is>
      </c>
      <c r="E3765" t="inlineStr"/>
      <c r="F3765">
        <f>IMAGE("https://cf.shopee.tw/file/1aab360f66ebbc05ffe525a27e6edebb_tn")</f>
        <v/>
      </c>
    </row>
    <row r="3766">
      <c r="A3766" t="inlineStr">
        <is>
          <t>20801138947</t>
        </is>
      </c>
      <c r="B3766" t="inlineStr">
        <is>
          <t>隔日到貨🔥 Airpods 透明殼 1代 2代 pro pro2 3 軟殼 A7 保護殼 防摔殼 保護套 耳機殼</t>
        </is>
      </c>
      <c r="C3766">
        <f>IMAGE("https://cf.shopee.tw/file/sg-11134201-22120-qou0a4s3umkvf6_tn")</f>
        <v/>
      </c>
      <c r="D3766" t="inlineStr">
        <is>
          <t>2號(附圖上吊飾),1代 / 2代</t>
        </is>
      </c>
      <c r="E3766" t="inlineStr">
        <is>
          <t>213081727836</t>
        </is>
      </c>
      <c r="F3766">
        <f>IMAGE("https://cf.shopee.tw/file/sg-11134201-22110-mv7ixctx8ijvfa_tn")</f>
        <v/>
      </c>
    </row>
    <row r="3767">
      <c r="A3767" t="inlineStr">
        <is>
          <t>20801138947</t>
        </is>
      </c>
      <c r="B3767" t="inlineStr">
        <is>
          <t>隔日到貨🔥 Airpods 透明殼 1代 2代 pro pro2 3 軟殼 A7 保護殼 防摔殼 保護套 耳機殼</t>
        </is>
      </c>
      <c r="C3767">
        <f>IMAGE("https://cf.shopee.tw/file/sg-11134201-22120-qou0a4s3umkvf6_tn")</f>
        <v/>
      </c>
      <c r="D3767" t="inlineStr">
        <is>
          <t>2號(附圖上吊飾),Pro1代 / Pro2代 (通用）</t>
        </is>
      </c>
      <c r="E3767" t="inlineStr">
        <is>
          <t>213081727821</t>
        </is>
      </c>
      <c r="F3767">
        <f>IMAGE("https://cf.shopee.tw/file/sg-11134201-22110-mv7ixctx8ijvfa_tn")</f>
        <v/>
      </c>
    </row>
    <row r="3768">
      <c r="A3768" t="inlineStr">
        <is>
          <t>20801138947</t>
        </is>
      </c>
      <c r="B3768" t="inlineStr">
        <is>
          <t>隔日到貨🔥 Airpods 透明殼 1代 2代 pro pro2 3 軟殼 A7 保護殼 防摔殼 保護套 耳機殼</t>
        </is>
      </c>
      <c r="C3768">
        <f>IMAGE("https://cf.shopee.tw/file/sg-11134201-22120-qou0a4s3umkvf6_tn")</f>
        <v/>
      </c>
      <c r="D3768" t="inlineStr">
        <is>
          <t>2號(附圖上吊飾),［3代］</t>
        </is>
      </c>
      <c r="E3768" t="inlineStr"/>
      <c r="F3768">
        <f>IMAGE("https://cf.shopee.tw/file/sg-11134201-22110-mv7ixctx8ijvfa_tn")</f>
        <v/>
      </c>
    </row>
    <row r="3769">
      <c r="A3769" t="inlineStr">
        <is>
          <t>20801138947</t>
        </is>
      </c>
      <c r="B3769" t="inlineStr">
        <is>
          <t>隔日到貨🔥 Airpods 透明殼 1代 2代 pro pro2 3 軟殼 A7 保護殼 防摔殼 保護套 耳機殼</t>
        </is>
      </c>
      <c r="C3769">
        <f>IMAGE("https://cf.shopee.tw/file/sg-11134201-22120-qou0a4s3umkvf6_tn")</f>
        <v/>
      </c>
      <c r="D3769" t="inlineStr">
        <is>
          <t>3號(附圖上吊飾),1代 / 2代</t>
        </is>
      </c>
      <c r="E3769" t="inlineStr"/>
      <c r="F3769">
        <f>IMAGE("https://cf.shopee.tw/file/sg-11134201-22110-y91g759x8ijv03_tn")</f>
        <v/>
      </c>
    </row>
    <row r="3770">
      <c r="A3770" t="inlineStr">
        <is>
          <t>20801138947</t>
        </is>
      </c>
      <c r="B3770" t="inlineStr">
        <is>
          <t>隔日到貨🔥 Airpods 透明殼 1代 2代 pro pro2 3 軟殼 A7 保護殼 防摔殼 保護套 耳機殼</t>
        </is>
      </c>
      <c r="C3770">
        <f>IMAGE("https://cf.shopee.tw/file/sg-11134201-22120-qou0a4s3umkvf6_tn")</f>
        <v/>
      </c>
      <c r="D3770" t="inlineStr">
        <is>
          <t>3號(附圖上吊飾),Pro1代 / Pro2代 (通用）</t>
        </is>
      </c>
      <c r="E3770" t="inlineStr">
        <is>
          <t>213081727823</t>
        </is>
      </c>
      <c r="F3770">
        <f>IMAGE("https://cf.shopee.tw/file/sg-11134201-22110-y91g759x8ijv03_tn")</f>
        <v/>
      </c>
    </row>
    <row r="3771">
      <c r="A3771" t="inlineStr">
        <is>
          <t>20801138947</t>
        </is>
      </c>
      <c r="B3771" t="inlineStr">
        <is>
          <t>隔日到貨🔥 Airpods 透明殼 1代 2代 pro pro2 3 軟殼 A7 保護殼 防摔殼 保護套 耳機殼</t>
        </is>
      </c>
      <c r="C3771">
        <f>IMAGE("https://cf.shopee.tw/file/sg-11134201-22120-qou0a4s3umkvf6_tn")</f>
        <v/>
      </c>
      <c r="D3771" t="inlineStr">
        <is>
          <t>4號(附圖上吊飾),1代 / 2代</t>
        </is>
      </c>
      <c r="E3771" t="inlineStr">
        <is>
          <t>213081727835</t>
        </is>
      </c>
      <c r="F3771">
        <f>IMAGE("https://cf.shopee.tw/file/sg-11134201-22110-h2tq5ujy8ijv39_tn")</f>
        <v/>
      </c>
    </row>
    <row r="3772">
      <c r="A3772" t="inlineStr">
        <is>
          <t>20801138947</t>
        </is>
      </c>
      <c r="B3772" t="inlineStr">
        <is>
          <t>隔日到貨🔥 Airpods 透明殼 1代 2代 pro pro2 3 軟殼 A7 保護殼 防摔殼 保護套 耳機殼</t>
        </is>
      </c>
      <c r="C3772">
        <f>IMAGE("https://cf.shopee.tw/file/sg-11134201-22120-qou0a4s3umkvf6_tn")</f>
        <v/>
      </c>
      <c r="D3772" t="inlineStr">
        <is>
          <t>4號(附圖上吊飾),Pro1代 / Pro2代 (通用）</t>
        </is>
      </c>
      <c r="E3772" t="inlineStr">
        <is>
          <t>213081727826</t>
        </is>
      </c>
      <c r="F3772">
        <f>IMAGE("https://cf.shopee.tw/file/sg-11134201-22110-h2tq5ujy8ijv39_tn")</f>
        <v/>
      </c>
    </row>
    <row r="3773">
      <c r="A3773" t="inlineStr">
        <is>
          <t>20801138947</t>
        </is>
      </c>
      <c r="B3773" t="inlineStr">
        <is>
          <t>隔日到貨🔥 Airpods 透明殼 1代 2代 pro pro2 3 軟殼 A7 保護殼 防摔殼 保護套 耳機殼</t>
        </is>
      </c>
      <c r="C3773">
        <f>IMAGE("https://cf.shopee.tw/file/sg-11134201-22120-qou0a4s3umkvf6_tn")</f>
        <v/>
      </c>
      <c r="D3773" t="inlineStr">
        <is>
          <t>5號(附圖上吊飾),Pro1代 / Pro2代 (通用）</t>
        </is>
      </c>
      <c r="E3773" t="inlineStr">
        <is>
          <t>213081727837</t>
        </is>
      </c>
      <c r="F3773">
        <f>IMAGE("https://cf.shopee.tw/file/sg-11134201-22110-itnwi7zy8ijvfd_tn")</f>
        <v/>
      </c>
    </row>
    <row r="3774">
      <c r="A3774" t="inlineStr">
        <is>
          <t>20801138947</t>
        </is>
      </c>
      <c r="B3774" t="inlineStr">
        <is>
          <t>隔日到貨🔥 Airpods 透明殼 1代 2代 pro pro2 3 軟殼 A7 保護殼 防摔殼 保護套 耳機殼</t>
        </is>
      </c>
      <c r="C3774">
        <f>IMAGE("https://cf.shopee.tw/file/sg-11134201-22120-qou0a4s3umkvf6_tn")</f>
        <v/>
      </c>
      <c r="D3774" t="inlineStr">
        <is>
          <t>6號(附圖上吊飾),1代 / 2代</t>
        </is>
      </c>
      <c r="E3774" t="inlineStr">
        <is>
          <t>213081727827</t>
        </is>
      </c>
      <c r="F3774">
        <f>IMAGE("https://cf.shopee.tw/file/sg-11134201-22110-i5ifo20y8ijvf6_tn")</f>
        <v/>
      </c>
    </row>
    <row r="3775">
      <c r="A3775" t="inlineStr">
        <is>
          <t>20801138947</t>
        </is>
      </c>
      <c r="B3775" t="inlineStr">
        <is>
          <t>隔日到貨🔥 Airpods 透明殼 1代 2代 pro pro2 3 軟殼 A7 保護殼 防摔殼 保護套 耳機殼</t>
        </is>
      </c>
      <c r="C3775">
        <f>IMAGE("https://cf.shopee.tw/file/sg-11134201-22120-qou0a4s3umkvf6_tn")</f>
        <v/>
      </c>
      <c r="D3775" t="inlineStr">
        <is>
          <t>6號(附圖上吊飾),Pro1代 / Pro2代 (通用）</t>
        </is>
      </c>
      <c r="E3775" t="inlineStr">
        <is>
          <t>213081727832</t>
        </is>
      </c>
      <c r="F3775">
        <f>IMAGE("https://cf.shopee.tw/file/sg-11134201-22110-i5ifo20y8ijvf6_tn")</f>
        <v/>
      </c>
    </row>
    <row r="3776">
      <c r="A3776" t="inlineStr">
        <is>
          <t>20801138947</t>
        </is>
      </c>
      <c r="B3776" t="inlineStr">
        <is>
          <t>隔日到貨🔥 Airpods 透明殼 1代 2代 pro pro2 3 軟殼 A7 保護殼 防摔殼 保護套 耳機殼</t>
        </is>
      </c>
      <c r="C3776">
        <f>IMAGE("https://cf.shopee.tw/file/sg-11134201-22120-qou0a4s3umkvf6_tn")</f>
        <v/>
      </c>
      <c r="D3776" t="inlineStr">
        <is>
          <t>6號(附圖上吊飾),［3代］</t>
        </is>
      </c>
      <c r="E3776" t="inlineStr"/>
      <c r="F3776">
        <f>IMAGE("https://cf.shopee.tw/file/sg-11134201-22110-i5ifo20y8ijvf6_tn")</f>
        <v/>
      </c>
    </row>
    <row r="3777">
      <c r="A3777" t="inlineStr">
        <is>
          <t>20801138947</t>
        </is>
      </c>
      <c r="B3777" t="inlineStr">
        <is>
          <t>隔日到貨🔥 Airpods 透明殼 1代 2代 pro pro2 3 軟殼 A7 保護殼 防摔殼 保護套 耳機殼</t>
        </is>
      </c>
      <c r="C3777">
        <f>IMAGE("https://cf.shopee.tw/file/sg-11134201-22120-qou0a4s3umkvf6_tn")</f>
        <v/>
      </c>
      <c r="D3777" t="inlineStr">
        <is>
          <t>7號(附圖上吊飾),1代 / 2代</t>
        </is>
      </c>
      <c r="E3777" t="inlineStr"/>
      <c r="F3777">
        <f>IMAGE("https://cf.shopee.tw/file/sg-11134201-22110-bmj29drz8ijvd2_tn")</f>
        <v/>
      </c>
    </row>
    <row r="3778">
      <c r="A3778" t="inlineStr">
        <is>
          <t>20801138947</t>
        </is>
      </c>
      <c r="B3778" t="inlineStr">
        <is>
          <t>隔日到貨🔥 Airpods 透明殼 1代 2代 pro pro2 3 軟殼 A7 保護殼 防摔殼 保護套 耳機殼</t>
        </is>
      </c>
      <c r="C3778">
        <f>IMAGE("https://cf.shopee.tw/file/sg-11134201-22120-qou0a4s3umkvf6_tn")</f>
        <v/>
      </c>
      <c r="D3778" t="inlineStr">
        <is>
          <t>7號(附圖上吊飾),Pro1代 / Pro2代 (通用）</t>
        </is>
      </c>
      <c r="E3778" t="inlineStr">
        <is>
          <t>213081727820</t>
        </is>
      </c>
      <c r="F3778">
        <f>IMAGE("https://cf.shopee.tw/file/sg-11134201-22110-bmj29drz8ijvd2_tn")</f>
        <v/>
      </c>
    </row>
    <row r="3779">
      <c r="A3779" t="inlineStr">
        <is>
          <t>20801138947</t>
        </is>
      </c>
      <c r="B3779" t="inlineStr">
        <is>
          <t>隔日到貨🔥 Airpods 透明殼 1代 2代 pro pro2 3 軟殼 A7 保護殼 防摔殼 保護套 耳機殼</t>
        </is>
      </c>
      <c r="C3779">
        <f>IMAGE("https://cf.shopee.tw/file/sg-11134201-22120-qou0a4s3umkvf6_tn")</f>
        <v/>
      </c>
      <c r="D3779" t="inlineStr">
        <is>
          <t>7號(附圖上吊飾),［3代］</t>
        </is>
      </c>
      <c r="E3779" t="inlineStr">
        <is>
          <t>213081727829</t>
        </is>
      </c>
      <c r="F3779">
        <f>IMAGE("https://cf.shopee.tw/file/sg-11134201-22110-bmj29drz8ijvd2_tn")</f>
        <v/>
      </c>
    </row>
    <row r="3780">
      <c r="A3780" t="inlineStr">
        <is>
          <t>20801138947</t>
        </is>
      </c>
      <c r="B3780" t="inlineStr">
        <is>
          <t>隔日到貨🔥 Airpods 透明殼 1代 2代 pro pro2 3 軟殼 A7 保護殼 防摔殼 保護套 耳機殼</t>
        </is>
      </c>
      <c r="C3780">
        <f>IMAGE("https://cf.shopee.tw/file/sg-11134201-22120-qou0a4s3umkvf6_tn")</f>
        <v/>
      </c>
      <c r="D3780" t="inlineStr">
        <is>
          <t>8號(附圖上掛飾),1代 / 2代</t>
        </is>
      </c>
      <c r="E3780" t="inlineStr"/>
      <c r="F3780">
        <f>IMAGE("https://cf.shopee.tw/file/sg-11134201-22120-ubrtnx7vumkva4_tn")</f>
        <v/>
      </c>
    </row>
    <row r="3781">
      <c r="A3781" t="inlineStr">
        <is>
          <t>20801138947</t>
        </is>
      </c>
      <c r="B3781" t="inlineStr">
        <is>
          <t>隔日到貨🔥 Airpods 透明殼 1代 2代 pro pro2 3 軟殼 A7 保護殼 防摔殼 保護套 耳機殼</t>
        </is>
      </c>
      <c r="C3781">
        <f>IMAGE("https://cf.shopee.tw/file/sg-11134201-22120-qou0a4s3umkvf6_tn")</f>
        <v/>
      </c>
      <c r="D3781" t="inlineStr">
        <is>
          <t>8號(附圖上掛飾),Pro1代 / Pro2代 (通用）</t>
        </is>
      </c>
      <c r="E3781" t="inlineStr">
        <is>
          <t>213081727824</t>
        </is>
      </c>
      <c r="F3781">
        <f>IMAGE("https://cf.shopee.tw/file/sg-11134201-22120-ubrtnx7vumkva4_tn")</f>
        <v/>
      </c>
    </row>
    <row r="3782">
      <c r="A3782" t="inlineStr">
        <is>
          <t>20801138947</t>
        </is>
      </c>
      <c r="B3782" t="inlineStr">
        <is>
          <t>隔日到貨🔥 Airpods 透明殼 1代 2代 pro pro2 3 軟殼 A7 保護殼 防摔殼 保護套 耳機殼</t>
        </is>
      </c>
      <c r="C3782">
        <f>IMAGE("https://cf.shopee.tw/file/sg-11134201-22120-qou0a4s3umkvf6_tn")</f>
        <v/>
      </c>
      <c r="D3782" t="inlineStr">
        <is>
          <t>8號(附圖上掛飾),［3代］</t>
        </is>
      </c>
      <c r="E3782" t="inlineStr">
        <is>
          <t>213081727839</t>
        </is>
      </c>
      <c r="F3782">
        <f>IMAGE("https://cf.shopee.tw/file/sg-11134201-22120-ubrtnx7vumkva4_tn")</f>
        <v/>
      </c>
    </row>
    <row r="3783">
      <c r="A3783" t="inlineStr">
        <is>
          <t>20801138947</t>
        </is>
      </c>
      <c r="B3783" t="inlineStr">
        <is>
          <t>隔日到貨🔥 Airpods 透明殼 1代 2代 pro pro2 3 軟殼 A7 保護殼 防摔殼 保護套 耳機殼</t>
        </is>
      </c>
      <c r="C3783">
        <f>IMAGE("https://cf.shopee.tw/file/sg-11134201-22120-qou0a4s3umkvf6_tn")</f>
        <v/>
      </c>
      <c r="D3783" t="inlineStr">
        <is>
          <t>9號(附圖上掛飾),1代 / 2代</t>
        </is>
      </c>
      <c r="E3783" t="inlineStr">
        <is>
          <t>213081727830</t>
        </is>
      </c>
      <c r="F3783">
        <f>IMAGE("https://cf.shopee.tw/file/sg-11134201-22120-kuh0n5bwumkvf4_tn")</f>
        <v/>
      </c>
    </row>
    <row r="3784">
      <c r="A3784" t="inlineStr">
        <is>
          <t>20801138947</t>
        </is>
      </c>
      <c r="B3784" t="inlineStr">
        <is>
          <t>隔日到貨🔥 Airpods 透明殼 1代 2代 pro pro2 3 軟殼 A7 保護殼 防摔殼 保護套 耳機殼</t>
        </is>
      </c>
      <c r="C3784">
        <f>IMAGE("https://cf.shopee.tw/file/sg-11134201-22120-qou0a4s3umkvf6_tn")</f>
        <v/>
      </c>
      <c r="D3784" t="inlineStr">
        <is>
          <t>9號(附圖上掛飾),［3代］</t>
        </is>
      </c>
      <c r="E3784" t="inlineStr">
        <is>
          <t>213081727840</t>
        </is>
      </c>
      <c r="F3784">
        <f>IMAGE("https://cf.shopee.tw/file/sg-11134201-22120-kuh0n5bwumkvf4_tn")</f>
        <v/>
      </c>
    </row>
    <row r="3785">
      <c r="A3785" t="inlineStr">
        <is>
          <t>29968482561</t>
        </is>
      </c>
      <c r="B3785" t="inlineStr">
        <is>
          <t>隔日到貨🔥 法式蕾絲 蝴蝶結 性感內褲 女生內褲 內褲 女內褲 無痕內褲 冰絲內褲 透氣內褲 流行內褲 性感底褲</t>
        </is>
      </c>
      <c r="C3785">
        <f>IMAGE("https://cf.shopee.tw/file/tw-11134207-820l9-mlhhktgq0v7ka0_tn")</f>
        <v/>
      </c>
      <c r="D3785" t="inlineStr">
        <is>
          <t>韓粉,L</t>
        </is>
      </c>
      <c r="E3785" t="inlineStr"/>
      <c r="F3785">
        <f>IMAGE("https://cf.shopee.tw/file/tw-11134207-7ras8-m2xl6dig77hg5b_tn")</f>
        <v/>
      </c>
    </row>
    <row r="3786">
      <c r="A3786" t="inlineStr">
        <is>
          <t>29968482561</t>
        </is>
      </c>
      <c r="B3786" t="inlineStr">
        <is>
          <t>隔日到貨🔥 法式蕾絲 蝴蝶結 性感內褲 女生內褲 內褲 女內褲 無痕內褲 冰絲內褲 透氣內褲 流行內褲 性感底褲</t>
        </is>
      </c>
      <c r="C3786">
        <f>IMAGE("https://cf.shopee.tw/file/tw-11134207-820l9-mlhhktgq0v7ka0_tn")</f>
        <v/>
      </c>
      <c r="D3786" t="inlineStr">
        <is>
          <t>黑色,L</t>
        </is>
      </c>
      <c r="E3786" t="inlineStr">
        <is>
          <t>252092980997</t>
        </is>
      </c>
      <c r="F3786">
        <f>IMAGE("https://cf.shopee.tw/file/tw-11134207-7rasf-m2xl3mclcmffc4_tn")</f>
        <v/>
      </c>
    </row>
    <row r="3787">
      <c r="A3787" t="inlineStr">
        <is>
          <t>29968482561</t>
        </is>
      </c>
      <c r="B3787" t="inlineStr">
        <is>
          <t>隔日到貨🔥 法式蕾絲 蝴蝶結 性感內褲 女生內褲 內褲 女內褲 無痕內褲 冰絲內褲 透氣內褲 流行內褲 性感底褲</t>
        </is>
      </c>
      <c r="C3787">
        <f>IMAGE("https://cf.shopee.tw/file/tw-11134207-820l9-mlhhktgq0v7ka0_tn")</f>
        <v/>
      </c>
      <c r="D3787" t="inlineStr">
        <is>
          <t>黑色,XL</t>
        </is>
      </c>
      <c r="E3787" t="inlineStr">
        <is>
          <t>252092980998</t>
        </is>
      </c>
      <c r="F3787">
        <f>IMAGE("https://cf.shopee.tw/file/tw-11134207-7rasf-m2xl3mclcmffc4_tn")</f>
        <v/>
      </c>
    </row>
    <row r="3788">
      <c r="A3788" t="inlineStr">
        <is>
          <t>29968482561</t>
        </is>
      </c>
      <c r="B3788" t="inlineStr">
        <is>
          <t>隔日到貨🔥 法式蕾絲 蝴蝶結 性感內褲 女生內褲 內褲 女內褲 無痕內褲 冰絲內褲 透氣內褲 流行內褲 性感底褲</t>
        </is>
      </c>
      <c r="C3788">
        <f>IMAGE("https://cf.shopee.tw/file/tw-11134207-820l9-mlhhktgq0v7ka0_tn")</f>
        <v/>
      </c>
      <c r="D3788" t="inlineStr">
        <is>
          <t>白色,L</t>
        </is>
      </c>
      <c r="E3788" t="inlineStr">
        <is>
          <t>252092980999</t>
        </is>
      </c>
      <c r="F3788">
        <f>IMAGE("https://cf.shopee.tw/file/tw-11134207-7rasc-m2xl64uku6qs21_tn")</f>
        <v/>
      </c>
    </row>
    <row r="3789">
      <c r="A3789" t="inlineStr">
        <is>
          <t>29968482561</t>
        </is>
      </c>
      <c r="B3789" t="inlineStr">
        <is>
          <t>隔日到貨🔥 法式蕾絲 蝴蝶結 性感內褲 女生內褲 內褲 女內褲 無痕內褲 冰絲內褲 透氣內褲 流行內褲 性感底褲</t>
        </is>
      </c>
      <c r="C3789">
        <f>IMAGE("https://cf.shopee.tw/file/tw-11134207-820l9-mlhhktgq0v7ka0_tn")</f>
        <v/>
      </c>
      <c r="D3789" t="inlineStr">
        <is>
          <t>白色,XL</t>
        </is>
      </c>
      <c r="E3789" t="inlineStr">
        <is>
          <t>252092981000</t>
        </is>
      </c>
      <c r="F3789">
        <f>IMAGE("https://cf.shopee.tw/file/tw-11134207-7rasc-m2xl64uku6qs21_tn")</f>
        <v/>
      </c>
    </row>
    <row r="3790">
      <c r="A3790" t="inlineStr">
        <is>
          <t>29968482561</t>
        </is>
      </c>
      <c r="B3790" t="inlineStr">
        <is>
          <t>隔日到貨🔥 法式蕾絲 蝴蝶結 性感內褲 女生內褲 內褲 女內褲 無痕內褲 冰絲內褲 透氣內褲 流行內褲 性感底褲</t>
        </is>
      </c>
      <c r="C3790">
        <f>IMAGE("https://cf.shopee.tw/file/tw-11134207-820l9-mlhhktgq0v7ka0_tn")</f>
        <v/>
      </c>
      <c r="D3790" t="inlineStr">
        <is>
          <t>藍色,L</t>
        </is>
      </c>
      <c r="E3790" t="inlineStr">
        <is>
          <t>252092981001</t>
        </is>
      </c>
      <c r="F3790">
        <f>IMAGE("https://cf.shopee.tw/file/tw-11134207-7ras8-m2xl64ukvlb82d_tn")</f>
        <v/>
      </c>
    </row>
    <row r="3791">
      <c r="A3791" t="inlineStr">
        <is>
          <t>29968482561</t>
        </is>
      </c>
      <c r="B3791" t="inlineStr">
        <is>
          <t>隔日到貨🔥 法式蕾絲 蝴蝶結 性感內褲 女生內褲 內褲 女內褲 無痕內褲 冰絲內褲 透氣內褲 流行內褲 性感底褲</t>
        </is>
      </c>
      <c r="C3791">
        <f>IMAGE("https://cf.shopee.tw/file/tw-11134207-820l9-mlhhktgq0v7ka0_tn")</f>
        <v/>
      </c>
      <c r="D3791" t="inlineStr">
        <is>
          <t>藍色,XL</t>
        </is>
      </c>
      <c r="E3791" t="inlineStr">
        <is>
          <t>252092981002</t>
        </is>
      </c>
      <c r="F3791">
        <f>IMAGE("https://cf.shopee.tw/file/tw-11134207-7ras8-m2xl64ukvlb82d_tn")</f>
        <v/>
      </c>
    </row>
    <row r="3792">
      <c r="A3792" t="inlineStr">
        <is>
          <t>29968482561</t>
        </is>
      </c>
      <c r="B3792" t="inlineStr">
        <is>
          <t>隔日到貨🔥 法式蕾絲 蝴蝶結 性感內褲 女生內褲 內褲 女內褲 無痕內褲 冰絲內褲 透氣內褲 流行內褲 性感底褲</t>
        </is>
      </c>
      <c r="C3792">
        <f>IMAGE("https://cf.shopee.tw/file/tw-11134207-820l9-mlhhktgq0v7ka0_tn")</f>
        <v/>
      </c>
      <c r="D3792" t="inlineStr">
        <is>
          <t>豆綠色,L</t>
        </is>
      </c>
      <c r="E3792" t="inlineStr">
        <is>
          <t>252092981003</t>
        </is>
      </c>
      <c r="F3792">
        <f>IMAGE("https://cf.shopee.tw/file/tw-11134207-7ras9-m2xl6osy814480_tn")</f>
        <v/>
      </c>
    </row>
    <row r="3793">
      <c r="A3793" t="inlineStr">
        <is>
          <t>29968482561</t>
        </is>
      </c>
      <c r="B3793" t="inlineStr">
        <is>
          <t>隔日到貨🔥 法式蕾絲 蝴蝶結 性感內褲 女生內褲 內褲 女內褲 無痕內褲 冰絲內褲 透氣內褲 流行內褲 性感底褲</t>
        </is>
      </c>
      <c r="C3793">
        <f>IMAGE("https://cf.shopee.tw/file/tw-11134207-820l9-mlhhktgq0v7ka0_tn")</f>
        <v/>
      </c>
      <c r="D3793" t="inlineStr">
        <is>
          <t>豆綠色,XL</t>
        </is>
      </c>
      <c r="E3793" t="inlineStr"/>
      <c r="F3793">
        <f>IMAGE("https://cf.shopee.tw/file/tw-11134207-7ras9-m2xl6osy814480_tn")</f>
        <v/>
      </c>
    </row>
    <row r="3794">
      <c r="A3794" t="inlineStr">
        <is>
          <t>29968482561</t>
        </is>
      </c>
      <c r="B3794" t="inlineStr">
        <is>
          <t>隔日到貨🔥 法式蕾絲 蝴蝶結 性感內褲 女生內褲 內褲 女內褲 無痕內褲 冰絲內褲 透氣內褲 流行內褲 性感底褲</t>
        </is>
      </c>
      <c r="C3794">
        <f>IMAGE("https://cf.shopee.tw/file/tw-11134207-820l9-mlhhktgq0v7ka0_tn")</f>
        <v/>
      </c>
      <c r="D3794" t="inlineStr">
        <is>
          <t>韓粉,XL</t>
        </is>
      </c>
      <c r="E3794" t="inlineStr"/>
      <c r="F3794">
        <f>IMAGE("https://cf.shopee.tw/file/tw-11134207-7ras8-m2xl6dig77hg5b_tn")</f>
        <v/>
      </c>
    </row>
    <row r="3795">
      <c r="A3795" t="inlineStr">
        <is>
          <t>29968482561</t>
        </is>
      </c>
      <c r="B3795" t="inlineStr">
        <is>
          <t>隔日到貨🔥 法式蕾絲 蝴蝶結 性感內褲 女生內褲 內褲 女內褲 無痕內褲 冰絲內褲 透氣內褲 流行內褲 性感底褲</t>
        </is>
      </c>
      <c r="C3795">
        <f>IMAGE("https://cf.shopee.tw/file/tw-11134207-820l9-mlhhktgq0v7ka0_tn")</f>
        <v/>
      </c>
      <c r="D3795" t="inlineStr">
        <is>
          <t>淺粉,L</t>
        </is>
      </c>
      <c r="E3795" t="inlineStr">
        <is>
          <t>237058818316</t>
        </is>
      </c>
      <c r="F3795">
        <f>IMAGE("https://cf.shopee.tw/file/tw-11134207-7rasb-m2xl6osy6mjoa3_tn")</f>
        <v/>
      </c>
    </row>
    <row r="3796">
      <c r="A3796" t="inlineStr">
        <is>
          <t>29968482561</t>
        </is>
      </c>
      <c r="B3796" t="inlineStr">
        <is>
          <t>隔日到貨🔥 法式蕾絲 蝴蝶結 性感內褲 女生內褲 內褲 女內褲 無痕內褲 冰絲內褲 透氣內褲 流行內褲 性感底褲</t>
        </is>
      </c>
      <c r="C3796">
        <f>IMAGE("https://cf.shopee.tw/file/tw-11134207-820l9-mlhhktgq0v7ka0_tn")</f>
        <v/>
      </c>
      <c r="D3796" t="inlineStr">
        <is>
          <t>淺粉,XL</t>
        </is>
      </c>
      <c r="E3796" t="inlineStr">
        <is>
          <t>237058818317</t>
        </is>
      </c>
      <c r="F3796">
        <f>IMAGE("https://cf.shopee.tw/file/tw-11134207-7rasb-m2xl6osy6mjoa3_tn")</f>
        <v/>
      </c>
    </row>
    <row r="3797">
      <c r="A3797" t="inlineStr">
        <is>
          <t>22076565983</t>
        </is>
      </c>
      <c r="B3797" t="inlineStr">
        <is>
          <t>隔日到貨🔥 Airpods 保護套 1代 2代 3代 pro pro2 耳機套 A19 矽膠 軟殼 保護殼 蘋果</t>
        </is>
      </c>
      <c r="C3797">
        <f>IMAGE("https://cf.shopee.tw/file/tw-11134207-7qukw-lkc8r95zzs7q2d_tn")</f>
        <v/>
      </c>
      <c r="D3797" t="inlineStr">
        <is>
          <t>2.手腳煤球+掛鉤,Pro1代/Pro2代 (通用）</t>
        </is>
      </c>
      <c r="E3797" t="inlineStr"/>
      <c r="F3797">
        <f>IMAGE("https://cf.shopee.tw/file/tw-11134207-7qul4-lkc8r96016s695_tn")</f>
        <v/>
      </c>
    </row>
    <row r="3798">
      <c r="A3798" t="inlineStr">
        <is>
          <t>22076565983</t>
        </is>
      </c>
      <c r="B3798" t="inlineStr">
        <is>
          <t>隔日到貨🔥 Airpods 保護套 1代 2代 3代 pro pro2 耳機套 A19 矽膠 軟殼 保護殼 蘋果</t>
        </is>
      </c>
      <c r="C3798">
        <f>IMAGE("https://cf.shopee.tw/file/tw-11134207-7qukw-lkc8r95zzs7q2d_tn")</f>
        <v/>
      </c>
      <c r="D3798" t="inlineStr">
        <is>
          <t>3.鬱金香兔子+圖上掛飾,3代</t>
        </is>
      </c>
      <c r="E3798" t="inlineStr">
        <is>
          <t>194499806364</t>
        </is>
      </c>
      <c r="F3798">
        <f>IMAGE("https://cf.shopee.tw/file/tw-11134207-7qul6-lkc8r960i24847_tn")</f>
        <v/>
      </c>
    </row>
    <row r="3799">
      <c r="A3799" t="inlineStr">
        <is>
          <t>22076565983</t>
        </is>
      </c>
      <c r="B3799" t="inlineStr">
        <is>
          <t>隔日到貨🔥 Airpods 保護套 1代 2代 3代 pro pro2 耳機套 A19 矽膠 軟殼 保護殼 蘋果</t>
        </is>
      </c>
      <c r="C3799">
        <f>IMAGE("https://cf.shopee.tw/file/tw-11134207-7qukw-lkc8r95zzs7q2d_tn")</f>
        <v/>
      </c>
      <c r="D3799" t="inlineStr">
        <is>
          <t>7.綠邊流汗表情+掛鉤,3代</t>
        </is>
      </c>
      <c r="E3799" t="inlineStr"/>
      <c r="F3799">
        <f>IMAGE("https://cf.shopee.tw/file/tw-11134207-7qukz-lkc8r991wpzqa8_tn")</f>
        <v/>
      </c>
    </row>
    <row r="3800">
      <c r="A3800" t="inlineStr">
        <is>
          <t>22076565983</t>
        </is>
      </c>
      <c r="B3800" t="inlineStr">
        <is>
          <t>隔日到貨🔥 Airpods 保護套 1代 2代 3代 pro pro2 耳機套 A19 矽膠 軟殼 保護殼 蘋果</t>
        </is>
      </c>
      <c r="C3800">
        <f>IMAGE("https://cf.shopee.tw/file/tw-11134207-7qukw-lkc8r95zzs7q2d_tn")</f>
        <v/>
      </c>
      <c r="D3800" t="inlineStr">
        <is>
          <t>1.大便+圖上掛飾,1代/2代</t>
        </is>
      </c>
      <c r="E3800" t="inlineStr"/>
      <c r="F3800">
        <f>IMAGE("https://cf.shopee.tw/file/tw-11134207-7qul6-lkc8r9602lvcb3_tn")</f>
        <v/>
      </c>
    </row>
    <row r="3801">
      <c r="A3801" t="inlineStr">
        <is>
          <t>22076565983</t>
        </is>
      </c>
      <c r="B3801" t="inlineStr">
        <is>
          <t>隔日到貨🔥 Airpods 保護套 1代 2代 3代 pro pro2 耳機套 A19 矽膠 軟殼 保護殼 蘋果</t>
        </is>
      </c>
      <c r="C3801">
        <f>IMAGE("https://cf.shopee.tw/file/tw-11134207-7qukw-lkc8r95zzs7q2d_tn")</f>
        <v/>
      </c>
      <c r="D3801" t="inlineStr">
        <is>
          <t>1.大便+圖上掛飾,Pro1代/Pro2代 (通用）</t>
        </is>
      </c>
      <c r="E3801" t="inlineStr">
        <is>
          <t>194499806357</t>
        </is>
      </c>
      <c r="F3801">
        <f>IMAGE("https://cf.shopee.tw/file/tw-11134207-7qul6-lkc8r9602lvcb3_tn")</f>
        <v/>
      </c>
    </row>
    <row r="3802">
      <c r="A3802" t="inlineStr">
        <is>
          <t>22076565983</t>
        </is>
      </c>
      <c r="B3802" t="inlineStr">
        <is>
          <t>隔日到貨🔥 Airpods 保護套 1代 2代 3代 pro pro2 耳機套 A19 矽膠 軟殼 保護殼 蘋果</t>
        </is>
      </c>
      <c r="C3802">
        <f>IMAGE("https://cf.shopee.tw/file/tw-11134207-7qukw-lkc8r95zzs7q2d_tn")</f>
        <v/>
      </c>
      <c r="D3802" t="inlineStr">
        <is>
          <t>1.大便+圖上掛飾,3代</t>
        </is>
      </c>
      <c r="E3802" t="inlineStr">
        <is>
          <t>186949599175</t>
        </is>
      </c>
      <c r="F3802">
        <f>IMAGE("https://cf.shopee.tw/file/tw-11134207-7qul6-lkc8r9602lvcb3_tn")</f>
        <v/>
      </c>
    </row>
    <row r="3803">
      <c r="A3803" t="inlineStr">
        <is>
          <t>22076565983</t>
        </is>
      </c>
      <c r="B3803" t="inlineStr">
        <is>
          <t>隔日到貨🔥 Airpods 保護套 1代 2代 3代 pro pro2 耳機套 A19 矽膠 軟殼 保護殼 蘋果</t>
        </is>
      </c>
      <c r="C3803">
        <f>IMAGE("https://cf.shopee.tw/file/tw-11134207-7qukw-lkc8r95zzs7q2d_tn")</f>
        <v/>
      </c>
      <c r="D3803" t="inlineStr">
        <is>
          <t>2.手腳煤球+掛鉤,1代/2代</t>
        </is>
      </c>
      <c r="E3803" t="inlineStr"/>
      <c r="F3803">
        <f>IMAGE("https://cf.shopee.tw/file/tw-11134207-7qul4-lkc8r96016s695_tn")</f>
        <v/>
      </c>
    </row>
    <row r="3804">
      <c r="A3804" t="inlineStr">
        <is>
          <t>22076565983</t>
        </is>
      </c>
      <c r="B3804" t="inlineStr">
        <is>
          <t>隔日到貨🔥 Airpods 保護套 1代 2代 3代 pro pro2 耳機套 A19 矽膠 軟殼 保護殼 蘋果</t>
        </is>
      </c>
      <c r="C3804">
        <f>IMAGE("https://cf.shopee.tw/file/tw-11134207-7qukw-lkc8r95zzs7q2d_tn")</f>
        <v/>
      </c>
      <c r="D3804" t="inlineStr">
        <is>
          <t>2.手腳煤球+掛鉤,3代</t>
        </is>
      </c>
      <c r="E3804" t="inlineStr">
        <is>
          <t>194499806361</t>
        </is>
      </c>
      <c r="F3804">
        <f>IMAGE("https://cf.shopee.tw/file/tw-11134207-7qul4-lkc8r96016s695_tn")</f>
        <v/>
      </c>
    </row>
    <row r="3805">
      <c r="A3805" t="inlineStr">
        <is>
          <t>22076565983</t>
        </is>
      </c>
      <c r="B3805" t="inlineStr">
        <is>
          <t>隔日到貨🔥 Airpods 保護套 1代 2代 3代 pro pro2 耳機套 A19 矽膠 軟殼 保護殼 蘋果</t>
        </is>
      </c>
      <c r="C3805">
        <f>IMAGE("https://cf.shopee.tw/file/tw-11134207-7qukw-lkc8r95zzs7q2d_tn")</f>
        <v/>
      </c>
      <c r="D3805" t="inlineStr">
        <is>
          <t>3.鬱金香兔子+圖上掛飾,1代/2代</t>
        </is>
      </c>
      <c r="E3805" t="inlineStr">
        <is>
          <t>194499806370</t>
        </is>
      </c>
      <c r="F3805">
        <f>IMAGE("https://cf.shopee.tw/file/tw-11134207-7qul6-lkc8r960i24847_tn")</f>
        <v/>
      </c>
    </row>
    <row r="3806">
      <c r="A3806" t="inlineStr">
        <is>
          <t>22076565983</t>
        </is>
      </c>
      <c r="B3806" t="inlineStr">
        <is>
          <t>隔日到貨🔥 Airpods 保護套 1代 2代 3代 pro pro2 耳機套 A19 矽膠 軟殼 保護殼 蘋果</t>
        </is>
      </c>
      <c r="C3806">
        <f>IMAGE("https://cf.shopee.tw/file/tw-11134207-7qukw-lkc8r95zzs7q2d_tn")</f>
        <v/>
      </c>
      <c r="D3806" t="inlineStr">
        <is>
          <t>3.鬱金香兔子+圖上掛飾,Pro1代/Pro2代 (通用）</t>
        </is>
      </c>
      <c r="E3806" t="inlineStr"/>
      <c r="F3806">
        <f>IMAGE("https://cf.shopee.tw/file/tw-11134207-7qul6-lkc8r960i24847_tn")</f>
        <v/>
      </c>
    </row>
    <row r="3807">
      <c r="A3807" t="inlineStr">
        <is>
          <t>22076565983</t>
        </is>
      </c>
      <c r="B3807" t="inlineStr">
        <is>
          <t>隔日到貨🔥 Airpods 保護套 1代 2代 3代 pro pro2 耳機套 A19 矽膠 軟殼 保護殼 蘋果</t>
        </is>
      </c>
      <c r="C3807">
        <f>IMAGE("https://cf.shopee.tw/file/tw-11134207-7qukw-lkc8r95zzs7q2d_tn")</f>
        <v/>
      </c>
      <c r="D3807" t="inlineStr">
        <is>
          <t>4.豬頭+掛鉤,1代/2代</t>
        </is>
      </c>
      <c r="E3807" t="inlineStr"/>
      <c r="F3807">
        <f>IMAGE("https://cf.shopee.tw/file/tw-11134207-7qul9-lkdo4blc39kofd_tn")</f>
        <v/>
      </c>
    </row>
    <row r="3808">
      <c r="A3808" t="inlineStr">
        <is>
          <t>22076565983</t>
        </is>
      </c>
      <c r="B3808" t="inlineStr">
        <is>
          <t>隔日到貨🔥 Airpods 保護套 1代 2代 3代 pro pro2 耳機套 A19 矽膠 軟殼 保護殼 蘋果</t>
        </is>
      </c>
      <c r="C3808">
        <f>IMAGE("https://cf.shopee.tw/file/tw-11134207-7qukw-lkc8r95zzs7q2d_tn")</f>
        <v/>
      </c>
      <c r="D3808" t="inlineStr">
        <is>
          <t>4.豬頭+掛鉤,Pro1代/Pro2代 (通用）</t>
        </is>
      </c>
      <c r="E3808" t="inlineStr">
        <is>
          <t>194499806362</t>
        </is>
      </c>
      <c r="F3808">
        <f>IMAGE("https://cf.shopee.tw/file/tw-11134207-7qul9-lkdo4blc39kofd_tn")</f>
        <v/>
      </c>
    </row>
    <row r="3809">
      <c r="A3809" t="inlineStr">
        <is>
          <t>22076565983</t>
        </is>
      </c>
      <c r="B3809" t="inlineStr">
        <is>
          <t>隔日到貨🔥 Airpods 保護套 1代 2代 3代 pro pro2 耳機套 A19 矽膠 軟殼 保護殼 蘋果</t>
        </is>
      </c>
      <c r="C3809">
        <f>IMAGE("https://cf.shopee.tw/file/tw-11134207-7qukw-lkc8r95zzs7q2d_tn")</f>
        <v/>
      </c>
      <c r="D3809" t="inlineStr">
        <is>
          <t>4.豬頭+掛鉤,3代</t>
        </is>
      </c>
      <c r="E3809" t="inlineStr">
        <is>
          <t>194499806354</t>
        </is>
      </c>
      <c r="F3809">
        <f>IMAGE("https://cf.shopee.tw/file/tw-11134207-7qul9-lkdo4blc39kofd_tn")</f>
        <v/>
      </c>
    </row>
    <row r="3810">
      <c r="A3810" t="inlineStr">
        <is>
          <t>22076565983</t>
        </is>
      </c>
      <c r="B3810" t="inlineStr">
        <is>
          <t>隔日到貨🔥 Airpods 保護套 1代 2代 3代 pro pro2 耳機套 A19 矽膠 軟殼 保護殼 蘋果</t>
        </is>
      </c>
      <c r="C3810">
        <f>IMAGE("https://cf.shopee.tw/file/tw-11134207-7qukw-lkc8r95zzs7q2d_tn")</f>
        <v/>
      </c>
      <c r="D3810" t="inlineStr">
        <is>
          <t>5.抹茶綠英文+掛鉤,1代/2代</t>
        </is>
      </c>
      <c r="E3810" t="inlineStr"/>
      <c r="F3810">
        <f>IMAGE("https://cf.shopee.tw/file/tw-11134207-7qukw-lkc8r96a0soo18_tn")</f>
        <v/>
      </c>
    </row>
    <row r="3811">
      <c r="A3811" t="inlineStr">
        <is>
          <t>22076565983</t>
        </is>
      </c>
      <c r="B3811" t="inlineStr">
        <is>
          <t>隔日到貨🔥 Airpods 保護套 1代 2代 3代 pro pro2 耳機套 A19 矽膠 軟殼 保護殼 蘋果</t>
        </is>
      </c>
      <c r="C3811">
        <f>IMAGE("https://cf.shopee.tw/file/tw-11134207-7qukw-lkc8r95zzs7q2d_tn")</f>
        <v/>
      </c>
      <c r="D3811" t="inlineStr">
        <is>
          <t>5.抹茶綠英文+掛鉤,Pro1代/Pro2代 (通用）</t>
        </is>
      </c>
      <c r="E3811" t="inlineStr"/>
      <c r="F3811">
        <f>IMAGE("https://cf.shopee.tw/file/tw-11134207-7qukw-lkc8r96a0soo18_tn")</f>
        <v/>
      </c>
    </row>
    <row r="3812">
      <c r="A3812" t="inlineStr">
        <is>
          <t>22076565983</t>
        </is>
      </c>
      <c r="B3812" t="inlineStr">
        <is>
          <t>隔日到貨🔥 Airpods 保護套 1代 2代 3代 pro pro2 耳機套 A19 矽膠 軟殼 保護殼 蘋果</t>
        </is>
      </c>
      <c r="C3812">
        <f>IMAGE("https://cf.shopee.tw/file/tw-11134207-7qukw-lkc8r95zzs7q2d_tn")</f>
        <v/>
      </c>
      <c r="D3812" t="inlineStr">
        <is>
          <t>5.抹茶綠英文+掛鉤,3代</t>
        </is>
      </c>
      <c r="E3812" t="inlineStr"/>
      <c r="F3812">
        <f>IMAGE("https://cf.shopee.tw/file/tw-11134207-7qukw-lkc8r96a0soo18_tn")</f>
        <v/>
      </c>
    </row>
    <row r="3813">
      <c r="A3813" t="inlineStr">
        <is>
          <t>22076565983</t>
        </is>
      </c>
      <c r="B3813" t="inlineStr">
        <is>
          <t>隔日到貨🔥 Airpods 保護套 1代 2代 3代 pro pro2 耳機套 A19 矽膠 軟殼 保護殼 蘋果</t>
        </is>
      </c>
      <c r="C3813">
        <f>IMAGE("https://cf.shopee.tw/file/tw-11134207-7qukw-lkc8r95zzs7q2d_tn")</f>
        <v/>
      </c>
      <c r="D3813" t="inlineStr">
        <is>
          <t>6.膨脹星星+圖上掛飾,1代/2代</t>
        </is>
      </c>
      <c r="E3813" t="inlineStr">
        <is>
          <t>194499806371</t>
        </is>
      </c>
      <c r="F3813">
        <f>IMAGE("https://cf.shopee.tw/file/tw-11134207-7qula-lkc8r96akg4615_tn")</f>
        <v/>
      </c>
    </row>
    <row r="3814">
      <c r="A3814" t="inlineStr">
        <is>
          <t>22076565983</t>
        </is>
      </c>
      <c r="B3814" t="inlineStr">
        <is>
          <t>隔日到貨🔥 Airpods 保護套 1代 2代 3代 pro pro2 耳機套 A19 矽膠 軟殼 保護殼 蘋果</t>
        </is>
      </c>
      <c r="C3814">
        <f>IMAGE("https://cf.shopee.tw/file/tw-11134207-7qukw-lkc8r95zzs7q2d_tn")</f>
        <v/>
      </c>
      <c r="D3814" t="inlineStr">
        <is>
          <t>6.膨脹星星+圖上掛飾,Pro1代/Pro2代 (通用）</t>
        </is>
      </c>
      <c r="E3814" t="inlineStr">
        <is>
          <t>194499806365</t>
        </is>
      </c>
      <c r="F3814">
        <f>IMAGE("https://cf.shopee.tw/file/tw-11134207-7qula-lkc8r96akg4615_tn")</f>
        <v/>
      </c>
    </row>
    <row r="3815">
      <c r="A3815" t="inlineStr">
        <is>
          <t>22076565983</t>
        </is>
      </c>
      <c r="B3815" t="inlineStr">
        <is>
          <t>隔日到貨🔥 Airpods 保護套 1代 2代 3代 pro pro2 耳機套 A19 矽膠 軟殼 保護殼 蘋果</t>
        </is>
      </c>
      <c r="C3815">
        <f>IMAGE("https://cf.shopee.tw/file/tw-11134207-7qukw-lkc8r95zzs7q2d_tn")</f>
        <v/>
      </c>
      <c r="D3815" t="inlineStr">
        <is>
          <t>6.膨脹星星+圖上掛飾,3代</t>
        </is>
      </c>
      <c r="E3815" t="inlineStr"/>
      <c r="F3815">
        <f>IMAGE("https://cf.shopee.tw/file/tw-11134207-7qula-lkc8r96akg4615_tn")</f>
        <v/>
      </c>
    </row>
    <row r="3816">
      <c r="A3816" t="inlineStr">
        <is>
          <t>22076565983</t>
        </is>
      </c>
      <c r="B3816" t="inlineStr">
        <is>
          <t>隔日到貨🔥 Airpods 保護套 1代 2代 3代 pro pro2 耳機套 A19 矽膠 軟殼 保護殼 蘋果</t>
        </is>
      </c>
      <c r="C3816">
        <f>IMAGE("https://cf.shopee.tw/file/tw-11134207-7qukw-lkc8r95zzs7q2d_tn")</f>
        <v/>
      </c>
      <c r="D3816" t="inlineStr">
        <is>
          <t>7.綠邊流汗表情+掛鉤,1代/2代</t>
        </is>
      </c>
      <c r="E3816" t="inlineStr"/>
      <c r="F3816">
        <f>IMAGE("https://cf.shopee.tw/file/tw-11134207-7qukz-lkc8r991wpzqa8_tn")</f>
        <v/>
      </c>
    </row>
    <row r="3817">
      <c r="A3817" t="inlineStr">
        <is>
          <t>22076565983</t>
        </is>
      </c>
      <c r="B3817" t="inlineStr">
        <is>
          <t>隔日到貨🔥 Airpods 保護套 1代 2代 3代 pro pro2 耳機套 A19 矽膠 軟殼 保護殼 蘋果</t>
        </is>
      </c>
      <c r="C3817">
        <f>IMAGE("https://cf.shopee.tw/file/tw-11134207-7qukw-lkc8r95zzs7q2d_tn")</f>
        <v/>
      </c>
      <c r="D3817" t="inlineStr">
        <is>
          <t>7.綠邊流汗表情+掛鉤,Pro1代/Pro2代 (通用）</t>
        </is>
      </c>
      <c r="E3817" t="inlineStr">
        <is>
          <t>194499806372</t>
        </is>
      </c>
      <c r="F3817">
        <f>IMAGE("https://cf.shopee.tw/file/tw-11134207-7qukz-lkc8r991wpzqa8_tn")</f>
        <v/>
      </c>
    </row>
    <row r="3818">
      <c r="A3818" t="inlineStr">
        <is>
          <t>22076565983</t>
        </is>
      </c>
      <c r="B3818" t="inlineStr">
        <is>
          <t>隔日到貨🔥 Airpods 保護套 1代 2代 3代 pro pro2 耳機套 A19 矽膠 軟殼 保護殼 蘋果</t>
        </is>
      </c>
      <c r="C3818">
        <f>IMAGE("https://cf.shopee.tw/file/tw-11134207-7qukw-lkc8r95zzs7q2d_tn")</f>
        <v/>
      </c>
      <c r="D3818" t="inlineStr">
        <is>
          <t>8.立體奶酪+掛鉤,1代/2代</t>
        </is>
      </c>
      <c r="E3818" t="inlineStr">
        <is>
          <t>194499806352</t>
        </is>
      </c>
      <c r="F3818">
        <f>IMAGE("https://cf.shopee.tw/file/tw-11134207-7qul2-lkc8r991y52w3f_tn")</f>
        <v/>
      </c>
    </row>
    <row r="3819">
      <c r="A3819" t="inlineStr">
        <is>
          <t>22076565983</t>
        </is>
      </c>
      <c r="B3819" t="inlineStr">
        <is>
          <t>隔日到貨🔥 Airpods 保護套 1代 2代 3代 pro pro2 耳機套 A19 矽膠 軟殼 保護殼 蘋果</t>
        </is>
      </c>
      <c r="C3819">
        <f>IMAGE("https://cf.shopee.tw/file/tw-11134207-7qukw-lkc8r95zzs7q2d_tn")</f>
        <v/>
      </c>
      <c r="D3819" t="inlineStr">
        <is>
          <t>8.立體奶酪+掛鉤,Pro1代/Pro2代 (通用）</t>
        </is>
      </c>
      <c r="E3819" t="inlineStr"/>
      <c r="F3819">
        <f>IMAGE("https://cf.shopee.tw/file/tw-11134207-7qul2-lkc8r991y52w3f_tn")</f>
        <v/>
      </c>
    </row>
    <row r="3820">
      <c r="A3820" t="inlineStr">
        <is>
          <t>22076565983</t>
        </is>
      </c>
      <c r="B3820" t="inlineStr">
        <is>
          <t>隔日到貨🔥 Airpods 保護套 1代 2代 3代 pro pro2 耳機套 A19 矽膠 軟殼 保護殼 蘋果</t>
        </is>
      </c>
      <c r="C3820">
        <f>IMAGE("https://cf.shopee.tw/file/tw-11134207-7qukw-lkc8r95zzs7q2d_tn")</f>
        <v/>
      </c>
      <c r="D3820" t="inlineStr">
        <is>
          <t>8.立體奶酪+掛鉤,3代</t>
        </is>
      </c>
      <c r="E3820" t="inlineStr">
        <is>
          <t>194499806368</t>
        </is>
      </c>
      <c r="F3820">
        <f>IMAGE("https://cf.shopee.tw/file/tw-11134207-7qul2-lkc8r991y52w3f_tn")</f>
        <v/>
      </c>
    </row>
    <row r="3821">
      <c r="A3821" t="inlineStr">
        <is>
          <t>22076565983</t>
        </is>
      </c>
      <c r="B3821" t="inlineStr">
        <is>
          <t>隔日到貨🔥 Airpods 保護套 1代 2代 3代 pro pro2 耳機套 A19 矽膠 軟殼 保護殼 蘋果</t>
        </is>
      </c>
      <c r="C3821">
        <f>IMAGE("https://cf.shopee.tw/file/tw-11134207-7qukw-lkc8r95zzs7q2d_tn")</f>
        <v/>
      </c>
      <c r="D3821" t="inlineStr">
        <is>
          <t>9.恐龍+掛鉤,1代/2代</t>
        </is>
      </c>
      <c r="E3821" t="inlineStr"/>
      <c r="F3821">
        <f>IMAGE("https://cf.shopee.tw/file/tw-11134207-7qul6-lkc8r992c68m34_tn")</f>
        <v/>
      </c>
    </row>
    <row r="3822">
      <c r="A3822" t="inlineStr">
        <is>
          <t>22076565983</t>
        </is>
      </c>
      <c r="B3822" t="inlineStr">
        <is>
          <t>隔日到貨🔥 Airpods 保護套 1代 2代 3代 pro pro2 耳機套 A19 矽膠 軟殼 保護殼 蘋果</t>
        </is>
      </c>
      <c r="C3822">
        <f>IMAGE("https://cf.shopee.tw/file/tw-11134207-7qukw-lkc8r95zzs7q2d_tn")</f>
        <v/>
      </c>
      <c r="D3822" t="inlineStr">
        <is>
          <t>9.恐龍+掛鉤,Pro1代/Pro2代 (通用）</t>
        </is>
      </c>
      <c r="E3822" t="inlineStr">
        <is>
          <t>194499806367</t>
        </is>
      </c>
      <c r="F3822">
        <f>IMAGE("https://cf.shopee.tw/file/tw-11134207-7qul6-lkc8r992c68m34_tn")</f>
        <v/>
      </c>
    </row>
    <row r="3823">
      <c r="A3823" t="inlineStr">
        <is>
          <t>22076565983</t>
        </is>
      </c>
      <c r="B3823" t="inlineStr">
        <is>
          <t>隔日到貨🔥 Airpods 保護套 1代 2代 3代 pro pro2 耳機套 A19 矽膠 軟殼 保護殼 蘋果</t>
        </is>
      </c>
      <c r="C3823">
        <f>IMAGE("https://cf.shopee.tw/file/tw-11134207-7qukw-lkc8r95zzs7q2d_tn")</f>
        <v/>
      </c>
      <c r="D3823" t="inlineStr">
        <is>
          <t>9.恐龍+掛鉤,3代</t>
        </is>
      </c>
      <c r="E3823" t="inlineStr"/>
      <c r="F3823">
        <f>IMAGE("https://cf.shopee.tw/file/tw-11134207-7qul6-lkc8r992c68m34_tn")</f>
        <v/>
      </c>
    </row>
    <row r="3824">
      <c r="A3824" t="inlineStr">
        <is>
          <t>26468468682</t>
        </is>
      </c>
      <c r="B3824" t="inlineStr">
        <is>
          <t>隔日到貨🔥 韓系內褲 女生內褲 純棉內褲 女生無痕內褲 粉嫩純色 舒適內褲 內褲 緊身 女內褲 無痕內褲</t>
        </is>
      </c>
      <c r="C3824">
        <f>IMAGE("https://cf.shopee.tw/file/tw-11134207-7rasa-m2xiad8jgbkb1d_tn")</f>
        <v/>
      </c>
      <c r="D3824" t="inlineStr">
        <is>
          <t>淺粉,M</t>
        </is>
      </c>
      <c r="E3824" t="inlineStr"/>
      <c r="F3824">
        <f>IMAGE("https://cf.shopee.tw/file/tw-11134207-7rasa-m2xiad8jx6cr2e_tn")</f>
        <v/>
      </c>
    </row>
    <row r="3825">
      <c r="A3825" t="inlineStr">
        <is>
          <t>26468468682</t>
        </is>
      </c>
      <c r="B3825" t="inlineStr">
        <is>
          <t>隔日到貨🔥 韓系內褲 女生內褲 純棉內褲 女生無痕內褲 粉嫩純色 舒適內褲 內褲 緊身 女內褲 無痕內褲</t>
        </is>
      </c>
      <c r="C3825">
        <f>IMAGE("https://cf.shopee.tw/file/tw-11134207-7rasa-m2xiad8jgbkb1d_tn")</f>
        <v/>
      </c>
      <c r="D3825" t="inlineStr">
        <is>
          <t>奶茶膚,L</t>
        </is>
      </c>
      <c r="E3825" t="inlineStr"/>
      <c r="F3825">
        <f>IMAGE("https://cf.shopee.tw/file/tw-11134207-7rasl-m2xiad8jx6dnd4_tn")</f>
        <v/>
      </c>
    </row>
    <row r="3826">
      <c r="A3826" t="inlineStr">
        <is>
          <t>26468468682</t>
        </is>
      </c>
      <c r="B3826" t="inlineStr">
        <is>
          <t>隔日到貨🔥 韓系內褲 女生內褲 純棉內褲 女生無痕內褲 粉嫩純色 舒適內褲 內褲 緊身 女內褲 無痕內褲</t>
        </is>
      </c>
      <c r="C3826">
        <f>IMAGE("https://cf.shopee.tw/file/tw-11134207-7rasa-m2xiad8jgbkb1d_tn")</f>
        <v/>
      </c>
      <c r="D3826" t="inlineStr">
        <is>
          <t>淺藍,M</t>
        </is>
      </c>
      <c r="E3826" t="inlineStr"/>
      <c r="F3826">
        <f>IMAGE("https://cf.shopee.tw/file/tw-11134207-7rasf-m2xiad8kcmln64_tn")</f>
        <v/>
      </c>
    </row>
    <row r="3827">
      <c r="A3827" t="inlineStr">
        <is>
          <t>26468468682</t>
        </is>
      </c>
      <c r="B3827" t="inlineStr">
        <is>
          <t>隔日到貨🔥 韓系內褲 女生內褲 純棉內褲 女生無痕內褲 粉嫩純色 舒適內褲 內褲 緊身 女內褲 無痕內褲</t>
        </is>
      </c>
      <c r="C3827">
        <f>IMAGE("https://cf.shopee.tw/file/tw-11134207-7rasa-m2xiad8jgbkb1d_tn")</f>
        <v/>
      </c>
      <c r="D3827" t="inlineStr">
        <is>
          <t>淺紫,M</t>
        </is>
      </c>
      <c r="E3827" t="inlineStr">
        <is>
          <t>242257070696</t>
        </is>
      </c>
      <c r="F3827">
        <f>IMAGE("https://cf.shopee.tw/file/tw-11134207-7rask-m2xiad8jhq3v9a_tn")</f>
        <v/>
      </c>
    </row>
    <row r="3828">
      <c r="A3828" t="inlineStr">
        <is>
          <t>26468468682</t>
        </is>
      </c>
      <c r="B3828" t="inlineStr">
        <is>
          <t>隔日到貨🔥 韓系內褲 女生內褲 純棉內褲 女生無痕內褲 粉嫩純色 舒適內褲 內褲 緊身 女內褲 無痕內褲</t>
        </is>
      </c>
      <c r="C3828">
        <f>IMAGE("https://cf.shopee.tw/file/tw-11134207-7rasa-m2xiad8jgbkb1d_tn")</f>
        <v/>
      </c>
      <c r="D3828" t="inlineStr">
        <is>
          <t>淺紫,L</t>
        </is>
      </c>
      <c r="E3828" t="inlineStr">
        <is>
          <t>242257070697</t>
        </is>
      </c>
      <c r="F3828">
        <f>IMAGE("https://cf.shopee.tw/file/tw-11134207-7rask-m2xiad8jhq3v9a_tn")</f>
        <v/>
      </c>
    </row>
    <row r="3829">
      <c r="A3829" t="inlineStr">
        <is>
          <t>26468468682</t>
        </is>
      </c>
      <c r="B3829" t="inlineStr">
        <is>
          <t>隔日到貨🔥 韓系內褲 女生內褲 純棉內褲 女生無痕內褲 粉嫩純色 舒適內褲 內褲 緊身 女內褲 無痕內褲</t>
        </is>
      </c>
      <c r="C3829">
        <f>IMAGE("https://cf.shopee.tw/file/tw-11134207-7rasa-m2xiad8jgbkb1d_tn")</f>
        <v/>
      </c>
      <c r="D3829" t="inlineStr">
        <is>
          <t>淺紫,XL</t>
        </is>
      </c>
      <c r="E3829" t="inlineStr">
        <is>
          <t>242257070698</t>
        </is>
      </c>
      <c r="F3829">
        <f>IMAGE("https://cf.shopee.tw/file/tw-11134207-7rask-m2xiad8jhq3v9a_tn")</f>
        <v/>
      </c>
    </row>
    <row r="3830">
      <c r="A3830" t="inlineStr">
        <is>
          <t>26468468682</t>
        </is>
      </c>
      <c r="B3830" t="inlineStr">
        <is>
          <t>隔日到貨🔥 韓系內褲 女生內褲 純棉內褲 女生無痕內褲 粉嫩純色 舒適內褲 內褲 緊身 女內褲 無痕內褲</t>
        </is>
      </c>
      <c r="C3830">
        <f>IMAGE("https://cf.shopee.tw/file/tw-11134207-7rasa-m2xiad8jgbkb1d_tn")</f>
        <v/>
      </c>
      <c r="D3830" t="inlineStr">
        <is>
          <t>淺粉,L</t>
        </is>
      </c>
      <c r="E3830" t="inlineStr">
        <is>
          <t>242257070700</t>
        </is>
      </c>
      <c r="F3830">
        <f>IMAGE("https://cf.shopee.tw/file/tw-11134207-7rasa-m2xiad8jx6cr2e_tn")</f>
        <v/>
      </c>
    </row>
    <row r="3831">
      <c r="A3831" t="inlineStr">
        <is>
          <t>26468468682</t>
        </is>
      </c>
      <c r="B3831" t="inlineStr">
        <is>
          <t>隔日到貨🔥 韓系內褲 女生內褲 純棉內褲 女生無痕內褲 粉嫩純色 舒適內褲 內褲 緊身 女內褲 無痕內褲</t>
        </is>
      </c>
      <c r="C3831">
        <f>IMAGE("https://cf.shopee.tw/file/tw-11134207-7rasa-m2xiad8jgbkb1d_tn")</f>
        <v/>
      </c>
      <c r="D3831" t="inlineStr">
        <is>
          <t>淺粉,XL</t>
        </is>
      </c>
      <c r="E3831" t="inlineStr">
        <is>
          <t>242257070701</t>
        </is>
      </c>
      <c r="F3831">
        <f>IMAGE("https://cf.shopee.tw/file/tw-11134207-7rasa-m2xiad8jx6cr2e_tn")</f>
        <v/>
      </c>
    </row>
    <row r="3832">
      <c r="A3832" t="inlineStr">
        <is>
          <t>26468468682</t>
        </is>
      </c>
      <c r="B3832" t="inlineStr">
        <is>
          <t>隔日到貨🔥 韓系內褲 女生內褲 純棉內褲 女生無痕內褲 粉嫩純色 舒適內褲 內褲 緊身 女內褲 無痕內褲</t>
        </is>
      </c>
      <c r="C3832">
        <f>IMAGE("https://cf.shopee.tw/file/tw-11134207-7rasa-m2xiad8jgbkb1d_tn")</f>
        <v/>
      </c>
      <c r="D3832" t="inlineStr">
        <is>
          <t>奶綠,M</t>
        </is>
      </c>
      <c r="E3832" t="inlineStr"/>
      <c r="F3832">
        <f>IMAGE("https://cf.shopee.tw/file/tw-11134207-7rasd-m2xiad8jhq4r1d_tn")</f>
        <v/>
      </c>
    </row>
    <row r="3833">
      <c r="A3833" t="inlineStr">
        <is>
          <t>26468468682</t>
        </is>
      </c>
      <c r="B3833" t="inlineStr">
        <is>
          <t>隔日到貨🔥 韓系內褲 女生內褲 純棉內褲 女生無痕內褲 粉嫩純色 舒適內褲 內褲 緊身 女內褲 無痕內褲</t>
        </is>
      </c>
      <c r="C3833">
        <f>IMAGE("https://cf.shopee.tw/file/tw-11134207-7rasa-m2xiad8jgbkb1d_tn")</f>
        <v/>
      </c>
      <c r="D3833" t="inlineStr">
        <is>
          <t>奶綠,L</t>
        </is>
      </c>
      <c r="E3833" t="inlineStr">
        <is>
          <t>242257070703</t>
        </is>
      </c>
      <c r="F3833">
        <f>IMAGE("https://cf.shopee.tw/file/tw-11134207-7rasd-m2xiad8jhq4r1d_tn")</f>
        <v/>
      </c>
    </row>
    <row r="3834">
      <c r="A3834" t="inlineStr">
        <is>
          <t>26468468682</t>
        </is>
      </c>
      <c r="B3834" t="inlineStr">
        <is>
          <t>隔日到貨🔥 韓系內褲 女生內褲 純棉內褲 女生無痕內褲 粉嫩純色 舒適內褲 內褲 緊身 女內褲 無痕內褲</t>
        </is>
      </c>
      <c r="C3834">
        <f>IMAGE("https://cf.shopee.tw/file/tw-11134207-7rasa-m2xiad8jgbkb1d_tn")</f>
        <v/>
      </c>
      <c r="D3834" t="inlineStr">
        <is>
          <t>奶綠,XL</t>
        </is>
      </c>
      <c r="E3834" t="inlineStr">
        <is>
          <t>242257070704</t>
        </is>
      </c>
      <c r="F3834">
        <f>IMAGE("https://cf.shopee.tw/file/tw-11134207-7rasd-m2xiad8jhq4r1d_tn")</f>
        <v/>
      </c>
    </row>
    <row r="3835">
      <c r="A3835" t="inlineStr">
        <is>
          <t>26468468682</t>
        </is>
      </c>
      <c r="B3835" t="inlineStr">
        <is>
          <t>隔日到貨🔥 韓系內褲 女生內褲 純棉內褲 女生無痕內褲 粉嫩純色 舒適內褲 內褲 緊身 女內褲 無痕內褲</t>
        </is>
      </c>
      <c r="C3835">
        <f>IMAGE("https://cf.shopee.tw/file/tw-11134207-7rasa-m2xiad8jgbkb1d_tn")</f>
        <v/>
      </c>
      <c r="D3835" t="inlineStr">
        <is>
          <t>奶茶膚,M</t>
        </is>
      </c>
      <c r="E3835" t="inlineStr">
        <is>
          <t>242257070705</t>
        </is>
      </c>
      <c r="F3835">
        <f>IMAGE("https://cf.shopee.tw/file/tw-11134207-7rasl-m2xiad8jx6dnd4_tn")</f>
        <v/>
      </c>
    </row>
    <row r="3836">
      <c r="A3836" t="inlineStr">
        <is>
          <t>26468468682</t>
        </is>
      </c>
      <c r="B3836" t="inlineStr">
        <is>
          <t>隔日到貨🔥 韓系內褲 女生內褲 純棉內褲 女生無痕內褲 粉嫩純色 舒適內褲 內褲 緊身 女內褲 無痕內褲</t>
        </is>
      </c>
      <c r="C3836">
        <f>IMAGE("https://cf.shopee.tw/file/tw-11134207-7rasa-m2xiad8jgbkb1d_tn")</f>
        <v/>
      </c>
      <c r="D3836" t="inlineStr">
        <is>
          <t>奶茶膚,XL</t>
        </is>
      </c>
      <c r="E3836" t="inlineStr">
        <is>
          <t>242257070707</t>
        </is>
      </c>
      <c r="F3836">
        <f>IMAGE("https://cf.shopee.tw/file/tw-11134207-7rasl-m2xiad8jx6dnd4_tn")</f>
        <v/>
      </c>
    </row>
    <row r="3837">
      <c r="A3837" t="inlineStr">
        <is>
          <t>26468468682</t>
        </is>
      </c>
      <c r="B3837" t="inlineStr">
        <is>
          <t>隔日到貨🔥 韓系內褲 女生內褲 純棉內褲 女生無痕內褲 粉嫩純色 舒適內褲 內褲 緊身 女內褲 無痕內褲</t>
        </is>
      </c>
      <c r="C3837">
        <f>IMAGE("https://cf.shopee.tw/file/tw-11134207-7rasa-m2xiad8jgbkb1d_tn")</f>
        <v/>
      </c>
      <c r="D3837" t="inlineStr">
        <is>
          <t>淺藍,L</t>
        </is>
      </c>
      <c r="E3837" t="inlineStr">
        <is>
          <t>242257070709</t>
        </is>
      </c>
      <c r="F3837">
        <f>IMAGE("https://cf.shopee.tw/file/tw-11134207-7rasf-m2xiad8kcmln64_tn")</f>
        <v/>
      </c>
    </row>
    <row r="3838">
      <c r="A3838" t="inlineStr">
        <is>
          <t>26468468682</t>
        </is>
      </c>
      <c r="B3838" t="inlineStr">
        <is>
          <t>隔日到貨🔥 韓系內褲 女生內褲 純棉內褲 女生無痕內褲 粉嫩純色 舒適內褲 內褲 緊身 女內褲 無痕內褲</t>
        </is>
      </c>
      <c r="C3838">
        <f>IMAGE("https://cf.shopee.tw/file/tw-11134207-7rasa-m2xiad8jgbkb1d_tn")</f>
        <v/>
      </c>
      <c r="D3838" t="inlineStr">
        <is>
          <t>淺藍,XL</t>
        </is>
      </c>
      <c r="E3838" t="inlineStr">
        <is>
          <t>242257070710</t>
        </is>
      </c>
      <c r="F3838">
        <f>IMAGE("https://cf.shopee.tw/file/tw-11134207-7rasf-m2xiad8kcmln64_tn")</f>
        <v/>
      </c>
    </row>
    <row r="3839">
      <c r="A3839" t="inlineStr">
        <is>
          <t>18665190754</t>
        </is>
      </c>
      <c r="B3839" t="inlineStr">
        <is>
          <t>隔日到貨🔥 iPhone 手機殼 15 14 13 12 11 pro XS XR SE X 8 保護殼 軟殼 蘋果</t>
        </is>
      </c>
      <c r="C3839">
        <f>IMAGE("https://cf.shopee.tw/file/sg-11134201-22110-aetrtktyxckv7b_tn")</f>
        <v/>
      </c>
      <c r="D3839" t="inlineStr">
        <is>
          <t>透明殼 油漆白花,11</t>
        </is>
      </c>
      <c r="E3839" t="inlineStr"/>
      <c r="F3839">
        <f>IMAGE("https://cf.shopee.tw/file/sg-11134201-22110-l18zpm65xckv0d_tn")</f>
        <v/>
      </c>
    </row>
    <row r="3840">
      <c r="A3840" t="inlineStr">
        <is>
          <t>18665190754</t>
        </is>
      </c>
      <c r="B3840" t="inlineStr">
        <is>
          <t>隔日到貨🔥 iPhone 手機殼 15 14 13 12 11 pro XS XR SE X 8 保護殼 軟殼 蘋果</t>
        </is>
      </c>
      <c r="C3840">
        <f>IMAGE("https://cf.shopee.tw/file/sg-11134201-22110-aetrtktyxckv7b_tn")</f>
        <v/>
      </c>
      <c r="D3840" t="inlineStr">
        <is>
          <t>透明殼 油漆白花,13 mini</t>
        </is>
      </c>
      <c r="E3840" t="inlineStr"/>
      <c r="F3840">
        <f>IMAGE("https://cf.shopee.tw/file/sg-11134201-22110-l18zpm65xckv0d_tn")</f>
        <v/>
      </c>
    </row>
    <row r="3841">
      <c r="A3841" t="inlineStr">
        <is>
          <t>18665190754</t>
        </is>
      </c>
      <c r="B3841" t="inlineStr">
        <is>
          <t>隔日到貨🔥 iPhone 手機殼 15 14 13 12 11 pro XS XR SE X 8 保護殼 軟殼 蘋果</t>
        </is>
      </c>
      <c r="C3841">
        <f>IMAGE("https://cf.shopee.tw/file/sg-11134201-22110-aetrtktyxckv7b_tn")</f>
        <v/>
      </c>
      <c r="D3841" t="inlineStr">
        <is>
          <t>透明殼 油漆白花,7 / 8 / SE2 / SE3</t>
        </is>
      </c>
      <c r="E3841" t="inlineStr">
        <is>
          <t>127181212647</t>
        </is>
      </c>
      <c r="F3841">
        <f>IMAGE("https://cf.shopee.tw/file/sg-11134201-22110-l18zpm65xckv0d_tn")</f>
        <v/>
      </c>
    </row>
    <row r="3842">
      <c r="A3842" t="inlineStr">
        <is>
          <t>18665190754</t>
        </is>
      </c>
      <c r="B3842" t="inlineStr">
        <is>
          <t>隔日到貨🔥 iPhone 手機殼 15 14 13 12 11 pro XS XR SE X 8 保護殼 軟殼 蘋果</t>
        </is>
      </c>
      <c r="C3842">
        <f>IMAGE("https://cf.shopee.tw/file/sg-11134201-22110-aetrtktyxckv7b_tn")</f>
        <v/>
      </c>
      <c r="D3842" t="inlineStr">
        <is>
          <t>透明殼 油漆白花,7Plus / 8Plus</t>
        </is>
      </c>
      <c r="E3842" t="inlineStr">
        <is>
          <t>127181212648</t>
        </is>
      </c>
      <c r="F3842">
        <f>IMAGE("https://cf.shopee.tw/file/sg-11134201-22110-l18zpm65xckv0d_tn")</f>
        <v/>
      </c>
    </row>
    <row r="3843">
      <c r="A3843" t="inlineStr">
        <is>
          <t>18665190754</t>
        </is>
      </c>
      <c r="B3843" t="inlineStr">
        <is>
          <t>隔日到貨🔥 iPhone 手機殼 15 14 13 12 11 pro XS XR SE X 8 保護殼 軟殼 蘋果</t>
        </is>
      </c>
      <c r="C3843">
        <f>IMAGE("https://cf.shopee.tw/file/sg-11134201-22110-aetrtktyxckv7b_tn")</f>
        <v/>
      </c>
      <c r="D3843" t="inlineStr">
        <is>
          <t>透明殼 油漆白花,X / XS</t>
        </is>
      </c>
      <c r="E3843" t="inlineStr"/>
      <c r="F3843">
        <f>IMAGE("https://cf.shopee.tw/file/sg-11134201-22110-l18zpm65xckv0d_tn")</f>
        <v/>
      </c>
    </row>
    <row r="3844">
      <c r="A3844" t="inlineStr">
        <is>
          <t>18665190754</t>
        </is>
      </c>
      <c r="B3844" t="inlineStr">
        <is>
          <t>隔日到貨🔥 iPhone 手機殼 15 14 13 12 11 pro XS XR SE X 8 保護殼 軟殼 蘋果</t>
        </is>
      </c>
      <c r="C3844">
        <f>IMAGE("https://cf.shopee.tw/file/sg-11134201-22110-aetrtktyxckv7b_tn")</f>
        <v/>
      </c>
      <c r="D3844" t="inlineStr">
        <is>
          <t>透明殼 油漆白花,XR</t>
        </is>
      </c>
      <c r="E3844" t="inlineStr"/>
      <c r="F3844">
        <f>IMAGE("https://cf.shopee.tw/file/sg-11134201-22110-l18zpm65xckv0d_tn")</f>
        <v/>
      </c>
    </row>
    <row r="3845">
      <c r="A3845" t="inlineStr">
        <is>
          <t>18665190754</t>
        </is>
      </c>
      <c r="B3845" t="inlineStr">
        <is>
          <t>隔日到貨🔥 iPhone 手機殼 15 14 13 12 11 pro XS XR SE X 8 保護殼 軟殼 蘋果</t>
        </is>
      </c>
      <c r="C3845">
        <f>IMAGE("https://cf.shopee.tw/file/sg-11134201-22110-aetrtktyxckv7b_tn")</f>
        <v/>
      </c>
      <c r="D3845" t="inlineStr">
        <is>
          <t>透明殼 油漆白花,11 pro</t>
        </is>
      </c>
      <c r="E3845" t="inlineStr">
        <is>
          <t>127181212655</t>
        </is>
      </c>
      <c r="F3845">
        <f>IMAGE("https://cf.shopee.tw/file/sg-11134201-22110-l18zpm65xckv0d_tn")</f>
        <v/>
      </c>
    </row>
    <row r="3846">
      <c r="A3846" t="inlineStr">
        <is>
          <t>18665190754</t>
        </is>
      </c>
      <c r="B3846" t="inlineStr">
        <is>
          <t>隔日到貨🔥 iPhone 手機殼 15 14 13 12 11 pro XS XR SE X 8 保護殼 軟殼 蘋果</t>
        </is>
      </c>
      <c r="C3846">
        <f>IMAGE("https://cf.shopee.tw/file/sg-11134201-22110-aetrtktyxckv7b_tn")</f>
        <v/>
      </c>
      <c r="D3846" t="inlineStr">
        <is>
          <t>透明殼 油漆白花,11 pro Max</t>
        </is>
      </c>
      <c r="E3846" t="inlineStr"/>
      <c r="F3846">
        <f>IMAGE("https://cf.shopee.tw/file/sg-11134201-22110-l18zpm65xckv0d_tn")</f>
        <v/>
      </c>
    </row>
    <row r="3847">
      <c r="A3847" t="inlineStr">
        <is>
          <t>18665190754</t>
        </is>
      </c>
      <c r="B3847" t="inlineStr">
        <is>
          <t>隔日到貨🔥 iPhone 手機殼 15 14 13 12 11 pro XS XR SE X 8 保護殼 軟殼 蘋果</t>
        </is>
      </c>
      <c r="C3847">
        <f>IMAGE("https://cf.shopee.tw/file/sg-11134201-22110-aetrtktyxckv7b_tn")</f>
        <v/>
      </c>
      <c r="D3847" t="inlineStr">
        <is>
          <t>透明殼 油漆白花,12</t>
        </is>
      </c>
      <c r="E3847" t="inlineStr">
        <is>
          <t>127181212650</t>
        </is>
      </c>
      <c r="F3847">
        <f>IMAGE("https://cf.shopee.tw/file/sg-11134201-22110-l18zpm65xckv0d_tn")</f>
        <v/>
      </c>
    </row>
    <row r="3848">
      <c r="A3848" t="inlineStr">
        <is>
          <t>18665190754</t>
        </is>
      </c>
      <c r="B3848" t="inlineStr">
        <is>
          <t>隔日到貨🔥 iPhone 手機殼 15 14 13 12 11 pro XS XR SE X 8 保護殼 軟殼 蘋果</t>
        </is>
      </c>
      <c r="C3848">
        <f>IMAGE("https://cf.shopee.tw/file/sg-11134201-22110-aetrtktyxckv7b_tn")</f>
        <v/>
      </c>
      <c r="D3848" t="inlineStr">
        <is>
          <t>透明殼 油漆白花,12 pro</t>
        </is>
      </c>
      <c r="E3848" t="inlineStr">
        <is>
          <t>127181212656</t>
        </is>
      </c>
      <c r="F3848">
        <f>IMAGE("https://cf.shopee.tw/file/sg-11134201-22110-l18zpm65xckv0d_tn")</f>
        <v/>
      </c>
    </row>
    <row r="3849">
      <c r="A3849" t="inlineStr">
        <is>
          <t>18665190754</t>
        </is>
      </c>
      <c r="B3849" t="inlineStr">
        <is>
          <t>隔日到貨🔥 iPhone 手機殼 15 14 13 12 11 pro XS XR SE X 8 保護殼 軟殼 蘋果</t>
        </is>
      </c>
      <c r="C3849">
        <f>IMAGE("https://cf.shopee.tw/file/sg-11134201-22110-aetrtktyxckv7b_tn")</f>
        <v/>
      </c>
      <c r="D3849" t="inlineStr">
        <is>
          <t>透明殼 油漆白花,12 pro Max</t>
        </is>
      </c>
      <c r="E3849" t="inlineStr"/>
      <c r="F3849">
        <f>IMAGE("https://cf.shopee.tw/file/sg-11134201-22110-l18zpm65xckv0d_tn")</f>
        <v/>
      </c>
    </row>
    <row r="3850">
      <c r="A3850" t="inlineStr">
        <is>
          <t>18665190754</t>
        </is>
      </c>
      <c r="B3850" t="inlineStr">
        <is>
          <t>隔日到貨🔥 iPhone 手機殼 15 14 13 12 11 pro XS XR SE X 8 保護殼 軟殼 蘋果</t>
        </is>
      </c>
      <c r="C3850">
        <f>IMAGE("https://cf.shopee.tw/file/sg-11134201-22110-aetrtktyxckv7b_tn")</f>
        <v/>
      </c>
      <c r="D3850" t="inlineStr">
        <is>
          <t>透明殼 油漆白花,13</t>
        </is>
      </c>
      <c r="E3850" t="inlineStr"/>
      <c r="F3850">
        <f>IMAGE("https://cf.shopee.tw/file/sg-11134201-22110-l18zpm65xckv0d_tn")</f>
        <v/>
      </c>
    </row>
    <row r="3851">
      <c r="A3851" t="inlineStr">
        <is>
          <t>18665190754</t>
        </is>
      </c>
      <c r="B3851" t="inlineStr">
        <is>
          <t>隔日到貨🔥 iPhone 手機殼 15 14 13 12 11 pro XS XR SE X 8 保護殼 軟殼 蘋果</t>
        </is>
      </c>
      <c r="C3851">
        <f>IMAGE("https://cf.shopee.tw/file/sg-11134201-22110-aetrtktyxckv7b_tn")</f>
        <v/>
      </c>
      <c r="D3851" t="inlineStr">
        <is>
          <t>透明殼 油漆白花,13 pro</t>
        </is>
      </c>
      <c r="E3851" t="inlineStr"/>
      <c r="F3851">
        <f>IMAGE("https://cf.shopee.tw/file/sg-11134201-22110-l18zpm65xckv0d_tn")</f>
        <v/>
      </c>
    </row>
    <row r="3852">
      <c r="A3852" t="inlineStr">
        <is>
          <t>18665190754</t>
        </is>
      </c>
      <c r="B3852" t="inlineStr">
        <is>
          <t>隔日到貨🔥 iPhone 手機殼 15 14 13 12 11 pro XS XR SE X 8 保護殼 軟殼 蘋果</t>
        </is>
      </c>
      <c r="C3852">
        <f>IMAGE("https://cf.shopee.tw/file/sg-11134201-22110-aetrtktyxckv7b_tn")</f>
        <v/>
      </c>
      <c r="D3852" t="inlineStr">
        <is>
          <t>透明殼 油漆白花,13 pro Max</t>
        </is>
      </c>
      <c r="E3852" t="inlineStr"/>
      <c r="F3852">
        <f>IMAGE("https://cf.shopee.tw/file/sg-11134201-22110-l18zpm65xckv0d_tn")</f>
        <v/>
      </c>
    </row>
    <row r="3853">
      <c r="A3853" t="inlineStr">
        <is>
          <t>18665190754</t>
        </is>
      </c>
      <c r="B3853" t="inlineStr">
        <is>
          <t>隔日到貨🔥 iPhone 手機殼 15 14 13 12 11 pro XS XR SE X 8 保護殼 軟殼 蘋果</t>
        </is>
      </c>
      <c r="C3853">
        <f>IMAGE("https://cf.shopee.tw/file/sg-11134201-22110-aetrtktyxckv7b_tn")</f>
        <v/>
      </c>
      <c r="D3853" t="inlineStr">
        <is>
          <t>透明殼 油漆白花,14</t>
        </is>
      </c>
      <c r="E3853" t="inlineStr"/>
      <c r="F3853">
        <f>IMAGE("https://cf.shopee.tw/file/sg-11134201-22110-l18zpm65xckv0d_tn")</f>
        <v/>
      </c>
    </row>
    <row r="3854">
      <c r="A3854" t="inlineStr">
        <is>
          <t>18665190754</t>
        </is>
      </c>
      <c r="B3854" t="inlineStr">
        <is>
          <t>隔日到貨🔥 iPhone 手機殼 15 14 13 12 11 pro XS XR SE X 8 保護殼 軟殼 蘋果</t>
        </is>
      </c>
      <c r="C3854">
        <f>IMAGE("https://cf.shopee.tw/file/sg-11134201-22110-aetrtktyxckv7b_tn")</f>
        <v/>
      </c>
      <c r="D3854" t="inlineStr">
        <is>
          <t>透明殼 油漆白花,14 pro</t>
        </is>
      </c>
      <c r="E3854" t="inlineStr"/>
      <c r="F3854">
        <f>IMAGE("https://cf.shopee.tw/file/sg-11134201-22110-l18zpm65xckv0d_tn")</f>
        <v/>
      </c>
    </row>
    <row r="3855">
      <c r="A3855" t="inlineStr">
        <is>
          <t>18665190754</t>
        </is>
      </c>
      <c r="B3855" t="inlineStr">
        <is>
          <t>隔日到貨🔥 iPhone 手機殼 15 14 13 12 11 pro XS XR SE X 8 保護殼 軟殼 蘋果</t>
        </is>
      </c>
      <c r="C3855">
        <f>IMAGE("https://cf.shopee.tw/file/sg-11134201-22110-aetrtktyxckv7b_tn")</f>
        <v/>
      </c>
      <c r="D3855" t="inlineStr">
        <is>
          <t>透明殼 油漆白花,14 pro Max</t>
        </is>
      </c>
      <c r="E3855" t="inlineStr"/>
      <c r="F3855">
        <f>IMAGE("https://cf.shopee.tw/file/sg-11134201-22110-l18zpm65xckv0d_tn")</f>
        <v/>
      </c>
    </row>
    <row r="3856">
      <c r="A3856" t="inlineStr">
        <is>
          <t>18665190754</t>
        </is>
      </c>
      <c r="B3856" t="inlineStr">
        <is>
          <t>隔日到貨🔥 iPhone 手機殼 15 14 13 12 11 pro XS XR SE X 8 保護殼 軟殼 蘋果</t>
        </is>
      </c>
      <c r="C3856">
        <f>IMAGE("https://cf.shopee.tw/file/sg-11134201-22110-aetrtktyxckv7b_tn")</f>
        <v/>
      </c>
      <c r="D3856" t="inlineStr">
        <is>
          <t>透明殼 油漆白花,15</t>
        </is>
      </c>
      <c r="E3856" t="inlineStr">
        <is>
          <t>197035370445</t>
        </is>
      </c>
      <c r="F3856">
        <f>IMAGE("https://cf.shopee.tw/file/sg-11134201-22110-l18zpm65xckv0d_tn")</f>
        <v/>
      </c>
    </row>
    <row r="3857">
      <c r="A3857" t="inlineStr">
        <is>
          <t>18665190754</t>
        </is>
      </c>
      <c r="B3857" t="inlineStr">
        <is>
          <t>隔日到貨🔥 iPhone 手機殼 15 14 13 12 11 pro XS XR SE X 8 保護殼 軟殼 蘋果</t>
        </is>
      </c>
      <c r="C3857">
        <f>IMAGE("https://cf.shopee.tw/file/sg-11134201-22110-aetrtktyxckv7b_tn")</f>
        <v/>
      </c>
      <c r="D3857" t="inlineStr">
        <is>
          <t>透明殼 油漆白花,15 Plus</t>
        </is>
      </c>
      <c r="E3857" t="inlineStr">
        <is>
          <t>197035370443</t>
        </is>
      </c>
      <c r="F3857">
        <f>IMAGE("https://cf.shopee.tw/file/sg-11134201-22110-l18zpm65xckv0d_tn")</f>
        <v/>
      </c>
    </row>
    <row r="3858">
      <c r="A3858" t="inlineStr">
        <is>
          <t>18665190754</t>
        </is>
      </c>
      <c r="B3858" t="inlineStr">
        <is>
          <t>隔日到貨🔥 iPhone 手機殼 15 14 13 12 11 pro XS XR SE X 8 保護殼 軟殼 蘋果</t>
        </is>
      </c>
      <c r="C3858">
        <f>IMAGE("https://cf.shopee.tw/file/sg-11134201-22110-aetrtktyxckv7b_tn")</f>
        <v/>
      </c>
      <c r="D3858" t="inlineStr">
        <is>
          <t>透明殼 油漆白花,15 pro</t>
        </is>
      </c>
      <c r="E3858" t="inlineStr">
        <is>
          <t>197035370444</t>
        </is>
      </c>
      <c r="F3858">
        <f>IMAGE("https://cf.shopee.tw/file/sg-11134201-22110-l18zpm65xckv0d_tn")</f>
        <v/>
      </c>
    </row>
    <row r="3859">
      <c r="A3859" t="inlineStr">
        <is>
          <t>18665190754</t>
        </is>
      </c>
      <c r="B3859" t="inlineStr">
        <is>
          <t>隔日到貨🔥 iPhone 手機殼 15 14 13 12 11 pro XS XR SE X 8 保護殼 軟殼 蘋果</t>
        </is>
      </c>
      <c r="C3859">
        <f>IMAGE("https://cf.shopee.tw/file/sg-11134201-22110-aetrtktyxckv7b_tn")</f>
        <v/>
      </c>
      <c r="D3859" t="inlineStr">
        <is>
          <t>透明殼 油漆白花,15 pro Max</t>
        </is>
      </c>
      <c r="E3859" t="inlineStr"/>
      <c r="F3859">
        <f>IMAGE("https://cf.shopee.tw/file/sg-11134201-22110-l18zpm65xckv0d_tn")</f>
        <v/>
      </c>
    </row>
    <row r="3860">
      <c r="A3860" t="inlineStr">
        <is>
          <t>22125480664</t>
        </is>
      </c>
      <c r="B3860" t="inlineStr">
        <is>
          <t>隔日到貨🔥 iPhone 手機殼 17 16 15 14 13 12 11 pro Max X XR SE 保護殼 軟殼</t>
        </is>
      </c>
      <c r="C3860">
        <f>IMAGE("https://cf.shopee.tw/file/tw-11134207-23020-iv2u0tzckonvae_tn")</f>
        <v/>
      </c>
      <c r="D3860" t="inlineStr">
        <is>
          <t>綠野千鳥格,7 / 8 / SE2 / SE3</t>
        </is>
      </c>
      <c r="E3860" t="inlineStr">
        <is>
          <t>193884305124</t>
        </is>
      </c>
      <c r="F3860">
        <f>IMAGE("https://cf.shopee.tw/file/tw-11134207-23020-7xn9oqufkonv0e_tn")</f>
        <v/>
      </c>
    </row>
    <row r="3861">
      <c r="A3861" t="inlineStr">
        <is>
          <t>22125480664</t>
        </is>
      </c>
      <c r="B3861" t="inlineStr">
        <is>
          <t>隔日到貨🔥 iPhone 手機殼 17 16 15 14 13 12 11 pro Max X XR SE 保護殼 軟殼</t>
        </is>
      </c>
      <c r="C3861">
        <f>IMAGE("https://cf.shopee.tw/file/tw-11134207-23020-iv2u0tzckonvae_tn")</f>
        <v/>
      </c>
      <c r="D3861" t="inlineStr">
        <is>
          <t>綠野千鳥格,7Plus / 8Plus</t>
        </is>
      </c>
      <c r="E3861" t="inlineStr"/>
      <c r="F3861">
        <f>IMAGE("https://cf.shopee.tw/file/tw-11134207-23020-7xn9oqufkonv0e_tn")</f>
        <v/>
      </c>
    </row>
    <row r="3862">
      <c r="A3862" t="inlineStr">
        <is>
          <t>22125480664</t>
        </is>
      </c>
      <c r="B3862" t="inlineStr">
        <is>
          <t>隔日到貨🔥 iPhone 手機殼 17 16 15 14 13 12 11 pro Max X XR SE 保護殼 軟殼</t>
        </is>
      </c>
      <c r="C3862">
        <f>IMAGE("https://cf.shopee.tw/file/tw-11134207-23020-iv2u0tzckonvae_tn")</f>
        <v/>
      </c>
      <c r="D3862" t="inlineStr">
        <is>
          <t>綠野千鳥格,X / XS</t>
        </is>
      </c>
      <c r="E3862" t="inlineStr"/>
      <c r="F3862">
        <f>IMAGE("https://cf.shopee.tw/file/tw-11134207-23020-7xn9oqufkonv0e_tn")</f>
        <v/>
      </c>
    </row>
    <row r="3863">
      <c r="A3863" t="inlineStr">
        <is>
          <t>22125480664</t>
        </is>
      </c>
      <c r="B3863" t="inlineStr">
        <is>
          <t>隔日到貨🔥 iPhone 手機殼 17 16 15 14 13 12 11 pro Max X XR SE 保護殼 軟殼</t>
        </is>
      </c>
      <c r="C3863">
        <f>IMAGE("https://cf.shopee.tw/file/tw-11134207-23020-iv2u0tzckonvae_tn")</f>
        <v/>
      </c>
      <c r="D3863" t="inlineStr">
        <is>
          <t>綠野千鳥格,XR</t>
        </is>
      </c>
      <c r="E3863" t="inlineStr"/>
      <c r="F3863">
        <f>IMAGE("https://cf.shopee.tw/file/tw-11134207-23020-7xn9oqufkonv0e_tn")</f>
        <v/>
      </c>
    </row>
    <row r="3864">
      <c r="A3864" t="inlineStr">
        <is>
          <t>22125480664</t>
        </is>
      </c>
      <c r="B3864" t="inlineStr">
        <is>
          <t>隔日到貨🔥 iPhone 手機殼 17 16 15 14 13 12 11 pro Max X XR SE 保護殼 軟殼</t>
        </is>
      </c>
      <c r="C3864">
        <f>IMAGE("https://cf.shopee.tw/file/tw-11134207-23020-iv2u0tzckonvae_tn")</f>
        <v/>
      </c>
      <c r="D3864" t="inlineStr">
        <is>
          <t>綠野千鳥格,11</t>
        </is>
      </c>
      <c r="E3864" t="inlineStr">
        <is>
          <t>127407921576</t>
        </is>
      </c>
      <c r="F3864">
        <f>IMAGE("https://cf.shopee.tw/file/tw-11134207-23020-7xn9oqufkonv0e_tn")</f>
        <v/>
      </c>
    </row>
    <row r="3865">
      <c r="A3865" t="inlineStr">
        <is>
          <t>22125480664</t>
        </is>
      </c>
      <c r="B3865" t="inlineStr">
        <is>
          <t>隔日到貨🔥 iPhone 手機殼 17 16 15 14 13 12 11 pro Max X XR SE 保護殼 軟殼</t>
        </is>
      </c>
      <c r="C3865">
        <f>IMAGE("https://cf.shopee.tw/file/tw-11134207-23020-iv2u0tzckonvae_tn")</f>
        <v/>
      </c>
      <c r="D3865" t="inlineStr">
        <is>
          <t>綠野千鳥格,11 pro</t>
        </is>
      </c>
      <c r="E3865" t="inlineStr"/>
      <c r="F3865">
        <f>IMAGE("https://cf.shopee.tw/file/tw-11134207-23020-7xn9oqufkonv0e_tn")</f>
        <v/>
      </c>
    </row>
    <row r="3866">
      <c r="A3866" t="inlineStr">
        <is>
          <t>22125480664</t>
        </is>
      </c>
      <c r="B3866" t="inlineStr">
        <is>
          <t>隔日到貨🔥 iPhone 手機殼 17 16 15 14 13 12 11 pro Max X XR SE 保護殼 軟殼</t>
        </is>
      </c>
      <c r="C3866">
        <f>IMAGE("https://cf.shopee.tw/file/tw-11134207-23020-iv2u0tzckonvae_tn")</f>
        <v/>
      </c>
      <c r="D3866" t="inlineStr">
        <is>
          <t>綠野千鳥格,12</t>
        </is>
      </c>
      <c r="E3866" t="inlineStr">
        <is>
          <t>127407921583</t>
        </is>
      </c>
      <c r="F3866">
        <f>IMAGE("https://cf.shopee.tw/file/tw-11134207-23020-7xn9oqufkonv0e_tn")</f>
        <v/>
      </c>
    </row>
    <row r="3867">
      <c r="A3867" t="inlineStr">
        <is>
          <t>22125480664</t>
        </is>
      </c>
      <c r="B3867" t="inlineStr">
        <is>
          <t>隔日到貨🔥 iPhone 手機殼 17 16 15 14 13 12 11 pro Max X XR SE 保護殼 軟殼</t>
        </is>
      </c>
      <c r="C3867">
        <f>IMAGE("https://cf.shopee.tw/file/tw-11134207-23020-iv2u0tzckonvae_tn")</f>
        <v/>
      </c>
      <c r="D3867" t="inlineStr">
        <is>
          <t>綠野千鳥格,12 pro</t>
        </is>
      </c>
      <c r="E3867" t="inlineStr"/>
      <c r="F3867">
        <f>IMAGE("https://cf.shopee.tw/file/tw-11134207-23020-7xn9oqufkonv0e_tn")</f>
        <v/>
      </c>
    </row>
    <row r="3868">
      <c r="A3868" t="inlineStr">
        <is>
          <t>22125480664</t>
        </is>
      </c>
      <c r="B3868" t="inlineStr">
        <is>
          <t>隔日到貨🔥 iPhone 手機殼 17 16 15 14 13 12 11 pro Max X XR SE 保護殼 軟殼</t>
        </is>
      </c>
      <c r="C3868">
        <f>IMAGE("https://cf.shopee.tw/file/tw-11134207-23020-iv2u0tzckonvae_tn")</f>
        <v/>
      </c>
      <c r="D3868" t="inlineStr">
        <is>
          <t>綠野千鳥格,12 mini</t>
        </is>
      </c>
      <c r="E3868" t="inlineStr"/>
      <c r="F3868">
        <f>IMAGE("https://cf.shopee.tw/file/tw-11134207-23020-7xn9oqufkonv0e_tn")</f>
        <v/>
      </c>
    </row>
    <row r="3869">
      <c r="A3869" t="inlineStr">
        <is>
          <t>22125480664</t>
        </is>
      </c>
      <c r="B3869" t="inlineStr">
        <is>
          <t>隔日到貨🔥 iPhone 手機殼 17 16 15 14 13 12 11 pro Max X XR SE 保護殼 軟殼</t>
        </is>
      </c>
      <c r="C3869">
        <f>IMAGE("https://cf.shopee.tw/file/tw-11134207-23020-iv2u0tzckonvae_tn")</f>
        <v/>
      </c>
      <c r="D3869" t="inlineStr">
        <is>
          <t>綠野千鳥格,12 pro Max</t>
        </is>
      </c>
      <c r="E3869" t="inlineStr">
        <is>
          <t>127407921580</t>
        </is>
      </c>
      <c r="F3869">
        <f>IMAGE("https://cf.shopee.tw/file/tw-11134207-23020-7xn9oqufkonv0e_tn")</f>
        <v/>
      </c>
    </row>
    <row r="3870">
      <c r="A3870" t="inlineStr">
        <is>
          <t>22125480664</t>
        </is>
      </c>
      <c r="B3870" t="inlineStr">
        <is>
          <t>隔日到貨🔥 iPhone 手機殼 17 16 15 14 13 12 11 pro Max X XR SE 保護殼 軟殼</t>
        </is>
      </c>
      <c r="C3870">
        <f>IMAGE("https://cf.shopee.tw/file/tw-11134207-23020-iv2u0tzckonvae_tn")</f>
        <v/>
      </c>
      <c r="D3870" t="inlineStr">
        <is>
          <t>綠野千鳥格,13</t>
        </is>
      </c>
      <c r="E3870" t="inlineStr">
        <is>
          <t>127407921581</t>
        </is>
      </c>
      <c r="F3870">
        <f>IMAGE("https://cf.shopee.tw/file/tw-11134207-23020-7xn9oqufkonv0e_tn")</f>
        <v/>
      </c>
    </row>
    <row r="3871">
      <c r="A3871" t="inlineStr">
        <is>
          <t>22125480664</t>
        </is>
      </c>
      <c r="B3871" t="inlineStr">
        <is>
          <t>隔日到貨🔥 iPhone 手機殼 17 16 15 14 13 12 11 pro Max X XR SE 保護殼 軟殼</t>
        </is>
      </c>
      <c r="C3871">
        <f>IMAGE("https://cf.shopee.tw/file/tw-11134207-23020-iv2u0tzckonvae_tn")</f>
        <v/>
      </c>
      <c r="D3871" t="inlineStr">
        <is>
          <t>綠野千鳥格,13 pro</t>
        </is>
      </c>
      <c r="E3871" t="inlineStr"/>
      <c r="F3871">
        <f>IMAGE("https://cf.shopee.tw/file/tw-11134207-23020-7xn9oqufkonv0e_tn")</f>
        <v/>
      </c>
    </row>
    <row r="3872">
      <c r="A3872" t="inlineStr">
        <is>
          <t>22125480664</t>
        </is>
      </c>
      <c r="B3872" t="inlineStr">
        <is>
          <t>隔日到貨🔥 iPhone 手機殼 17 16 15 14 13 12 11 pro Max X XR SE 保護殼 軟殼</t>
        </is>
      </c>
      <c r="C3872">
        <f>IMAGE("https://cf.shopee.tw/file/tw-11134207-23020-iv2u0tzckonvae_tn")</f>
        <v/>
      </c>
      <c r="D3872" t="inlineStr">
        <is>
          <t>綠野千鳥格,13 pro Max</t>
        </is>
      </c>
      <c r="E3872" t="inlineStr"/>
      <c r="F3872">
        <f>IMAGE("https://cf.shopee.tw/file/tw-11134207-23020-7xn9oqufkonv0e_tn")</f>
        <v/>
      </c>
    </row>
    <row r="3873">
      <c r="A3873" t="inlineStr">
        <is>
          <t>22125480664</t>
        </is>
      </c>
      <c r="B3873" t="inlineStr">
        <is>
          <t>隔日到貨🔥 iPhone 手機殼 17 16 15 14 13 12 11 pro Max X XR SE 保護殼 軟殼</t>
        </is>
      </c>
      <c r="C3873">
        <f>IMAGE("https://cf.shopee.tw/file/tw-11134207-23020-iv2u0tzckonvae_tn")</f>
        <v/>
      </c>
      <c r="D3873" t="inlineStr">
        <is>
          <t>綠野千鳥格,13 mini</t>
        </is>
      </c>
      <c r="E3873" t="inlineStr">
        <is>
          <t>165859188828</t>
        </is>
      </c>
      <c r="F3873">
        <f>IMAGE("https://cf.shopee.tw/file/tw-11134207-23020-7xn9oqufkonv0e_tn")</f>
        <v/>
      </c>
    </row>
    <row r="3874">
      <c r="A3874" t="inlineStr">
        <is>
          <t>22125480664</t>
        </is>
      </c>
      <c r="B3874" t="inlineStr">
        <is>
          <t>隔日到貨🔥 iPhone 手機殼 17 16 15 14 13 12 11 pro Max X XR SE 保護殼 軟殼</t>
        </is>
      </c>
      <c r="C3874">
        <f>IMAGE("https://cf.shopee.tw/file/tw-11134207-23020-iv2u0tzckonvae_tn")</f>
        <v/>
      </c>
      <c r="D3874" t="inlineStr">
        <is>
          <t>綠野千鳥格,14</t>
        </is>
      </c>
      <c r="E3874" t="inlineStr"/>
      <c r="F3874">
        <f>IMAGE("https://cf.shopee.tw/file/tw-11134207-23020-7xn9oqufkonv0e_tn")</f>
        <v/>
      </c>
    </row>
    <row r="3875">
      <c r="A3875" t="inlineStr">
        <is>
          <t>22125480664</t>
        </is>
      </c>
      <c r="B3875" t="inlineStr">
        <is>
          <t>隔日到貨🔥 iPhone 手機殼 17 16 15 14 13 12 11 pro Max X XR SE 保護殼 軟殼</t>
        </is>
      </c>
      <c r="C3875">
        <f>IMAGE("https://cf.shopee.tw/file/tw-11134207-23020-iv2u0tzckonvae_tn")</f>
        <v/>
      </c>
      <c r="D3875" t="inlineStr">
        <is>
          <t>綠野千鳥格,14 Plus</t>
        </is>
      </c>
      <c r="E3875" t="inlineStr"/>
      <c r="F3875">
        <f>IMAGE("https://cf.shopee.tw/file/tw-11134207-23020-7xn9oqufkonv0e_tn")</f>
        <v/>
      </c>
    </row>
    <row r="3876">
      <c r="A3876" t="inlineStr">
        <is>
          <t>22125480664</t>
        </is>
      </c>
      <c r="B3876" t="inlineStr">
        <is>
          <t>隔日到貨🔥 iPhone 手機殼 17 16 15 14 13 12 11 pro Max X XR SE 保護殼 軟殼</t>
        </is>
      </c>
      <c r="C3876">
        <f>IMAGE("https://cf.shopee.tw/file/tw-11134207-23020-iv2u0tzckonvae_tn")</f>
        <v/>
      </c>
      <c r="D3876" t="inlineStr">
        <is>
          <t>綠野千鳥格,14 pro</t>
        </is>
      </c>
      <c r="E3876" t="inlineStr">
        <is>
          <t>127407921578</t>
        </is>
      </c>
      <c r="F3876">
        <f>IMAGE("https://cf.shopee.tw/file/tw-11134207-23020-7xn9oqufkonv0e_tn")</f>
        <v/>
      </c>
    </row>
    <row r="3877">
      <c r="A3877" t="inlineStr">
        <is>
          <t>22125480664</t>
        </is>
      </c>
      <c r="B3877" t="inlineStr">
        <is>
          <t>隔日到貨🔥 iPhone 手機殼 17 16 15 14 13 12 11 pro Max X XR SE 保護殼 軟殼</t>
        </is>
      </c>
      <c r="C3877">
        <f>IMAGE("https://cf.shopee.tw/file/tw-11134207-23020-iv2u0tzckonvae_tn")</f>
        <v/>
      </c>
      <c r="D3877" t="inlineStr">
        <is>
          <t>綠野千鳥格,14 pro Max</t>
        </is>
      </c>
      <c r="E3877" t="inlineStr"/>
      <c r="F3877">
        <f>IMAGE("https://cf.shopee.tw/file/tw-11134207-23020-7xn9oqufkonv0e_tn")</f>
        <v/>
      </c>
    </row>
    <row r="3878">
      <c r="A3878" t="inlineStr">
        <is>
          <t>22125480664</t>
        </is>
      </c>
      <c r="B3878" t="inlineStr">
        <is>
          <t>隔日到貨🔥 iPhone 手機殼 17 16 15 14 13 12 11 pro Max X XR SE 保護殼 軟殼</t>
        </is>
      </c>
      <c r="C3878">
        <f>IMAGE("https://cf.shopee.tw/file/tw-11134207-23020-iv2u0tzckonvae_tn")</f>
        <v/>
      </c>
      <c r="D3878" t="inlineStr">
        <is>
          <t>綠野千鳥格,15</t>
        </is>
      </c>
      <c r="E3878" t="inlineStr">
        <is>
          <t>232169133251</t>
        </is>
      </c>
      <c r="F3878">
        <f>IMAGE("https://cf.shopee.tw/file/tw-11134207-23020-7xn9oqufkonv0e_tn")</f>
        <v/>
      </c>
    </row>
    <row r="3879">
      <c r="A3879" t="inlineStr">
        <is>
          <t>22125480664</t>
        </is>
      </c>
      <c r="B3879" t="inlineStr">
        <is>
          <t>隔日到貨🔥 iPhone 手機殼 17 16 15 14 13 12 11 pro Max X XR SE 保護殼 軟殼</t>
        </is>
      </c>
      <c r="C3879">
        <f>IMAGE("https://cf.shopee.tw/file/tw-11134207-23020-iv2u0tzckonvae_tn")</f>
        <v/>
      </c>
      <c r="D3879" t="inlineStr">
        <is>
          <t>綠野千鳥格,15 Plus</t>
        </is>
      </c>
      <c r="E3879" t="inlineStr">
        <is>
          <t>232169133252</t>
        </is>
      </c>
      <c r="F3879">
        <f>IMAGE("https://cf.shopee.tw/file/tw-11134207-23020-7xn9oqufkonv0e_tn")</f>
        <v/>
      </c>
    </row>
    <row r="3880">
      <c r="A3880" t="inlineStr">
        <is>
          <t>22125480664</t>
        </is>
      </c>
      <c r="B3880" t="inlineStr">
        <is>
          <t>隔日到貨🔥 iPhone 手機殼 17 16 15 14 13 12 11 pro Max X XR SE 保護殼 軟殼</t>
        </is>
      </c>
      <c r="C3880">
        <f>IMAGE("https://cf.shopee.tw/file/tw-11134207-23020-iv2u0tzckonvae_tn")</f>
        <v/>
      </c>
      <c r="D3880" t="inlineStr">
        <is>
          <t>綠野千鳥格,15 pro</t>
        </is>
      </c>
      <c r="E3880" t="inlineStr">
        <is>
          <t>232169133253</t>
        </is>
      </c>
      <c r="F3880">
        <f>IMAGE("https://cf.shopee.tw/file/tw-11134207-23020-7xn9oqufkonv0e_tn")</f>
        <v/>
      </c>
    </row>
    <row r="3881">
      <c r="A3881" t="inlineStr">
        <is>
          <t>22125480664</t>
        </is>
      </c>
      <c r="B3881" t="inlineStr">
        <is>
          <t>隔日到貨🔥 iPhone 手機殼 17 16 15 14 13 12 11 pro Max X XR SE 保護殼 軟殼</t>
        </is>
      </c>
      <c r="C3881">
        <f>IMAGE("https://cf.shopee.tw/file/tw-11134207-23020-iv2u0tzckonvae_tn")</f>
        <v/>
      </c>
      <c r="D3881" t="inlineStr">
        <is>
          <t>綠野千鳥格,15 pro max</t>
        </is>
      </c>
      <c r="E3881" t="inlineStr"/>
      <c r="F3881">
        <f>IMAGE("https://cf.shopee.tw/file/tw-11134207-23020-7xn9oqufkonv0e_tn")</f>
        <v/>
      </c>
    </row>
    <row r="3882">
      <c r="A3882" t="inlineStr">
        <is>
          <t>22125480664</t>
        </is>
      </c>
      <c r="B3882" t="inlineStr">
        <is>
          <t>隔日到貨🔥 iPhone 手機殼 17 16 15 14 13 12 11 pro Max X XR SE 保護殼 軟殼</t>
        </is>
      </c>
      <c r="C3882">
        <f>IMAGE("https://cf.shopee.tw/file/tw-11134207-23020-iv2u0tzckonvae_tn")</f>
        <v/>
      </c>
      <c r="D3882" t="inlineStr">
        <is>
          <t>綠野千鳥格,16</t>
        </is>
      </c>
      <c r="E3882" t="inlineStr">
        <is>
          <t>217816542007</t>
        </is>
      </c>
      <c r="F3882">
        <f>IMAGE("https://cf.shopee.tw/file/tw-11134207-23020-7xn9oqufkonv0e_tn")</f>
        <v/>
      </c>
    </row>
    <row r="3883">
      <c r="A3883" t="inlineStr">
        <is>
          <t>22125480664</t>
        </is>
      </c>
      <c r="B3883" t="inlineStr">
        <is>
          <t>隔日到貨🔥 iPhone 手機殼 17 16 15 14 13 12 11 pro Max X XR SE 保護殼 軟殼</t>
        </is>
      </c>
      <c r="C3883">
        <f>IMAGE("https://cf.shopee.tw/file/tw-11134207-23020-iv2u0tzckonvae_tn")</f>
        <v/>
      </c>
      <c r="D3883" t="inlineStr">
        <is>
          <t>綠野千鳥格,16 Plus</t>
        </is>
      </c>
      <c r="E3883" t="inlineStr"/>
      <c r="F3883">
        <f>IMAGE("https://cf.shopee.tw/file/tw-11134207-23020-7xn9oqufkonv0e_tn")</f>
        <v/>
      </c>
    </row>
    <row r="3884">
      <c r="A3884" t="inlineStr">
        <is>
          <t>22125480664</t>
        </is>
      </c>
      <c r="B3884" t="inlineStr">
        <is>
          <t>隔日到貨🔥 iPhone 手機殼 17 16 15 14 13 12 11 pro Max X XR SE 保護殼 軟殼</t>
        </is>
      </c>
      <c r="C3884">
        <f>IMAGE("https://cf.shopee.tw/file/tw-11134207-23020-iv2u0tzckonvae_tn")</f>
        <v/>
      </c>
      <c r="D3884" t="inlineStr">
        <is>
          <t>綠野千鳥格,16 pro</t>
        </is>
      </c>
      <c r="E3884" t="inlineStr"/>
      <c r="F3884">
        <f>IMAGE("https://cf.shopee.tw/file/tw-11134207-23020-7xn9oqufkonv0e_tn")</f>
        <v/>
      </c>
    </row>
    <row r="3885">
      <c r="A3885" t="inlineStr">
        <is>
          <t>22125480664</t>
        </is>
      </c>
      <c r="B3885" t="inlineStr">
        <is>
          <t>隔日到貨🔥 iPhone 手機殼 17 16 15 14 13 12 11 pro Max X XR SE 保護殼 軟殼</t>
        </is>
      </c>
      <c r="C3885">
        <f>IMAGE("https://cf.shopee.tw/file/tw-11134207-23020-iv2u0tzckonvae_tn")</f>
        <v/>
      </c>
      <c r="D3885" t="inlineStr">
        <is>
          <t>綠野千鳥格,16 pro Max</t>
        </is>
      </c>
      <c r="E3885" t="inlineStr"/>
      <c r="F3885">
        <f>IMAGE("https://cf.shopee.tw/file/tw-11134207-23020-7xn9oqufkonv0e_tn")</f>
        <v/>
      </c>
    </row>
    <row r="3886">
      <c r="A3886" t="inlineStr">
        <is>
          <t>22125480664</t>
        </is>
      </c>
      <c r="B3886" t="inlineStr">
        <is>
          <t>隔日到貨🔥 iPhone 手機殼 17 16 15 14 13 12 11 pro Max X XR SE 保護殼 軟殼</t>
        </is>
      </c>
      <c r="C3886">
        <f>IMAGE("https://cf.shopee.tw/file/tw-11134207-23020-iv2u0tzckonvae_tn")</f>
        <v/>
      </c>
      <c r="D3886" t="inlineStr">
        <is>
          <t>綠野千鳥格,17</t>
        </is>
      </c>
      <c r="E3886" t="inlineStr">
        <is>
          <t>266980791452</t>
        </is>
      </c>
      <c r="F3886">
        <f>IMAGE("https://cf.shopee.tw/file/tw-11134207-23020-7xn9oqufkonv0e_tn")</f>
        <v/>
      </c>
    </row>
    <row r="3887">
      <c r="A3887" t="inlineStr">
        <is>
          <t>22125480664</t>
        </is>
      </c>
      <c r="B3887" t="inlineStr">
        <is>
          <t>隔日到貨🔥 iPhone 手機殼 17 16 15 14 13 12 11 pro Max X XR SE 保護殼 軟殼</t>
        </is>
      </c>
      <c r="C3887">
        <f>IMAGE("https://cf.shopee.tw/file/tw-11134207-23020-iv2u0tzckonvae_tn")</f>
        <v/>
      </c>
      <c r="D3887" t="inlineStr">
        <is>
          <t>綠野千鳥格,17 pro</t>
        </is>
      </c>
      <c r="E3887" t="inlineStr"/>
      <c r="F3887">
        <f>IMAGE("https://cf.shopee.tw/file/tw-11134207-23020-7xn9oqufkonv0e_tn")</f>
        <v/>
      </c>
    </row>
    <row r="3888">
      <c r="A3888" t="inlineStr">
        <is>
          <t>22125480664</t>
        </is>
      </c>
      <c r="B3888" t="inlineStr">
        <is>
          <t>隔日到貨🔥 iPhone 手機殼 17 16 15 14 13 12 11 pro Max X XR SE 保護殼 軟殼</t>
        </is>
      </c>
      <c r="C3888">
        <f>IMAGE("https://cf.shopee.tw/file/tw-11134207-23020-iv2u0tzckonvae_tn")</f>
        <v/>
      </c>
      <c r="D3888" t="inlineStr">
        <is>
          <t>綠野千鳥格,17 pro Max</t>
        </is>
      </c>
      <c r="E3888" t="inlineStr"/>
      <c r="F3888">
        <f>IMAGE("https://cf.shopee.tw/file/tw-11134207-23020-7xn9oqufkonv0e_tn")</f>
        <v/>
      </c>
    </row>
    <row r="3889">
      <c r="A3889" t="inlineStr">
        <is>
          <t>22125480664</t>
        </is>
      </c>
      <c r="B3889" t="inlineStr">
        <is>
          <t>隔日到貨🔥 iPhone 手機殼 17 16 15 14 13 12 11 pro Max X XR SE 保護殼 軟殼</t>
        </is>
      </c>
      <c r="C3889">
        <f>IMAGE("https://cf.shopee.tw/file/tw-11134207-23020-iv2u0tzckonvae_tn")</f>
        <v/>
      </c>
      <c r="D3889" t="inlineStr">
        <is>
          <t>綠野千鳥格,17 Air</t>
        </is>
      </c>
      <c r="E3889" t="inlineStr"/>
      <c r="F3889">
        <f>IMAGE("https://cf.shopee.tw/file/tw-11134207-23020-7xn9oqufkonv0e_tn")</f>
        <v/>
      </c>
    </row>
    <row r="3890">
      <c r="A3890" t="inlineStr">
        <is>
          <t>13639404707</t>
        </is>
      </c>
      <c r="B3890" t="inlineStr">
        <is>
          <t>隔日到貨🔥 iPhone手機殼 15 14 13 12 11 XS XR SE X 15pro 保護殼 軟殼 蘋果</t>
        </is>
      </c>
      <c r="C3890">
        <f>IMAGE("https://cf.shopee.tw/file/b64df34cb6ffcf867f4a93b77e2534a2_tn")</f>
        <v/>
      </c>
      <c r="D3890" t="inlineStr">
        <is>
          <t>7 / 8 / SE2 / SE3</t>
        </is>
      </c>
      <c r="E3890" t="inlineStr">
        <is>
          <t>121779904211</t>
        </is>
      </c>
      <c r="F3890">
        <f>IMAGE("https://deo.shopeemobile.com/shopee/shopee-seller-live-sg/mmf_portal_seller_root_dir/static/modules/product-list/image/default-item-model-image.2601159.png")</f>
        <v/>
      </c>
    </row>
    <row r="3891">
      <c r="A3891" t="inlineStr">
        <is>
          <t>13639404707</t>
        </is>
      </c>
      <c r="B3891" t="inlineStr">
        <is>
          <t>隔日到貨🔥 iPhone手機殼 15 14 13 12 11 XS XR SE X 15pro 保護殼 軟殼 蘋果</t>
        </is>
      </c>
      <c r="C3891">
        <f>IMAGE("https://cf.shopee.tw/file/b64df34cb6ffcf867f4a93b77e2534a2_tn")</f>
        <v/>
      </c>
      <c r="D3891" t="inlineStr">
        <is>
          <t>7 Plus / 8 Plus</t>
        </is>
      </c>
      <c r="E3891" t="inlineStr">
        <is>
          <t>121779904212</t>
        </is>
      </c>
      <c r="F3891">
        <f>IMAGE("https://deo.shopeemobile.com/shopee/shopee-seller-live-sg/mmf_portal_seller_root_dir/static/modules/product-list/image/default-item-model-image.2601159.png")</f>
        <v/>
      </c>
    </row>
    <row r="3892">
      <c r="A3892" t="inlineStr">
        <is>
          <t>13639404707</t>
        </is>
      </c>
      <c r="B3892" t="inlineStr">
        <is>
          <t>隔日到貨🔥 iPhone手機殼 15 14 13 12 11 XS XR SE X 15pro 保護殼 軟殼 蘋果</t>
        </is>
      </c>
      <c r="C3892">
        <f>IMAGE("https://cf.shopee.tw/file/b64df34cb6ffcf867f4a93b77e2534a2_tn")</f>
        <v/>
      </c>
      <c r="D3892" t="inlineStr">
        <is>
          <t>X / XS</t>
        </is>
      </c>
      <c r="E3892" t="inlineStr">
        <is>
          <t>121779904204</t>
        </is>
      </c>
      <c r="F3892">
        <f>IMAGE("https://deo.shopeemobile.com/shopee/shopee-seller-live-sg/mmf_portal_seller_root_dir/static/modules/product-list/image/default-item-model-image.2601159.png")</f>
        <v/>
      </c>
    </row>
    <row r="3893">
      <c r="A3893" t="inlineStr">
        <is>
          <t>13639404707</t>
        </is>
      </c>
      <c r="B3893" t="inlineStr">
        <is>
          <t>隔日到貨🔥 iPhone手機殼 15 14 13 12 11 XS XR SE X 15pro 保護殼 軟殼 蘋果</t>
        </is>
      </c>
      <c r="C3893">
        <f>IMAGE("https://cf.shopee.tw/file/b64df34cb6ffcf867f4a93b77e2534a2_tn")</f>
        <v/>
      </c>
      <c r="D3893" t="inlineStr">
        <is>
          <t>XR</t>
        </is>
      </c>
      <c r="E3893" t="inlineStr">
        <is>
          <t>121779904205</t>
        </is>
      </c>
      <c r="F3893">
        <f>IMAGE("https://deo.shopeemobile.com/shopee/shopee-seller-live-sg/mmf_portal_seller_root_dir/static/modules/product-list/image/default-item-model-image.2601159.png")</f>
        <v/>
      </c>
    </row>
    <row r="3894">
      <c r="A3894" t="inlineStr">
        <is>
          <t>13639404707</t>
        </is>
      </c>
      <c r="B3894" t="inlineStr">
        <is>
          <t>隔日到貨🔥 iPhone手機殼 15 14 13 12 11 XS XR SE X 15pro 保護殼 軟殼 蘋果</t>
        </is>
      </c>
      <c r="C3894">
        <f>IMAGE("https://cf.shopee.tw/file/b64df34cb6ffcf867f4a93b77e2534a2_tn")</f>
        <v/>
      </c>
      <c r="D3894" t="inlineStr">
        <is>
          <t>XS Max</t>
        </is>
      </c>
      <c r="E3894" t="inlineStr"/>
      <c r="F3894">
        <f>IMAGE("https://deo.shopeemobile.com/shopee/shopee-seller-live-sg/mmf_portal_seller_root_dir/static/modules/product-list/image/default-item-model-image.2601159.png")</f>
        <v/>
      </c>
    </row>
    <row r="3895">
      <c r="A3895" t="inlineStr">
        <is>
          <t>13639404707</t>
        </is>
      </c>
      <c r="B3895" t="inlineStr">
        <is>
          <t>隔日到貨🔥 iPhone手機殼 15 14 13 12 11 XS XR SE X 15pro 保護殼 軟殼 蘋果</t>
        </is>
      </c>
      <c r="C3895">
        <f>IMAGE("https://cf.shopee.tw/file/b64df34cb6ffcf867f4a93b77e2534a2_tn")</f>
        <v/>
      </c>
      <c r="D3895" t="inlineStr">
        <is>
          <t>11</t>
        </is>
      </c>
      <c r="E3895" t="inlineStr">
        <is>
          <t>121779904206</t>
        </is>
      </c>
      <c r="F3895">
        <f>IMAGE("https://deo.shopeemobile.com/shopee/shopee-seller-live-sg/mmf_portal_seller_root_dir/static/modules/product-list/image/default-item-model-image.2601159.png")</f>
        <v/>
      </c>
    </row>
    <row r="3896">
      <c r="A3896" t="inlineStr">
        <is>
          <t>13639404707</t>
        </is>
      </c>
      <c r="B3896" t="inlineStr">
        <is>
          <t>隔日到貨🔥 iPhone手機殼 15 14 13 12 11 XS XR SE X 15pro 保護殼 軟殼 蘋果</t>
        </is>
      </c>
      <c r="C3896">
        <f>IMAGE("https://cf.shopee.tw/file/b64df34cb6ffcf867f4a93b77e2534a2_tn")</f>
        <v/>
      </c>
      <c r="D3896" t="inlineStr">
        <is>
          <t>12</t>
        </is>
      </c>
      <c r="E3896" t="inlineStr"/>
      <c r="F3896">
        <f>IMAGE("https://deo.shopeemobile.com/shopee/shopee-seller-live-sg/mmf_portal_seller_root_dir/static/modules/product-list/image/default-item-model-image.2601159.png")</f>
        <v/>
      </c>
    </row>
    <row r="3897">
      <c r="A3897" t="inlineStr">
        <is>
          <t>13639404707</t>
        </is>
      </c>
      <c r="B3897" t="inlineStr">
        <is>
          <t>隔日到貨🔥 iPhone手機殼 15 14 13 12 11 XS XR SE X 15pro 保護殼 軟殼 蘋果</t>
        </is>
      </c>
      <c r="C3897">
        <f>IMAGE("https://cf.shopee.tw/file/b64df34cb6ffcf867f4a93b77e2534a2_tn")</f>
        <v/>
      </c>
      <c r="D3897" t="inlineStr">
        <is>
          <t>12 pro</t>
        </is>
      </c>
      <c r="E3897" t="inlineStr">
        <is>
          <t>121779904207</t>
        </is>
      </c>
      <c r="F3897">
        <f>IMAGE("https://deo.shopeemobile.com/shopee/shopee-seller-live-sg/mmf_portal_seller_root_dir/static/modules/product-list/image/default-item-model-image.2601159.png")</f>
        <v/>
      </c>
    </row>
    <row r="3898">
      <c r="A3898" t="inlineStr">
        <is>
          <t>13639404707</t>
        </is>
      </c>
      <c r="B3898" t="inlineStr">
        <is>
          <t>隔日到貨🔥 iPhone手機殼 15 14 13 12 11 XS XR SE X 15pro 保護殼 軟殼 蘋果</t>
        </is>
      </c>
      <c r="C3898">
        <f>IMAGE("https://cf.shopee.tw/file/b64df34cb6ffcf867f4a93b77e2534a2_tn")</f>
        <v/>
      </c>
      <c r="D3898" t="inlineStr">
        <is>
          <t>12 pro Max</t>
        </is>
      </c>
      <c r="E3898" t="inlineStr">
        <is>
          <t>121779904208</t>
        </is>
      </c>
      <c r="F3898">
        <f>IMAGE("https://deo.shopeemobile.com/shopee/shopee-seller-live-sg/mmf_portal_seller_root_dir/static/modules/product-list/image/default-item-model-image.2601159.png")</f>
        <v/>
      </c>
    </row>
    <row r="3899">
      <c r="A3899" t="inlineStr">
        <is>
          <t>13639404707</t>
        </is>
      </c>
      <c r="B3899" t="inlineStr">
        <is>
          <t>隔日到貨🔥 iPhone手機殼 15 14 13 12 11 XS XR SE X 15pro 保護殼 軟殼 蘋果</t>
        </is>
      </c>
      <c r="C3899">
        <f>IMAGE("https://cf.shopee.tw/file/b64df34cb6ffcf867f4a93b77e2534a2_tn")</f>
        <v/>
      </c>
      <c r="D3899" t="inlineStr">
        <is>
          <t>13</t>
        </is>
      </c>
      <c r="E3899" t="inlineStr">
        <is>
          <t>121779904209</t>
        </is>
      </c>
      <c r="F3899">
        <f>IMAGE("https://deo.shopeemobile.com/shopee/shopee-seller-live-sg/mmf_portal_seller_root_dir/static/modules/product-list/image/default-item-model-image.2601159.png")</f>
        <v/>
      </c>
    </row>
    <row r="3900">
      <c r="A3900" t="inlineStr">
        <is>
          <t>13639404707</t>
        </is>
      </c>
      <c r="B3900" t="inlineStr">
        <is>
          <t>隔日到貨🔥 iPhone手機殼 15 14 13 12 11 XS XR SE X 15pro 保護殼 軟殼 蘋果</t>
        </is>
      </c>
      <c r="C3900">
        <f>IMAGE("https://cf.shopee.tw/file/b64df34cb6ffcf867f4a93b77e2534a2_tn")</f>
        <v/>
      </c>
      <c r="D3900" t="inlineStr">
        <is>
          <t>13 pro</t>
        </is>
      </c>
      <c r="E3900" t="inlineStr">
        <is>
          <t>121779904215</t>
        </is>
      </c>
      <c r="F3900">
        <f>IMAGE("https://deo.shopeemobile.com/shopee/shopee-seller-live-sg/mmf_portal_seller_root_dir/static/modules/product-list/image/default-item-model-image.2601159.png")</f>
        <v/>
      </c>
    </row>
    <row r="3901">
      <c r="A3901" t="inlineStr">
        <is>
          <t>13639404707</t>
        </is>
      </c>
      <c r="B3901" t="inlineStr">
        <is>
          <t>隔日到貨🔥 iPhone手機殼 15 14 13 12 11 XS XR SE X 15pro 保護殼 軟殼 蘋果</t>
        </is>
      </c>
      <c r="C3901">
        <f>IMAGE("https://cf.shopee.tw/file/b64df34cb6ffcf867f4a93b77e2534a2_tn")</f>
        <v/>
      </c>
      <c r="D3901" t="inlineStr">
        <is>
          <t>13 pro Max</t>
        </is>
      </c>
      <c r="E3901" t="inlineStr">
        <is>
          <t>121779904210</t>
        </is>
      </c>
      <c r="F3901">
        <f>IMAGE("https://deo.shopeemobile.com/shopee/shopee-seller-live-sg/mmf_portal_seller_root_dir/static/modules/product-list/image/default-item-model-image.2601159.png")</f>
        <v/>
      </c>
    </row>
    <row r="3902">
      <c r="A3902" t="inlineStr">
        <is>
          <t>13639404707</t>
        </is>
      </c>
      <c r="B3902" t="inlineStr">
        <is>
          <t>隔日到貨🔥 iPhone手機殼 15 14 13 12 11 XS XR SE X 15pro 保護殼 軟殼 蘋果</t>
        </is>
      </c>
      <c r="C3902">
        <f>IMAGE("https://cf.shopee.tw/file/b64df34cb6ffcf867f4a93b77e2534a2_tn")</f>
        <v/>
      </c>
      <c r="D3902" t="inlineStr">
        <is>
          <t>14</t>
        </is>
      </c>
      <c r="E3902" t="inlineStr"/>
      <c r="F3902">
        <f>IMAGE("https://deo.shopeemobile.com/shopee/shopee-seller-live-sg/mmf_portal_seller_root_dir/static/modules/product-list/image/default-item-model-image.2601159.png")</f>
        <v/>
      </c>
    </row>
    <row r="3903">
      <c r="A3903" t="inlineStr">
        <is>
          <t>13639404707</t>
        </is>
      </c>
      <c r="B3903" t="inlineStr">
        <is>
          <t>隔日到貨🔥 iPhone手機殼 15 14 13 12 11 XS XR SE X 15pro 保護殼 軟殼 蘋果</t>
        </is>
      </c>
      <c r="C3903">
        <f>IMAGE("https://cf.shopee.tw/file/b64df34cb6ffcf867f4a93b77e2534a2_tn")</f>
        <v/>
      </c>
      <c r="D3903" t="inlineStr">
        <is>
          <t>14 Plus</t>
        </is>
      </c>
      <c r="E3903" t="inlineStr"/>
      <c r="F3903">
        <f>IMAGE("https://deo.shopeemobile.com/shopee/shopee-seller-live-sg/mmf_portal_seller_root_dir/static/modules/product-list/image/default-item-model-image.2601159.png")</f>
        <v/>
      </c>
    </row>
    <row r="3904">
      <c r="A3904" t="inlineStr">
        <is>
          <t>13639404707</t>
        </is>
      </c>
      <c r="B3904" t="inlineStr">
        <is>
          <t>隔日到貨🔥 iPhone手機殼 15 14 13 12 11 XS XR SE X 15pro 保護殼 軟殼 蘋果</t>
        </is>
      </c>
      <c r="C3904">
        <f>IMAGE("https://cf.shopee.tw/file/b64df34cb6ffcf867f4a93b77e2534a2_tn")</f>
        <v/>
      </c>
      <c r="D3904" t="inlineStr">
        <is>
          <t>14 pro</t>
        </is>
      </c>
      <c r="E3904" t="inlineStr">
        <is>
          <t>145797739915</t>
        </is>
      </c>
      <c r="F3904">
        <f>IMAGE("https://deo.shopeemobile.com/shopee/shopee-seller-live-sg/mmf_portal_seller_root_dir/static/modules/product-list/image/default-item-model-image.2601159.png")</f>
        <v/>
      </c>
    </row>
    <row r="3905">
      <c r="A3905" t="inlineStr">
        <is>
          <t>13639404707</t>
        </is>
      </c>
      <c r="B3905" t="inlineStr">
        <is>
          <t>隔日到貨🔥 iPhone手機殼 15 14 13 12 11 XS XR SE X 15pro 保護殼 軟殼 蘋果</t>
        </is>
      </c>
      <c r="C3905">
        <f>IMAGE("https://cf.shopee.tw/file/b64df34cb6ffcf867f4a93b77e2534a2_tn")</f>
        <v/>
      </c>
      <c r="D3905" t="inlineStr">
        <is>
          <t>14 pro Max</t>
        </is>
      </c>
      <c r="E3905" t="inlineStr"/>
      <c r="F3905">
        <f>IMAGE("https://deo.shopeemobile.com/shopee/shopee-seller-live-sg/mmf_portal_seller_root_dir/static/modules/product-list/image/default-item-model-image.2601159.png")</f>
        <v/>
      </c>
    </row>
    <row r="3906">
      <c r="A3906" t="inlineStr">
        <is>
          <t>13639404707</t>
        </is>
      </c>
      <c r="B3906" t="inlineStr">
        <is>
          <t>隔日到貨🔥 iPhone手機殼 15 14 13 12 11 XS XR SE X 15pro 保護殼 軟殼 蘋果</t>
        </is>
      </c>
      <c r="C3906">
        <f>IMAGE("https://cf.shopee.tw/file/b64df34cb6ffcf867f4a93b77e2534a2_tn")</f>
        <v/>
      </c>
      <c r="D3906" t="inlineStr">
        <is>
          <t>15</t>
        </is>
      </c>
      <c r="E3906" t="inlineStr"/>
      <c r="F3906">
        <f>IMAGE("https://deo.shopeemobile.com/shopee/shopee-seller-live-sg/mmf_portal_seller_root_dir/static/modules/product-list/image/default-item-model-image.2601159.png")</f>
        <v/>
      </c>
    </row>
    <row r="3907">
      <c r="A3907" t="inlineStr">
        <is>
          <t>13639404707</t>
        </is>
      </c>
      <c r="B3907" t="inlineStr">
        <is>
          <t>隔日到貨🔥 iPhone手機殼 15 14 13 12 11 XS XR SE X 15pro 保護殼 軟殼 蘋果</t>
        </is>
      </c>
      <c r="C3907">
        <f>IMAGE("https://cf.shopee.tw/file/b64df34cb6ffcf867f4a93b77e2534a2_tn")</f>
        <v/>
      </c>
      <c r="D3907" t="inlineStr">
        <is>
          <t>15 Plus</t>
        </is>
      </c>
      <c r="E3907" t="inlineStr">
        <is>
          <t>158367292031</t>
        </is>
      </c>
      <c r="F3907">
        <f>IMAGE("https://deo.shopeemobile.com/shopee/shopee-seller-live-sg/mmf_portal_seller_root_dir/static/modules/product-list/image/default-item-model-image.2601159.png")</f>
        <v/>
      </c>
    </row>
    <row r="3908">
      <c r="A3908" t="inlineStr">
        <is>
          <t>13639404707</t>
        </is>
      </c>
      <c r="B3908" t="inlineStr">
        <is>
          <t>隔日到貨🔥 iPhone手機殼 15 14 13 12 11 XS XR SE X 15pro 保護殼 軟殼 蘋果</t>
        </is>
      </c>
      <c r="C3908">
        <f>IMAGE("https://cf.shopee.tw/file/b64df34cb6ffcf867f4a93b77e2534a2_tn")</f>
        <v/>
      </c>
      <c r="D3908" t="inlineStr">
        <is>
          <t>15 pro</t>
        </is>
      </c>
      <c r="E3908" t="inlineStr"/>
      <c r="F3908">
        <f>IMAGE("https://deo.shopeemobile.com/shopee/shopee-seller-live-sg/mmf_portal_seller_root_dir/static/modules/product-list/image/default-item-model-image.2601159.png")</f>
        <v/>
      </c>
    </row>
    <row r="3909">
      <c r="A3909" t="inlineStr">
        <is>
          <t>13639404707</t>
        </is>
      </c>
      <c r="B3909" t="inlineStr">
        <is>
          <t>隔日到貨🔥 iPhone手機殼 15 14 13 12 11 XS XR SE X 15pro 保護殼 軟殼 蘋果</t>
        </is>
      </c>
      <c r="C3909">
        <f>IMAGE("https://cf.shopee.tw/file/b64df34cb6ffcf867f4a93b77e2534a2_tn")</f>
        <v/>
      </c>
      <c r="D3909" t="inlineStr">
        <is>
          <t>15 pro Max</t>
        </is>
      </c>
      <c r="E3909" t="inlineStr"/>
      <c r="F3909">
        <f>IMAGE("https://deo.shopeemobile.com/shopee/shopee-seller-live-sg/mmf_portal_seller_root_dir/static/modules/product-list/image/default-item-model-image.2601159.png")</f>
        <v/>
      </c>
    </row>
    <row r="3910">
      <c r="A3910" t="inlineStr">
        <is>
          <t>21084975370</t>
        </is>
      </c>
      <c r="B3910" t="inlineStr">
        <is>
          <t>隔日到貨🔥 浴廁必備 可愛造型攜帶式牙刷收納盒 可愛旅行漱口杯 牙刷架 牙刷杯 漱口杯 收納杯 浴室擺件 牙刷置物</t>
        </is>
      </c>
      <c r="C3910">
        <f>IMAGE("https://cf.shopee.tw/file/tw-11134207-7r990-lmlfa2xzwmu15c_tn")</f>
        <v/>
      </c>
      <c r="D3910" t="inlineStr">
        <is>
          <t>黃色,500 ml</t>
        </is>
      </c>
      <c r="E3910" t="inlineStr">
        <is>
          <t>166136419172</t>
        </is>
      </c>
      <c r="F3910">
        <f>IMAGE("https://cf.shopee.tw/file/tw-11134207-7r991-lmlevj5hmq3db9_tn")</f>
        <v/>
      </c>
    </row>
    <row r="3911">
      <c r="A3911" t="inlineStr">
        <is>
          <t>21084975370</t>
        </is>
      </c>
      <c r="B3911" t="inlineStr">
        <is>
          <t>隔日到貨🔥 浴廁必備 可愛造型攜帶式牙刷收納盒 可愛旅行漱口杯 牙刷架 牙刷杯 漱口杯 收納杯 浴室擺件 牙刷置物</t>
        </is>
      </c>
      <c r="C3911">
        <f>IMAGE("https://cf.shopee.tw/file/tw-11134207-7r990-lmlfa2xzwmu15c_tn")</f>
        <v/>
      </c>
      <c r="D3911" t="inlineStr">
        <is>
          <t>綠色,500 ml</t>
        </is>
      </c>
      <c r="E3911" t="inlineStr">
        <is>
          <t>166136419173</t>
        </is>
      </c>
      <c r="F3911">
        <f>IMAGE("https://cf.shopee.tw/file/tw-11134207-7r98w-lmlevj5hlbix09_tn")</f>
        <v/>
      </c>
    </row>
    <row r="3912">
      <c r="A3912" t="inlineStr">
        <is>
          <t>18301138599</t>
        </is>
      </c>
      <c r="B3912" t="inlineStr">
        <is>
          <t>隔日到貨🔥 iPhone 手機殼 14 13 12 11 pro Max XS XR SE 8plus 保護殼 軟殼</t>
        </is>
      </c>
      <c r="C3912">
        <f>IMAGE("https://cf.shopee.tw/file/3cc006289e2eda31df45178ec0c8b873_tn")</f>
        <v/>
      </c>
      <c r="D3912" t="inlineStr">
        <is>
          <t>漸變行星,XS Max</t>
        </is>
      </c>
      <c r="E3912" t="inlineStr"/>
      <c r="F3912">
        <f>IMAGE("https://cf.shopee.tw/file/3cc006289e2eda31df45178ec0c8b873_tn")</f>
        <v/>
      </c>
    </row>
    <row r="3913">
      <c r="A3913" t="inlineStr">
        <is>
          <t>18301138599</t>
        </is>
      </c>
      <c r="B3913" t="inlineStr">
        <is>
          <t>隔日到貨🔥 iPhone 手機殼 14 13 12 11 pro Max XS XR SE 8plus 保護殼 軟殼</t>
        </is>
      </c>
      <c r="C3913">
        <f>IMAGE("https://cf.shopee.tw/file/3cc006289e2eda31df45178ec0c8b873_tn")</f>
        <v/>
      </c>
      <c r="D3913" t="inlineStr">
        <is>
          <t>漸變行星,7 / 8 / SE2 / SE3</t>
        </is>
      </c>
      <c r="E3913" t="inlineStr"/>
      <c r="F3913">
        <f>IMAGE("https://cf.shopee.tw/file/3cc006289e2eda31df45178ec0c8b873_tn")</f>
        <v/>
      </c>
    </row>
    <row r="3914">
      <c r="A3914" t="inlineStr">
        <is>
          <t>18301138599</t>
        </is>
      </c>
      <c r="B3914" t="inlineStr">
        <is>
          <t>隔日到貨🔥 iPhone 手機殼 14 13 12 11 pro Max XS XR SE 8plus 保護殼 軟殼</t>
        </is>
      </c>
      <c r="C3914">
        <f>IMAGE("https://cf.shopee.tw/file/3cc006289e2eda31df45178ec0c8b873_tn")</f>
        <v/>
      </c>
      <c r="D3914" t="inlineStr">
        <is>
          <t>漸變行星,7Plus / 8Plus</t>
        </is>
      </c>
      <c r="E3914" t="inlineStr"/>
      <c r="F3914">
        <f>IMAGE("https://cf.shopee.tw/file/3cc006289e2eda31df45178ec0c8b873_tn")</f>
        <v/>
      </c>
    </row>
    <row r="3915">
      <c r="A3915" t="inlineStr">
        <is>
          <t>18301138599</t>
        </is>
      </c>
      <c r="B3915" t="inlineStr">
        <is>
          <t>隔日到貨🔥 iPhone 手機殼 14 13 12 11 pro Max XS XR SE 8plus 保護殼 軟殼</t>
        </is>
      </c>
      <c r="C3915">
        <f>IMAGE("https://cf.shopee.tw/file/3cc006289e2eda31df45178ec0c8b873_tn")</f>
        <v/>
      </c>
      <c r="D3915" t="inlineStr">
        <is>
          <t>漸變行星,X / XS</t>
        </is>
      </c>
      <c r="E3915" t="inlineStr"/>
      <c r="F3915">
        <f>IMAGE("https://cf.shopee.tw/file/3cc006289e2eda31df45178ec0c8b873_tn")</f>
        <v/>
      </c>
    </row>
    <row r="3916">
      <c r="A3916" t="inlineStr">
        <is>
          <t>18301138599</t>
        </is>
      </c>
      <c r="B3916" t="inlineStr">
        <is>
          <t>隔日到貨🔥 iPhone 手機殼 14 13 12 11 pro Max XS XR SE 8plus 保護殼 軟殼</t>
        </is>
      </c>
      <c r="C3916">
        <f>IMAGE("https://cf.shopee.tw/file/3cc006289e2eda31df45178ec0c8b873_tn")</f>
        <v/>
      </c>
      <c r="D3916" t="inlineStr">
        <is>
          <t>漸變行星,XR</t>
        </is>
      </c>
      <c r="E3916" t="inlineStr"/>
      <c r="F3916">
        <f>IMAGE("https://cf.shopee.tw/file/3cc006289e2eda31df45178ec0c8b873_tn")</f>
        <v/>
      </c>
    </row>
    <row r="3917">
      <c r="A3917" t="inlineStr">
        <is>
          <t>18301138599</t>
        </is>
      </c>
      <c r="B3917" t="inlineStr">
        <is>
          <t>隔日到貨🔥 iPhone 手機殼 14 13 12 11 pro Max XS XR SE 8plus 保護殼 軟殼</t>
        </is>
      </c>
      <c r="C3917">
        <f>IMAGE("https://cf.shopee.tw/file/3cc006289e2eda31df45178ec0c8b873_tn")</f>
        <v/>
      </c>
      <c r="D3917" t="inlineStr">
        <is>
          <t>漸變行星,11</t>
        </is>
      </c>
      <c r="E3917" t="inlineStr"/>
      <c r="F3917">
        <f>IMAGE("https://cf.shopee.tw/file/3cc006289e2eda31df45178ec0c8b873_tn")</f>
        <v/>
      </c>
    </row>
    <row r="3918">
      <c r="A3918" t="inlineStr">
        <is>
          <t>18301138599</t>
        </is>
      </c>
      <c r="B3918" t="inlineStr">
        <is>
          <t>隔日到貨🔥 iPhone 手機殼 14 13 12 11 pro Max XS XR SE 8plus 保護殼 軟殼</t>
        </is>
      </c>
      <c r="C3918">
        <f>IMAGE("https://cf.shopee.tw/file/3cc006289e2eda31df45178ec0c8b873_tn")</f>
        <v/>
      </c>
      <c r="D3918" t="inlineStr">
        <is>
          <t>漸變行星,11 pro</t>
        </is>
      </c>
      <c r="E3918" t="inlineStr">
        <is>
          <t>125620599517</t>
        </is>
      </c>
      <c r="F3918">
        <f>IMAGE("https://cf.shopee.tw/file/3cc006289e2eda31df45178ec0c8b873_tn")</f>
        <v/>
      </c>
    </row>
    <row r="3919">
      <c r="A3919" t="inlineStr">
        <is>
          <t>18301138599</t>
        </is>
      </c>
      <c r="B3919" t="inlineStr">
        <is>
          <t>隔日到貨🔥 iPhone 手機殼 14 13 12 11 pro Max XS XR SE 8plus 保護殼 軟殼</t>
        </is>
      </c>
      <c r="C3919">
        <f>IMAGE("https://cf.shopee.tw/file/3cc006289e2eda31df45178ec0c8b873_tn")</f>
        <v/>
      </c>
      <c r="D3919" t="inlineStr">
        <is>
          <t>漸變行星,11 pro Max</t>
        </is>
      </c>
      <c r="E3919" t="inlineStr"/>
      <c r="F3919">
        <f>IMAGE("https://cf.shopee.tw/file/3cc006289e2eda31df45178ec0c8b873_tn")</f>
        <v/>
      </c>
    </row>
    <row r="3920">
      <c r="A3920" t="inlineStr">
        <is>
          <t>18301138599</t>
        </is>
      </c>
      <c r="B3920" t="inlineStr">
        <is>
          <t>隔日到貨🔥 iPhone 手機殼 14 13 12 11 pro Max XS XR SE 8plus 保護殼 軟殼</t>
        </is>
      </c>
      <c r="C3920">
        <f>IMAGE("https://cf.shopee.tw/file/3cc006289e2eda31df45178ec0c8b873_tn")</f>
        <v/>
      </c>
      <c r="D3920" t="inlineStr">
        <is>
          <t>漸變行星,12</t>
        </is>
      </c>
      <c r="E3920" t="inlineStr"/>
      <c r="F3920">
        <f>IMAGE("https://cf.shopee.tw/file/3cc006289e2eda31df45178ec0c8b873_tn")</f>
        <v/>
      </c>
    </row>
    <row r="3921">
      <c r="A3921" t="inlineStr">
        <is>
          <t>18301138599</t>
        </is>
      </c>
      <c r="B3921" t="inlineStr">
        <is>
          <t>隔日到貨🔥 iPhone 手機殼 14 13 12 11 pro Max XS XR SE 8plus 保護殼 軟殼</t>
        </is>
      </c>
      <c r="C3921">
        <f>IMAGE("https://cf.shopee.tw/file/3cc006289e2eda31df45178ec0c8b873_tn")</f>
        <v/>
      </c>
      <c r="D3921" t="inlineStr">
        <is>
          <t>漸變行星,12 pro</t>
        </is>
      </c>
      <c r="E3921" t="inlineStr"/>
      <c r="F3921">
        <f>IMAGE("https://cf.shopee.tw/file/3cc006289e2eda31df45178ec0c8b873_tn")</f>
        <v/>
      </c>
    </row>
    <row r="3922">
      <c r="A3922" t="inlineStr">
        <is>
          <t>18301138599</t>
        </is>
      </c>
      <c r="B3922" t="inlineStr">
        <is>
          <t>隔日到貨🔥 iPhone 手機殼 14 13 12 11 pro Max XS XR SE 8plus 保護殼 軟殼</t>
        </is>
      </c>
      <c r="C3922">
        <f>IMAGE("https://cf.shopee.tw/file/3cc006289e2eda31df45178ec0c8b873_tn")</f>
        <v/>
      </c>
      <c r="D3922" t="inlineStr">
        <is>
          <t>漸變行星,12 pro Max</t>
        </is>
      </c>
      <c r="E3922" t="inlineStr">
        <is>
          <t>125620599510</t>
        </is>
      </c>
      <c r="F3922">
        <f>IMAGE("https://cf.shopee.tw/file/3cc006289e2eda31df45178ec0c8b873_tn")</f>
        <v/>
      </c>
    </row>
    <row r="3923">
      <c r="A3923" t="inlineStr">
        <is>
          <t>18301138599</t>
        </is>
      </c>
      <c r="B3923" t="inlineStr">
        <is>
          <t>隔日到貨🔥 iPhone 手機殼 14 13 12 11 pro Max XS XR SE 8plus 保護殼 軟殼</t>
        </is>
      </c>
      <c r="C3923">
        <f>IMAGE("https://cf.shopee.tw/file/3cc006289e2eda31df45178ec0c8b873_tn")</f>
        <v/>
      </c>
      <c r="D3923" t="inlineStr">
        <is>
          <t>漸變行星,13</t>
        </is>
      </c>
      <c r="E3923" t="inlineStr"/>
      <c r="F3923">
        <f>IMAGE("https://cf.shopee.tw/file/3cc006289e2eda31df45178ec0c8b873_tn")</f>
        <v/>
      </c>
    </row>
    <row r="3924">
      <c r="A3924" t="inlineStr">
        <is>
          <t>18301138599</t>
        </is>
      </c>
      <c r="B3924" t="inlineStr">
        <is>
          <t>隔日到貨🔥 iPhone 手機殼 14 13 12 11 pro Max XS XR SE 8plus 保護殼 軟殼</t>
        </is>
      </c>
      <c r="C3924">
        <f>IMAGE("https://cf.shopee.tw/file/3cc006289e2eda31df45178ec0c8b873_tn")</f>
        <v/>
      </c>
      <c r="D3924" t="inlineStr">
        <is>
          <t>漸變行星,13 pro</t>
        </is>
      </c>
      <c r="E3924" t="inlineStr"/>
      <c r="F3924">
        <f>IMAGE("https://cf.shopee.tw/file/3cc006289e2eda31df45178ec0c8b873_tn")</f>
        <v/>
      </c>
    </row>
    <row r="3925">
      <c r="A3925" t="inlineStr">
        <is>
          <t>18301138599</t>
        </is>
      </c>
      <c r="B3925" t="inlineStr">
        <is>
          <t>隔日到貨🔥 iPhone 手機殼 14 13 12 11 pro Max XS XR SE 8plus 保護殼 軟殼</t>
        </is>
      </c>
      <c r="C3925">
        <f>IMAGE("https://cf.shopee.tw/file/3cc006289e2eda31df45178ec0c8b873_tn")</f>
        <v/>
      </c>
      <c r="D3925" t="inlineStr">
        <is>
          <t>漸變行星,13 mini</t>
        </is>
      </c>
      <c r="E3925" t="inlineStr"/>
      <c r="F3925">
        <f>IMAGE("https://cf.shopee.tw/file/3cc006289e2eda31df45178ec0c8b873_tn")</f>
        <v/>
      </c>
    </row>
    <row r="3926">
      <c r="A3926" t="inlineStr">
        <is>
          <t>18301138599</t>
        </is>
      </c>
      <c r="B3926" t="inlineStr">
        <is>
          <t>隔日到貨🔥 iPhone 手機殼 14 13 12 11 pro Max XS XR SE 8plus 保護殼 軟殼</t>
        </is>
      </c>
      <c r="C3926">
        <f>IMAGE("https://cf.shopee.tw/file/3cc006289e2eda31df45178ec0c8b873_tn")</f>
        <v/>
      </c>
      <c r="D3926" t="inlineStr">
        <is>
          <t>漸變行星,13 pro Max</t>
        </is>
      </c>
      <c r="E3926" t="inlineStr"/>
      <c r="F3926">
        <f>IMAGE("https://cf.shopee.tw/file/3cc006289e2eda31df45178ec0c8b873_tn")</f>
        <v/>
      </c>
    </row>
    <row r="3927">
      <c r="A3927" t="inlineStr">
        <is>
          <t>18301138599</t>
        </is>
      </c>
      <c r="B3927" t="inlineStr">
        <is>
          <t>隔日到貨🔥 iPhone 手機殼 14 13 12 11 pro Max XS XR SE 8plus 保護殼 軟殼</t>
        </is>
      </c>
      <c r="C3927">
        <f>IMAGE("https://cf.shopee.tw/file/3cc006289e2eda31df45178ec0c8b873_tn")</f>
        <v/>
      </c>
      <c r="D3927" t="inlineStr">
        <is>
          <t>漸變行星,14</t>
        </is>
      </c>
      <c r="E3927" t="inlineStr">
        <is>
          <t>155797384927</t>
        </is>
      </c>
      <c r="F3927">
        <f>IMAGE("https://cf.shopee.tw/file/3cc006289e2eda31df45178ec0c8b873_tn")</f>
        <v/>
      </c>
    </row>
    <row r="3928">
      <c r="A3928" t="inlineStr">
        <is>
          <t>18301138599</t>
        </is>
      </c>
      <c r="B3928" t="inlineStr">
        <is>
          <t>隔日到貨🔥 iPhone 手機殼 14 13 12 11 pro Max XS XR SE 8plus 保護殼 軟殼</t>
        </is>
      </c>
      <c r="C3928">
        <f>IMAGE("https://cf.shopee.tw/file/3cc006289e2eda31df45178ec0c8b873_tn")</f>
        <v/>
      </c>
      <c r="D3928" t="inlineStr">
        <is>
          <t>漸變行星,14 Plus</t>
        </is>
      </c>
      <c r="E3928" t="inlineStr"/>
      <c r="F3928">
        <f>IMAGE("https://cf.shopee.tw/file/3cc006289e2eda31df45178ec0c8b873_tn")</f>
        <v/>
      </c>
    </row>
    <row r="3929">
      <c r="A3929" t="inlineStr">
        <is>
          <t>18301138599</t>
        </is>
      </c>
      <c r="B3929" t="inlineStr">
        <is>
          <t>隔日到貨🔥 iPhone 手機殼 14 13 12 11 pro Max XS XR SE 8plus 保護殼 軟殼</t>
        </is>
      </c>
      <c r="C3929">
        <f>IMAGE("https://cf.shopee.tw/file/3cc006289e2eda31df45178ec0c8b873_tn")</f>
        <v/>
      </c>
      <c r="D3929" t="inlineStr">
        <is>
          <t>漸變行星,14 pro</t>
        </is>
      </c>
      <c r="E3929" t="inlineStr">
        <is>
          <t>155797384930</t>
        </is>
      </c>
      <c r="F3929">
        <f>IMAGE("https://cf.shopee.tw/file/3cc006289e2eda31df45178ec0c8b873_tn")</f>
        <v/>
      </c>
    </row>
    <row r="3930">
      <c r="A3930" t="inlineStr">
        <is>
          <t>18301138599</t>
        </is>
      </c>
      <c r="B3930" t="inlineStr">
        <is>
          <t>隔日到貨🔥 iPhone 手機殼 14 13 12 11 pro Max XS XR SE 8plus 保護殼 軟殼</t>
        </is>
      </c>
      <c r="C3930">
        <f>IMAGE("https://cf.shopee.tw/file/3cc006289e2eda31df45178ec0c8b873_tn")</f>
        <v/>
      </c>
      <c r="D3930" t="inlineStr">
        <is>
          <t>漸變行星,14 pro Max</t>
        </is>
      </c>
      <c r="E3930" t="inlineStr">
        <is>
          <t>155797384928</t>
        </is>
      </c>
      <c r="F3930">
        <f>IMAGE("https://cf.shopee.tw/file/3cc006289e2eda31df45178ec0c8b873_tn")</f>
        <v/>
      </c>
    </row>
    <row r="3931">
      <c r="A3931" t="inlineStr">
        <is>
          <t>22317276000</t>
        </is>
      </c>
      <c r="B3931" t="inlineStr">
        <is>
          <t>隔日到貨🔥 大容量 日系簡約尼龍包 B34 網美風 單肩包 肩背包 韓版 復古 斜背包 熱銷 側背包 肩背包 帆布包</t>
        </is>
      </c>
      <c r="C3931">
        <f>IMAGE("https://cf.shopee.tw/file/tw-11134207-23030-ybxivdyz19nv33_tn")</f>
        <v/>
      </c>
      <c r="D3931" t="inlineStr">
        <is>
          <t>黑色,不含吊飾</t>
        </is>
      </c>
      <c r="E3931" t="inlineStr">
        <is>
          <t>230720267827</t>
        </is>
      </c>
      <c r="F3931">
        <f>IMAGE("https://cf.shopee.tw/file/sg-11134201-23010-kojjlrkel3lve0_tn")</f>
        <v/>
      </c>
    </row>
    <row r="3932">
      <c r="A3932" t="inlineStr">
        <is>
          <t>22317276000</t>
        </is>
      </c>
      <c r="B3932" t="inlineStr">
        <is>
          <t>隔日到貨🔥 大容量 日系簡約尼龍包 B34 網美風 單肩包 肩背包 韓版 復古 斜背包 熱銷 側背包 肩背包 帆布包</t>
        </is>
      </c>
      <c r="C3932">
        <f>IMAGE("https://cf.shopee.tw/file/tw-11134207-23030-ybxivdyz19nv33_tn")</f>
        <v/>
      </c>
      <c r="D3932" t="inlineStr">
        <is>
          <t>白色,不含吊飾</t>
        </is>
      </c>
      <c r="E3932" t="inlineStr">
        <is>
          <t>230720267823</t>
        </is>
      </c>
      <c r="F3932">
        <f>IMAGE("https://cf.shopee.tw/file/sg-11134201-23010-sp7mpsoel3lv87_tn")</f>
        <v/>
      </c>
    </row>
    <row r="3933">
      <c r="A3933" t="inlineStr">
        <is>
          <t>22317276000</t>
        </is>
      </c>
      <c r="B3933" t="inlineStr">
        <is>
          <t>隔日到貨🔥 大容量 日系簡約尼龍包 B34 網美風 單肩包 肩背包 韓版 復古 斜背包 熱銷 側背包 肩背包 帆布包</t>
        </is>
      </c>
      <c r="C3933">
        <f>IMAGE("https://cf.shopee.tw/file/tw-11134207-23030-ybxivdyz19nv33_tn")</f>
        <v/>
      </c>
      <c r="D3933" t="inlineStr">
        <is>
          <t>綠色,不含吊飾</t>
        </is>
      </c>
      <c r="E3933" t="inlineStr"/>
      <c r="F3933">
        <f>IMAGE("https://cf.shopee.tw/file/sg-11134201-23010-948gsbsel3lv0e_tn")</f>
        <v/>
      </c>
    </row>
    <row r="3934">
      <c r="A3934" t="inlineStr">
        <is>
          <t>22317276000</t>
        </is>
      </c>
      <c r="B3934" t="inlineStr">
        <is>
          <t>隔日到貨🔥 大容量 日系簡約尼龍包 B34 網美風 單肩包 肩背包 韓版 復古 斜背包 熱銷 側背包 肩背包 帆布包</t>
        </is>
      </c>
      <c r="C3934">
        <f>IMAGE("https://cf.shopee.tw/file/tw-11134207-23030-ybxivdyz19nv33_tn")</f>
        <v/>
      </c>
      <c r="D3934" t="inlineStr">
        <is>
          <t>粉色,不含吊飾</t>
        </is>
      </c>
      <c r="E3934" t="inlineStr"/>
      <c r="F3934">
        <f>IMAGE("https://cf.shopee.tw/file/sg-11134201-23010-szondg3el3lv6e_tn")</f>
        <v/>
      </c>
    </row>
    <row r="3935">
      <c r="A3935" t="inlineStr">
        <is>
          <t>22317276000</t>
        </is>
      </c>
      <c r="B3935" t="inlineStr">
        <is>
          <t>隔日到貨🔥 大容量 日系簡約尼龍包 B34 網美風 單肩包 肩背包 韓版 復古 斜背包 熱銷 側背包 肩背包 帆布包</t>
        </is>
      </c>
      <c r="C3935">
        <f>IMAGE("https://cf.shopee.tw/file/tw-11134207-23030-ybxivdyz19nv33_tn")</f>
        <v/>
      </c>
      <c r="D3935" t="inlineStr">
        <is>
          <t>黃色,不含吊飾</t>
        </is>
      </c>
      <c r="E3935" t="inlineStr"/>
      <c r="F3935">
        <f>IMAGE("https://cf.shopee.tw/file/sg-11134201-23010-aa39yt7el3lv04_tn")</f>
        <v/>
      </c>
    </row>
    <row r="3936">
      <c r="A3936" t="inlineStr">
        <is>
          <t>17590525033</t>
        </is>
      </c>
      <c r="B3936" t="inlineStr">
        <is>
          <t>隔日到貨🔥 復古單肩包 B8 個性塗鴉印花LOGO 帆布包 單肩包 帆布袋 手提袋 單肩包 提袋 環保袋 購物袋</t>
        </is>
      </c>
      <c r="C3936">
        <f>IMAGE("https://cf.shopee.tw/file/sg-11134201-22120-ufem1tw9bnkv3f_tn")</f>
        <v/>
      </c>
      <c r="D3936" t="inlineStr">
        <is>
          <t>黑色笑臉</t>
        </is>
      </c>
      <c r="E3936" t="inlineStr"/>
      <c r="F3936">
        <f>IMAGE("https://cf.shopee.tw/file/sg-11134201-22120-bzi7w0vkcnkv18_tn")</f>
        <v/>
      </c>
    </row>
    <row r="3937">
      <c r="A3937" t="inlineStr">
        <is>
          <t>17590525033</t>
        </is>
      </c>
      <c r="B3937" t="inlineStr">
        <is>
          <t>隔日到貨🔥 復古單肩包 B8 個性塗鴉印花LOGO 帆布包 單肩包 帆布袋 手提袋 單肩包 提袋 環保袋 購物袋</t>
        </is>
      </c>
      <c r="C3937">
        <f>IMAGE("https://cf.shopee.tw/file/sg-11134201-22120-ufem1tw9bnkv3f_tn")</f>
        <v/>
      </c>
      <c r="D3937" t="inlineStr">
        <is>
          <t>白色笑臉</t>
        </is>
      </c>
      <c r="E3937" t="inlineStr"/>
      <c r="F3937">
        <f>IMAGE("https://cf.shopee.tw/file/sg-11134201-22120-bv8ed7kkcnkv5d_tn")</f>
        <v/>
      </c>
    </row>
    <row r="3938">
      <c r="A3938" t="inlineStr">
        <is>
          <t>17590525033</t>
        </is>
      </c>
      <c r="B3938" t="inlineStr">
        <is>
          <t>隔日到貨🔥 復古單肩包 B8 個性塗鴉印花LOGO 帆布包 單肩包 帆布袋 手提袋 單肩包 提袋 環保袋 購物袋</t>
        </is>
      </c>
      <c r="C3938">
        <f>IMAGE("https://cf.shopee.tw/file/sg-11134201-22120-ufem1tw9bnkv3f_tn")</f>
        <v/>
      </c>
      <c r="D3938" t="inlineStr">
        <is>
          <t>黑白炫雅花</t>
        </is>
      </c>
      <c r="E3938" t="inlineStr"/>
      <c r="F3938">
        <f>IMAGE("https://cf.shopee.tw/file/sg-11134201-22120-7cg4sahkcnkv7d_tn")</f>
        <v/>
      </c>
    </row>
    <row r="3939">
      <c r="A3939" t="inlineStr">
        <is>
          <t>17590525033</t>
        </is>
      </c>
      <c r="B3939" t="inlineStr">
        <is>
          <t>隔日到貨🔥 復古單肩包 B8 個性塗鴉印花LOGO 帆布包 單肩包 帆布袋 手提袋 單肩包 提袋 環保袋 購物袋</t>
        </is>
      </c>
      <c r="C3939">
        <f>IMAGE("https://cf.shopee.tw/file/sg-11134201-22120-ufem1tw9bnkv3f_tn")</f>
        <v/>
      </c>
      <c r="D3939" t="inlineStr">
        <is>
          <t>方塊餅乾</t>
        </is>
      </c>
      <c r="E3939" t="inlineStr"/>
      <c r="F3939">
        <f>IMAGE("https://cf.shopee.tw/file/sg-11134201-22120-s3qmsjnjcnkv7a_tn")</f>
        <v/>
      </c>
    </row>
    <row r="3940">
      <c r="A3940" t="inlineStr">
        <is>
          <t>17590525033</t>
        </is>
      </c>
      <c r="B3940" t="inlineStr">
        <is>
          <t>隔日到貨🔥 復古單肩包 B8 個性塗鴉印花LOGO 帆布包 單肩包 帆布袋 手提袋 單肩包 提袋 環保袋 購物袋</t>
        </is>
      </c>
      <c r="C3940">
        <f>IMAGE("https://cf.shopee.tw/file/sg-11134201-22120-ufem1tw9bnkv3f_tn")</f>
        <v/>
      </c>
      <c r="D3940" t="inlineStr">
        <is>
          <t>五彩斑斕</t>
        </is>
      </c>
      <c r="E3940" t="inlineStr"/>
      <c r="F3940">
        <f>IMAGE("https://cf.shopee.tw/file/sg-11134201-22120-zk3pvzfjcnkv5a_tn")</f>
        <v/>
      </c>
    </row>
    <row r="3941">
      <c r="A3941" t="inlineStr">
        <is>
          <t>17590525033</t>
        </is>
      </c>
      <c r="B3941" t="inlineStr">
        <is>
          <t>隔日到貨🔥 復古單肩包 B8 個性塗鴉印花LOGO 帆布包 單肩包 帆布袋 手提袋 單肩包 提袋 環保袋 購物袋</t>
        </is>
      </c>
      <c r="C3941">
        <f>IMAGE("https://cf.shopee.tw/file/sg-11134201-22120-ufem1tw9bnkv3f_tn")</f>
        <v/>
      </c>
      <c r="D3941" t="inlineStr">
        <is>
          <t>米色貓狗</t>
        </is>
      </c>
      <c r="E3941" t="inlineStr"/>
      <c r="F3941">
        <f>IMAGE("https://cf.shopee.tw/file/sg-11134201-22110-7ef7qj8jaekv4a_tn")</f>
        <v/>
      </c>
    </row>
    <row r="3942">
      <c r="A3942" t="inlineStr">
        <is>
          <t>17590525033</t>
        </is>
      </c>
      <c r="B3942" t="inlineStr">
        <is>
          <t>隔日到貨🔥 復古單肩包 B8 個性塗鴉印花LOGO 帆布包 單肩包 帆布袋 手提袋 單肩包 提袋 環保袋 購物袋</t>
        </is>
      </c>
      <c r="C3942">
        <f>IMAGE("https://cf.shopee.tw/file/sg-11134201-22120-ufem1tw9bnkv3f_tn")</f>
        <v/>
      </c>
      <c r="D3942" t="inlineStr">
        <is>
          <t>黑色貓狗</t>
        </is>
      </c>
      <c r="E3942" t="inlineStr"/>
      <c r="F3942">
        <f>IMAGE("https://cf.shopee.tw/file/sg-11134201-22110-faqu7gakaekv67_tn")</f>
        <v/>
      </c>
    </row>
    <row r="3943">
      <c r="A3943" t="inlineStr">
        <is>
          <t>17590525033</t>
        </is>
      </c>
      <c r="B3943" t="inlineStr">
        <is>
          <t>隔日到貨🔥 復古單肩包 B8 個性塗鴉印花LOGO 帆布包 單肩包 帆布袋 手提袋 單肩包 提袋 環保袋 購物袋</t>
        </is>
      </c>
      <c r="C3943">
        <f>IMAGE("https://cf.shopee.tw/file/sg-11134201-22120-ufem1tw9bnkv3f_tn")</f>
        <v/>
      </c>
      <c r="D3943" t="inlineStr">
        <is>
          <t>考拉</t>
        </is>
      </c>
      <c r="E3943" t="inlineStr">
        <is>
          <t>203429640859</t>
        </is>
      </c>
      <c r="F3943">
        <f>IMAGE("https://cf.shopee.tw/file/sg-11134201-22120-bn64wp8jcnkvf4_tn")</f>
        <v/>
      </c>
    </row>
    <row r="3944">
      <c r="A3944" t="inlineStr">
        <is>
          <t>17590525033</t>
        </is>
      </c>
      <c r="B3944" t="inlineStr">
        <is>
          <t>隔日到貨🔥 復古單肩包 B8 個性塗鴉印花LOGO 帆布包 單肩包 帆布袋 手提袋 單肩包 提袋 環保袋 購物袋</t>
        </is>
      </c>
      <c r="C3944">
        <f>IMAGE("https://cf.shopee.tw/file/sg-11134201-22120-ufem1tw9bnkv3f_tn")</f>
        <v/>
      </c>
      <c r="D3944" t="inlineStr">
        <is>
          <t>JIL 黑(無吊飾)</t>
        </is>
      </c>
      <c r="E3944" t="inlineStr"/>
      <c r="F3944">
        <f>IMAGE("https://cf.shopee.tw/file/sg-11134201-22120-4bmyh23jcnkvb2_tn")</f>
        <v/>
      </c>
    </row>
    <row r="3945">
      <c r="A3945" t="inlineStr">
        <is>
          <t>17590525033</t>
        </is>
      </c>
      <c r="B3945" t="inlineStr">
        <is>
          <t>隔日到貨🔥 復古單肩包 B8 個性塗鴉印花LOGO 帆布包 單肩包 帆布袋 手提袋 單肩包 提袋 環保袋 購物袋</t>
        </is>
      </c>
      <c r="C3945">
        <f>IMAGE("https://cf.shopee.tw/file/sg-11134201-22120-ufem1tw9bnkv3f_tn")</f>
        <v/>
      </c>
      <c r="D3945" t="inlineStr">
        <is>
          <t>JIL 白 (無吊飾)</t>
        </is>
      </c>
      <c r="E3945" t="inlineStr"/>
      <c r="F3945">
        <f>IMAGE("https://cf.shopee.tw/file/sg-11134201-22120-srzm9gyjcnkvf5_tn")</f>
        <v/>
      </c>
    </row>
    <row r="3946">
      <c r="A3946" t="inlineStr">
        <is>
          <t>17590525033</t>
        </is>
      </c>
      <c r="B3946" t="inlineStr">
        <is>
          <t>隔日到貨🔥 復古單肩包 B8 個性塗鴉印花LOGO 帆布包 單肩包 帆布袋 手提袋 單肩包 提袋 環保袋 購物袋</t>
        </is>
      </c>
      <c r="C3946">
        <f>IMAGE("https://cf.shopee.tw/file/sg-11134201-22120-ufem1tw9bnkv3f_tn")</f>
        <v/>
      </c>
      <c r="D3946" t="inlineStr">
        <is>
          <t>Stubborn</t>
        </is>
      </c>
      <c r="E3946" t="inlineStr"/>
      <c r="F3946">
        <f>IMAGE("https://cf.shopee.tw/file/tw-11134207-7qukw-lkimbi53tkc86e_tn")</f>
        <v/>
      </c>
    </row>
    <row r="3947">
      <c r="A3947" t="inlineStr">
        <is>
          <t>8636176778</t>
        </is>
      </c>
      <c r="B3947" t="inlineStr">
        <is>
          <t>隔日到貨🔥 韓版 圓領 V領 短袖 上衣 短T 短袖 素T 寬鬆 t桖 棉質 t-shirt 衣服 夏天 素色</t>
        </is>
      </c>
      <c r="C3947">
        <f>IMAGE("https://cf.shopee.tw/file/9f50d8fa5e3ad65ee862e1a78314ac5a_tn")</f>
        <v/>
      </c>
      <c r="D3947" t="inlineStr">
        <is>
          <t>【V領】黑色</t>
        </is>
      </c>
      <c r="E3947" t="inlineStr">
        <is>
          <t>55086316864</t>
        </is>
      </c>
      <c r="F3947">
        <f>IMAGE("https://cf.shopee.tw/file/1f41bd8252e1d784510fafc4f3ccac40_tn")</f>
        <v/>
      </c>
    </row>
    <row r="3948">
      <c r="A3948" t="inlineStr">
        <is>
          <t>8636176778</t>
        </is>
      </c>
      <c r="B3948" t="inlineStr">
        <is>
          <t>隔日到貨🔥 韓版 圓領 V領 短袖 上衣 短T 短袖 素T 寬鬆 t桖 棉質 t-shirt 衣服 夏天 素色</t>
        </is>
      </c>
      <c r="C3948">
        <f>IMAGE("https://cf.shopee.tw/file/9f50d8fa5e3ad65ee862e1a78314ac5a_tn")</f>
        <v/>
      </c>
      <c r="D3948" t="inlineStr">
        <is>
          <t>【圓領】橘粉色</t>
        </is>
      </c>
      <c r="E3948" t="inlineStr">
        <is>
          <t>55086316867</t>
        </is>
      </c>
      <c r="F3948">
        <f>IMAGE("https://cf.shopee.tw/file/0a923a740f43fc8dd1ef5493d6c7c844_tn")</f>
        <v/>
      </c>
    </row>
    <row r="3949">
      <c r="A3949" t="inlineStr">
        <is>
          <t>8636176778</t>
        </is>
      </c>
      <c r="B3949" t="inlineStr">
        <is>
          <t>隔日到貨🔥 韓版 圓領 V領 短袖 上衣 短T 短袖 素T 寬鬆 t桖 棉質 t-shirt 衣服 夏天 素色</t>
        </is>
      </c>
      <c r="C3949">
        <f>IMAGE("https://cf.shopee.tw/file/9f50d8fa5e3ad65ee862e1a78314ac5a_tn")</f>
        <v/>
      </c>
      <c r="D3949" t="inlineStr">
        <is>
          <t>【圓領】黑色</t>
        </is>
      </c>
      <c r="E3949" t="inlineStr">
        <is>
          <t>55086316868</t>
        </is>
      </c>
      <c r="F3949">
        <f>IMAGE("https://cf.shopee.tw/file/8696556d2a626c941ebf735b90ea8b53_tn")</f>
        <v/>
      </c>
    </row>
    <row r="3950">
      <c r="A3950" t="inlineStr">
        <is>
          <t>8636176778</t>
        </is>
      </c>
      <c r="B3950" t="inlineStr">
        <is>
          <t>隔日到貨🔥 韓版 圓領 V領 短袖 上衣 短T 短袖 素T 寬鬆 t桖 棉質 t-shirt 衣服 夏天 素色</t>
        </is>
      </c>
      <c r="C3950">
        <f>IMAGE("https://cf.shopee.tw/file/9f50d8fa5e3ad65ee862e1a78314ac5a_tn")</f>
        <v/>
      </c>
      <c r="D3950" t="inlineStr">
        <is>
          <t>【圓領】深咖啡色</t>
        </is>
      </c>
      <c r="E3950" t="inlineStr">
        <is>
          <t>55086316865</t>
        </is>
      </c>
      <c r="F3950">
        <f>IMAGE("https://cf.shopee.tw/file/f8942e0789db001e129730773dc0cb2d_tn")</f>
        <v/>
      </c>
    </row>
    <row r="3951">
      <c r="A3951" t="inlineStr">
        <is>
          <t>8636176778</t>
        </is>
      </c>
      <c r="B3951" t="inlineStr">
        <is>
          <t>隔日到貨🔥 韓版 圓領 V領 短袖 上衣 短T 短袖 素T 寬鬆 t桖 棉質 t-shirt 衣服 夏天 素色</t>
        </is>
      </c>
      <c r="C3951">
        <f>IMAGE("https://cf.shopee.tw/file/9f50d8fa5e3ad65ee862e1a78314ac5a_tn")</f>
        <v/>
      </c>
      <c r="D3951" t="inlineStr">
        <is>
          <t>【圓領】白色</t>
        </is>
      </c>
      <c r="E3951" t="inlineStr"/>
      <c r="F3951">
        <f>IMAGE("https://cf.shopee.tw/file/bb63d1702d75d8fd026b9e821d2497d2_tn")</f>
        <v/>
      </c>
    </row>
    <row r="3952">
      <c r="A3952" t="inlineStr">
        <is>
          <t>8636176778</t>
        </is>
      </c>
      <c r="B3952" t="inlineStr">
        <is>
          <t>隔日到貨🔥 韓版 圓領 V領 短袖 上衣 短T 短袖 素T 寬鬆 t桖 棉質 t-shirt 衣服 夏天 素色</t>
        </is>
      </c>
      <c r="C3952">
        <f>IMAGE("https://cf.shopee.tw/file/9f50d8fa5e3ad65ee862e1a78314ac5a_tn")</f>
        <v/>
      </c>
      <c r="D3952" t="inlineStr">
        <is>
          <t>【圓領】杏色</t>
        </is>
      </c>
      <c r="E3952" t="inlineStr">
        <is>
          <t>55086316857</t>
        </is>
      </c>
      <c r="F3952">
        <f>IMAGE("https://cf.shopee.tw/file/6e167d448c99e43455f87fa23fffc555_tn")</f>
        <v/>
      </c>
    </row>
    <row r="3953">
      <c r="A3953" t="inlineStr">
        <is>
          <t>8636176778</t>
        </is>
      </c>
      <c r="B3953" t="inlineStr">
        <is>
          <t>隔日到貨🔥 韓版 圓領 V領 短袖 上衣 短T 短袖 素T 寬鬆 t桖 棉質 t-shirt 衣服 夏天 素色</t>
        </is>
      </c>
      <c r="C3953">
        <f>IMAGE("https://cf.shopee.tw/file/9f50d8fa5e3ad65ee862e1a78314ac5a_tn")</f>
        <v/>
      </c>
      <c r="D3953" t="inlineStr">
        <is>
          <t>【圓領】磚紅色</t>
        </is>
      </c>
      <c r="E3953" t="inlineStr">
        <is>
          <t>55086316860</t>
        </is>
      </c>
      <c r="F3953">
        <f>IMAGE("https://cf.shopee.tw/file/a39d694bad3f4f68b711396257e6bedc_tn")</f>
        <v/>
      </c>
    </row>
    <row r="3954">
      <c r="A3954" t="inlineStr">
        <is>
          <t>8636176778</t>
        </is>
      </c>
      <c r="B3954" t="inlineStr">
        <is>
          <t>隔日到貨🔥 韓版 圓領 V領 短袖 上衣 短T 短袖 素T 寬鬆 t桖 棉質 t-shirt 衣服 夏天 素色</t>
        </is>
      </c>
      <c r="C3954">
        <f>IMAGE("https://cf.shopee.tw/file/9f50d8fa5e3ad65ee862e1a78314ac5a_tn")</f>
        <v/>
      </c>
      <c r="D3954" t="inlineStr">
        <is>
          <t>【V領】橘粉色</t>
        </is>
      </c>
      <c r="E3954" t="inlineStr"/>
      <c r="F3954">
        <f>IMAGE("https://cf.shopee.tw/file/c613424acf0369bdcac4d3bd4012cb98_tn")</f>
        <v/>
      </c>
    </row>
    <row r="3955">
      <c r="A3955" t="inlineStr">
        <is>
          <t>8636176778</t>
        </is>
      </c>
      <c r="B3955" t="inlineStr">
        <is>
          <t>隔日到貨🔥 韓版 圓領 V領 短袖 上衣 短T 短袖 素T 寬鬆 t桖 棉質 t-shirt 衣服 夏天 素色</t>
        </is>
      </c>
      <c r="C3955">
        <f>IMAGE("https://cf.shopee.tw/file/9f50d8fa5e3ad65ee862e1a78314ac5a_tn")</f>
        <v/>
      </c>
      <c r="D3955" t="inlineStr">
        <is>
          <t>【V領】深咖啡色</t>
        </is>
      </c>
      <c r="E3955" t="inlineStr">
        <is>
          <t>55086316858</t>
        </is>
      </c>
      <c r="F3955">
        <f>IMAGE("https://cf.shopee.tw/file/69c1badf159d5b9568f83691eeef02d6_tn")</f>
        <v/>
      </c>
    </row>
    <row r="3956">
      <c r="A3956" t="inlineStr">
        <is>
          <t>8636176778</t>
        </is>
      </c>
      <c r="B3956" t="inlineStr">
        <is>
          <t>隔日到貨🔥 韓版 圓領 V領 短袖 上衣 短T 短袖 素T 寬鬆 t桖 棉質 t-shirt 衣服 夏天 素色</t>
        </is>
      </c>
      <c r="C3956">
        <f>IMAGE("https://cf.shopee.tw/file/9f50d8fa5e3ad65ee862e1a78314ac5a_tn")</f>
        <v/>
      </c>
      <c r="D3956" t="inlineStr">
        <is>
          <t>【V領】白色</t>
        </is>
      </c>
      <c r="E3956" t="inlineStr"/>
      <c r="F3956">
        <f>IMAGE("https://cf.shopee.tw/file/bd3a0463e59043659f53e63319e49d9f_tn")</f>
        <v/>
      </c>
    </row>
    <row r="3957">
      <c r="A3957" t="inlineStr">
        <is>
          <t>8636176778</t>
        </is>
      </c>
      <c r="B3957" t="inlineStr">
        <is>
          <t>隔日到貨🔥 韓版 圓領 V領 短袖 上衣 短T 短袖 素T 寬鬆 t桖 棉質 t-shirt 衣服 夏天 素色</t>
        </is>
      </c>
      <c r="C3957">
        <f>IMAGE("https://cf.shopee.tw/file/9f50d8fa5e3ad65ee862e1a78314ac5a_tn")</f>
        <v/>
      </c>
      <c r="D3957" t="inlineStr">
        <is>
          <t>【V領】杏色</t>
        </is>
      </c>
      <c r="E3957" t="inlineStr">
        <is>
          <t>55086316862</t>
        </is>
      </c>
      <c r="F3957">
        <f>IMAGE("https://cf.shopee.tw/file/bf12fb8a0eed9bf4bbac58b387fdd6a4_tn")</f>
        <v/>
      </c>
    </row>
    <row r="3958">
      <c r="A3958" t="inlineStr">
        <is>
          <t>8636176778</t>
        </is>
      </c>
      <c r="B3958" t="inlineStr">
        <is>
          <t>隔日到貨🔥 韓版 圓領 V領 短袖 上衣 短T 短袖 素T 寬鬆 t桖 棉質 t-shirt 衣服 夏天 素色</t>
        </is>
      </c>
      <c r="C3958">
        <f>IMAGE("https://cf.shopee.tw/file/9f50d8fa5e3ad65ee862e1a78314ac5a_tn")</f>
        <v/>
      </c>
      <c r="D3958" t="inlineStr">
        <is>
          <t>【V領】磚紅色</t>
        </is>
      </c>
      <c r="E3958" t="inlineStr">
        <is>
          <t>55086316866</t>
        </is>
      </c>
      <c r="F3958">
        <f>IMAGE("https://cf.shopee.tw/file/86a18ae9cf7f5e8dfc829db162e208b6_tn")</f>
        <v/>
      </c>
    </row>
    <row r="3959">
      <c r="A3959" t="inlineStr">
        <is>
          <t>23402769853</t>
        </is>
      </c>
      <c r="B3959" t="inlineStr">
        <is>
          <t>隔日到貨🔥 iPhone 手機殼 17 16 15 14 pro 13 12 11 16e XR X 保護殼 軟殼 蘋果</t>
        </is>
      </c>
      <c r="C3959">
        <f>IMAGE("https://cf.shopee.tw/file/sg-11134201-22100-id81mqjkj8iv9b_tn")</f>
        <v/>
      </c>
      <c r="D3959" t="inlineStr">
        <is>
          <t>粉水槍女孩,7/8/SE2/SE3</t>
        </is>
      </c>
      <c r="E3959" t="inlineStr">
        <is>
          <t>59150358087</t>
        </is>
      </c>
      <c r="F3959">
        <f>IMAGE("https://cf.shopee.tw/file/sg-11134201-22100-cm49r60kj8iv32_tn")</f>
        <v/>
      </c>
    </row>
    <row r="3960">
      <c r="A3960" t="inlineStr">
        <is>
          <t>23402769853</t>
        </is>
      </c>
      <c r="B3960" t="inlineStr">
        <is>
          <t>隔日到貨🔥 iPhone 手機殼 17 16 15 14 pro 13 12 11 16e XR X 保護殼 軟殼 蘋果</t>
        </is>
      </c>
      <c r="C3960">
        <f>IMAGE("https://cf.shopee.tw/file/sg-11134201-22100-id81mqjkj8iv9b_tn")</f>
        <v/>
      </c>
      <c r="D3960" t="inlineStr">
        <is>
          <t>粉水槍女孩,7Plus/8Plus</t>
        </is>
      </c>
      <c r="E3960" t="inlineStr"/>
      <c r="F3960">
        <f>IMAGE("https://cf.shopee.tw/file/sg-11134201-22100-cm49r60kj8iv32_tn")</f>
        <v/>
      </c>
    </row>
    <row r="3961">
      <c r="A3961" t="inlineStr">
        <is>
          <t>23402769853</t>
        </is>
      </c>
      <c r="B3961" t="inlineStr">
        <is>
          <t>隔日到貨🔥 iPhone 手機殼 17 16 15 14 pro 13 12 11 16e XR X 保護殼 軟殼 蘋果</t>
        </is>
      </c>
      <c r="C3961">
        <f>IMAGE("https://cf.shopee.tw/file/sg-11134201-22100-id81mqjkj8iv9b_tn")</f>
        <v/>
      </c>
      <c r="D3961" t="inlineStr">
        <is>
          <t>粉水槍女孩,X/XS</t>
        </is>
      </c>
      <c r="E3961" t="inlineStr">
        <is>
          <t>127023265490</t>
        </is>
      </c>
      <c r="F3961">
        <f>IMAGE("https://cf.shopee.tw/file/sg-11134201-22100-cm49r60kj8iv32_tn")</f>
        <v/>
      </c>
    </row>
    <row r="3962">
      <c r="A3962" t="inlineStr">
        <is>
          <t>23402769853</t>
        </is>
      </c>
      <c r="B3962" t="inlineStr">
        <is>
          <t>隔日到貨🔥 iPhone 手機殼 17 16 15 14 pro 13 12 11 16e XR X 保護殼 軟殼 蘋果</t>
        </is>
      </c>
      <c r="C3962">
        <f>IMAGE("https://cf.shopee.tw/file/sg-11134201-22100-id81mqjkj8iv9b_tn")</f>
        <v/>
      </c>
      <c r="D3962" t="inlineStr">
        <is>
          <t>粉水槍女孩,XR</t>
        </is>
      </c>
      <c r="E3962" t="inlineStr">
        <is>
          <t>127023265491</t>
        </is>
      </c>
      <c r="F3962">
        <f>IMAGE("https://cf.shopee.tw/file/sg-11134201-22100-cm49r60kj8iv32_tn")</f>
        <v/>
      </c>
    </row>
    <row r="3963">
      <c r="A3963" t="inlineStr">
        <is>
          <t>23402769853</t>
        </is>
      </c>
      <c r="B3963" t="inlineStr">
        <is>
          <t>隔日到貨🔥 iPhone 手機殼 17 16 15 14 pro 13 12 11 16e XR X 保護殼 軟殼 蘋果</t>
        </is>
      </c>
      <c r="C3963">
        <f>IMAGE("https://cf.shopee.tw/file/sg-11134201-22100-id81mqjkj8iv9b_tn")</f>
        <v/>
      </c>
      <c r="D3963" t="inlineStr">
        <is>
          <t>粉水槍女孩,11</t>
        </is>
      </c>
      <c r="E3963" t="inlineStr">
        <is>
          <t>127023265497</t>
        </is>
      </c>
      <c r="F3963">
        <f>IMAGE("https://cf.shopee.tw/file/sg-11134201-22100-cm49r60kj8iv32_tn")</f>
        <v/>
      </c>
    </row>
    <row r="3964">
      <c r="A3964" t="inlineStr">
        <is>
          <t>23402769853</t>
        </is>
      </c>
      <c r="B3964" t="inlineStr">
        <is>
          <t>隔日到貨🔥 iPhone 手機殼 17 16 15 14 pro 13 12 11 16e XR X 保護殼 軟殼 蘋果</t>
        </is>
      </c>
      <c r="C3964">
        <f>IMAGE("https://cf.shopee.tw/file/sg-11134201-22100-id81mqjkj8iv9b_tn")</f>
        <v/>
      </c>
      <c r="D3964" t="inlineStr">
        <is>
          <t>粉水槍女孩,11 Pro</t>
        </is>
      </c>
      <c r="E3964" t="inlineStr"/>
      <c r="F3964">
        <f>IMAGE("https://cf.shopee.tw/file/sg-11134201-22100-cm49r60kj8iv32_tn")</f>
        <v/>
      </c>
    </row>
    <row r="3965">
      <c r="A3965" t="inlineStr">
        <is>
          <t>23402769853</t>
        </is>
      </c>
      <c r="B3965" t="inlineStr">
        <is>
          <t>隔日到貨🔥 iPhone 手機殼 17 16 15 14 pro 13 12 11 16e XR X 保護殼 軟殼 蘋果</t>
        </is>
      </c>
      <c r="C3965">
        <f>IMAGE("https://cf.shopee.tw/file/sg-11134201-22100-id81mqjkj8iv9b_tn")</f>
        <v/>
      </c>
      <c r="D3965" t="inlineStr">
        <is>
          <t>粉水槍女孩,12</t>
        </is>
      </c>
      <c r="E3965" t="inlineStr"/>
      <c r="F3965">
        <f>IMAGE("https://cf.shopee.tw/file/sg-11134201-22100-cm49r60kj8iv32_tn")</f>
        <v/>
      </c>
    </row>
    <row r="3966">
      <c r="A3966" t="inlineStr">
        <is>
          <t>23402769853</t>
        </is>
      </c>
      <c r="B3966" t="inlineStr">
        <is>
          <t>隔日到貨🔥 iPhone 手機殼 17 16 15 14 pro 13 12 11 16e XR X 保護殼 軟殼 蘋果</t>
        </is>
      </c>
      <c r="C3966">
        <f>IMAGE("https://cf.shopee.tw/file/sg-11134201-22100-id81mqjkj8iv9b_tn")</f>
        <v/>
      </c>
      <c r="D3966" t="inlineStr">
        <is>
          <t>粉水槍女孩,12 Pro</t>
        </is>
      </c>
      <c r="E3966" t="inlineStr"/>
      <c r="F3966">
        <f>IMAGE("https://cf.shopee.tw/file/sg-11134201-22100-cm49r60kj8iv32_tn")</f>
        <v/>
      </c>
    </row>
    <row r="3967">
      <c r="A3967" t="inlineStr">
        <is>
          <t>23402769853</t>
        </is>
      </c>
      <c r="B3967" t="inlineStr">
        <is>
          <t>隔日到貨🔥 iPhone 手機殼 17 16 15 14 pro 13 12 11 16e XR X 保護殼 軟殼 蘋果</t>
        </is>
      </c>
      <c r="C3967">
        <f>IMAGE("https://cf.shopee.tw/file/sg-11134201-22100-id81mqjkj8iv9b_tn")</f>
        <v/>
      </c>
      <c r="D3967" t="inlineStr">
        <is>
          <t>粉水槍女孩,12 Pro Max</t>
        </is>
      </c>
      <c r="E3967" t="inlineStr">
        <is>
          <t>127023265499</t>
        </is>
      </c>
      <c r="F3967">
        <f>IMAGE("https://cf.shopee.tw/file/sg-11134201-22100-cm49r60kj8iv32_tn")</f>
        <v/>
      </c>
    </row>
    <row r="3968">
      <c r="A3968" t="inlineStr">
        <is>
          <t>23402769853</t>
        </is>
      </c>
      <c r="B3968" t="inlineStr">
        <is>
          <t>隔日到貨🔥 iPhone 手機殼 17 16 15 14 pro 13 12 11 16e XR X 保護殼 軟殼 蘋果</t>
        </is>
      </c>
      <c r="C3968">
        <f>IMAGE("https://cf.shopee.tw/file/sg-11134201-22100-id81mqjkj8iv9b_tn")</f>
        <v/>
      </c>
      <c r="D3968" t="inlineStr">
        <is>
          <t>粉水槍女孩,13</t>
        </is>
      </c>
      <c r="E3968" t="inlineStr"/>
      <c r="F3968">
        <f>IMAGE("https://cf.shopee.tw/file/sg-11134201-22100-cm49r60kj8iv32_tn")</f>
        <v/>
      </c>
    </row>
    <row r="3969">
      <c r="A3969" t="inlineStr">
        <is>
          <t>23402769853</t>
        </is>
      </c>
      <c r="B3969" t="inlineStr">
        <is>
          <t>隔日到貨🔥 iPhone 手機殼 17 16 15 14 pro 13 12 11 16e XR X 保護殼 軟殼 蘋果</t>
        </is>
      </c>
      <c r="C3969">
        <f>IMAGE("https://cf.shopee.tw/file/sg-11134201-22100-id81mqjkj8iv9b_tn")</f>
        <v/>
      </c>
      <c r="D3969" t="inlineStr">
        <is>
          <t>粉水槍女孩,13 Pro</t>
        </is>
      </c>
      <c r="E3969" t="inlineStr">
        <is>
          <t>127023265501</t>
        </is>
      </c>
      <c r="F3969">
        <f>IMAGE("https://cf.shopee.tw/file/sg-11134201-22100-cm49r60kj8iv32_tn")</f>
        <v/>
      </c>
    </row>
    <row r="3970">
      <c r="A3970" t="inlineStr">
        <is>
          <t>23402769853</t>
        </is>
      </c>
      <c r="B3970" t="inlineStr">
        <is>
          <t>隔日到貨🔥 iPhone 手機殼 17 16 15 14 pro 13 12 11 16e XR X 保護殼 軟殼 蘋果</t>
        </is>
      </c>
      <c r="C3970">
        <f>IMAGE("https://cf.shopee.tw/file/sg-11134201-22100-id81mqjkj8iv9b_tn")</f>
        <v/>
      </c>
      <c r="D3970" t="inlineStr">
        <is>
          <t>粉水槍女孩,13 Pro Max</t>
        </is>
      </c>
      <c r="E3970" t="inlineStr"/>
      <c r="F3970">
        <f>IMAGE("https://cf.shopee.tw/file/sg-11134201-22100-cm49r60kj8iv32_tn")</f>
        <v/>
      </c>
    </row>
    <row r="3971">
      <c r="A3971" t="inlineStr">
        <is>
          <t>23402769853</t>
        </is>
      </c>
      <c r="B3971" t="inlineStr">
        <is>
          <t>隔日到貨🔥 iPhone 手機殼 17 16 15 14 pro 13 12 11 16e XR X 保護殼 軟殼 蘋果</t>
        </is>
      </c>
      <c r="C3971">
        <f>IMAGE("https://cf.shopee.tw/file/sg-11134201-22100-id81mqjkj8iv9b_tn")</f>
        <v/>
      </c>
      <c r="D3971" t="inlineStr">
        <is>
          <t>粉水槍女孩,13 mini</t>
        </is>
      </c>
      <c r="E3971" t="inlineStr">
        <is>
          <t>221537636900</t>
        </is>
      </c>
      <c r="F3971">
        <f>IMAGE("https://cf.shopee.tw/file/sg-11134201-22100-cm49r60kj8iv32_tn")</f>
        <v/>
      </c>
    </row>
    <row r="3972">
      <c r="A3972" t="inlineStr">
        <is>
          <t>23402769853</t>
        </is>
      </c>
      <c r="B3972" t="inlineStr">
        <is>
          <t>隔日到貨🔥 iPhone 手機殼 17 16 15 14 pro 13 12 11 16e XR X 保護殼 軟殼 蘋果</t>
        </is>
      </c>
      <c r="C3972">
        <f>IMAGE("https://cf.shopee.tw/file/sg-11134201-22100-id81mqjkj8iv9b_tn")</f>
        <v/>
      </c>
      <c r="D3972" t="inlineStr">
        <is>
          <t>粉水槍女孩,14</t>
        </is>
      </c>
      <c r="E3972" t="inlineStr">
        <is>
          <t>127023265494</t>
        </is>
      </c>
      <c r="F3972">
        <f>IMAGE("https://cf.shopee.tw/file/sg-11134201-22100-cm49r60kj8iv32_tn")</f>
        <v/>
      </c>
    </row>
    <row r="3973">
      <c r="A3973" t="inlineStr">
        <is>
          <t>23402769853</t>
        </is>
      </c>
      <c r="B3973" t="inlineStr">
        <is>
          <t>隔日到貨🔥 iPhone 手機殼 17 16 15 14 pro 13 12 11 16e XR X 保護殼 軟殼 蘋果</t>
        </is>
      </c>
      <c r="C3973">
        <f>IMAGE("https://cf.shopee.tw/file/sg-11134201-22100-id81mqjkj8iv9b_tn")</f>
        <v/>
      </c>
      <c r="D3973" t="inlineStr">
        <is>
          <t>粉水槍女孩,14 Pro</t>
        </is>
      </c>
      <c r="E3973" t="inlineStr">
        <is>
          <t>127023265495</t>
        </is>
      </c>
      <c r="F3973">
        <f>IMAGE("https://cf.shopee.tw/file/sg-11134201-22100-cm49r60kj8iv32_tn")</f>
        <v/>
      </c>
    </row>
    <row r="3974">
      <c r="A3974" t="inlineStr">
        <is>
          <t>23402769853</t>
        </is>
      </c>
      <c r="B3974" t="inlineStr">
        <is>
          <t>隔日到貨🔥 iPhone 手機殼 17 16 15 14 pro 13 12 11 16e XR X 保護殼 軟殼 蘋果</t>
        </is>
      </c>
      <c r="C3974">
        <f>IMAGE("https://cf.shopee.tw/file/sg-11134201-22100-id81mqjkj8iv9b_tn")</f>
        <v/>
      </c>
      <c r="D3974" t="inlineStr">
        <is>
          <t>粉水槍女孩,14 Pro Max</t>
        </is>
      </c>
      <c r="E3974" t="inlineStr">
        <is>
          <t>127023265496</t>
        </is>
      </c>
      <c r="F3974">
        <f>IMAGE("https://cf.shopee.tw/file/sg-11134201-22100-cm49r60kj8iv32_tn")</f>
        <v/>
      </c>
    </row>
    <row r="3975">
      <c r="A3975" t="inlineStr">
        <is>
          <t>23402769853</t>
        </is>
      </c>
      <c r="B3975" t="inlineStr">
        <is>
          <t>隔日到貨🔥 iPhone 手機殼 17 16 15 14 pro 13 12 11 16e XR X 保護殼 軟殼 蘋果</t>
        </is>
      </c>
      <c r="C3975">
        <f>IMAGE("https://cf.shopee.tw/file/sg-11134201-22100-id81mqjkj8iv9b_tn")</f>
        <v/>
      </c>
      <c r="D3975" t="inlineStr">
        <is>
          <t>粉水槍女孩,14 Plus</t>
        </is>
      </c>
      <c r="E3975" t="inlineStr"/>
      <c r="F3975">
        <f>IMAGE("https://cf.shopee.tw/file/sg-11134201-22100-cm49r60kj8iv32_tn")</f>
        <v/>
      </c>
    </row>
    <row r="3976">
      <c r="A3976" t="inlineStr">
        <is>
          <t>23402769853</t>
        </is>
      </c>
      <c r="B3976" t="inlineStr">
        <is>
          <t>隔日到貨🔥 iPhone 手機殼 17 16 15 14 pro 13 12 11 16e XR X 保護殼 軟殼 蘋果</t>
        </is>
      </c>
      <c r="C3976">
        <f>IMAGE("https://cf.shopee.tw/file/sg-11134201-22100-id81mqjkj8iv9b_tn")</f>
        <v/>
      </c>
      <c r="D3976" t="inlineStr">
        <is>
          <t>粉水槍女孩,15</t>
        </is>
      </c>
      <c r="E3976" t="inlineStr"/>
      <c r="F3976">
        <f>IMAGE("https://cf.shopee.tw/file/sg-11134201-22100-cm49r60kj8iv32_tn")</f>
        <v/>
      </c>
    </row>
    <row r="3977">
      <c r="A3977" t="inlineStr">
        <is>
          <t>23402769853</t>
        </is>
      </c>
      <c r="B3977" t="inlineStr">
        <is>
          <t>隔日到貨🔥 iPhone 手機殼 17 16 15 14 pro 13 12 11 16e XR X 保護殼 軟殼 蘋果</t>
        </is>
      </c>
      <c r="C3977">
        <f>IMAGE("https://cf.shopee.tw/file/sg-11134201-22100-id81mqjkj8iv9b_tn")</f>
        <v/>
      </c>
      <c r="D3977" t="inlineStr">
        <is>
          <t>粉水槍女孩,15 Pro</t>
        </is>
      </c>
      <c r="E3977" t="inlineStr"/>
      <c r="F3977">
        <f>IMAGE("https://cf.shopee.tw/file/sg-11134201-22100-cm49r60kj8iv32_tn")</f>
        <v/>
      </c>
    </row>
    <row r="3978">
      <c r="A3978" t="inlineStr">
        <is>
          <t>23402769853</t>
        </is>
      </c>
      <c r="B3978" t="inlineStr">
        <is>
          <t>隔日到貨🔥 iPhone 手機殼 17 16 15 14 pro 13 12 11 16e XR X 保護殼 軟殼 蘋果</t>
        </is>
      </c>
      <c r="C3978">
        <f>IMAGE("https://cf.shopee.tw/file/sg-11134201-22100-id81mqjkj8iv9b_tn")</f>
        <v/>
      </c>
      <c r="D3978" t="inlineStr">
        <is>
          <t>粉水槍女孩,15 Pro Max</t>
        </is>
      </c>
      <c r="E3978" t="inlineStr"/>
      <c r="F3978">
        <f>IMAGE("https://cf.shopee.tw/file/sg-11134201-22100-cm49r60kj8iv32_tn")</f>
        <v/>
      </c>
    </row>
    <row r="3979">
      <c r="A3979" t="inlineStr">
        <is>
          <t>23402769853</t>
        </is>
      </c>
      <c r="B3979" t="inlineStr">
        <is>
          <t>隔日到貨🔥 iPhone 手機殼 17 16 15 14 pro 13 12 11 16e XR X 保護殼 軟殼 蘋果</t>
        </is>
      </c>
      <c r="C3979">
        <f>IMAGE("https://cf.shopee.tw/file/sg-11134201-22100-id81mqjkj8iv9b_tn")</f>
        <v/>
      </c>
      <c r="D3979" t="inlineStr">
        <is>
          <t>粉水槍女孩,15 Plus</t>
        </is>
      </c>
      <c r="E3979" t="inlineStr"/>
      <c r="F3979">
        <f>IMAGE("https://cf.shopee.tw/file/sg-11134201-22100-cm49r60kj8iv32_tn")</f>
        <v/>
      </c>
    </row>
    <row r="3980">
      <c r="A3980" t="inlineStr">
        <is>
          <t>23402769853</t>
        </is>
      </c>
      <c r="B3980" t="inlineStr">
        <is>
          <t>隔日到貨🔥 iPhone 手機殼 17 16 15 14 pro 13 12 11 16e XR X 保護殼 軟殼 蘋果</t>
        </is>
      </c>
      <c r="C3980">
        <f>IMAGE("https://cf.shopee.tw/file/sg-11134201-22100-id81mqjkj8iv9b_tn")</f>
        <v/>
      </c>
      <c r="D3980" t="inlineStr">
        <is>
          <t>粉水槍女孩,16</t>
        </is>
      </c>
      <c r="E3980" t="inlineStr">
        <is>
          <t>241619809199</t>
        </is>
      </c>
      <c r="F3980">
        <f>IMAGE("https://cf.shopee.tw/file/sg-11134201-22100-cm49r60kj8iv32_tn")</f>
        <v/>
      </c>
    </row>
    <row r="3981">
      <c r="A3981" t="inlineStr">
        <is>
          <t>23402769853</t>
        </is>
      </c>
      <c r="B3981" t="inlineStr">
        <is>
          <t>隔日到貨🔥 iPhone 手機殼 17 16 15 14 pro 13 12 11 16e XR X 保護殼 軟殼 蘋果</t>
        </is>
      </c>
      <c r="C3981">
        <f>IMAGE("https://cf.shopee.tw/file/sg-11134201-22100-id81mqjkj8iv9b_tn")</f>
        <v/>
      </c>
      <c r="D3981" t="inlineStr">
        <is>
          <t>粉水槍女孩,16 Pro</t>
        </is>
      </c>
      <c r="E3981" t="inlineStr"/>
      <c r="F3981">
        <f>IMAGE("https://cf.shopee.tw/file/sg-11134201-22100-cm49r60kj8iv32_tn")</f>
        <v/>
      </c>
    </row>
    <row r="3982">
      <c r="A3982" t="inlineStr">
        <is>
          <t>23402769853</t>
        </is>
      </c>
      <c r="B3982" t="inlineStr">
        <is>
          <t>隔日到貨🔥 iPhone 手機殼 17 16 15 14 pro 13 12 11 16e XR X 保護殼 軟殼 蘋果</t>
        </is>
      </c>
      <c r="C3982">
        <f>IMAGE("https://cf.shopee.tw/file/sg-11134201-22100-id81mqjkj8iv9b_tn")</f>
        <v/>
      </c>
      <c r="D3982" t="inlineStr">
        <is>
          <t>粉水槍女孩,16 Pro Max</t>
        </is>
      </c>
      <c r="E3982" t="inlineStr"/>
      <c r="F3982">
        <f>IMAGE("https://cf.shopee.tw/file/sg-11134201-22100-cm49r60kj8iv32_tn")</f>
        <v/>
      </c>
    </row>
    <row r="3983">
      <c r="A3983" t="inlineStr">
        <is>
          <t>23402769853</t>
        </is>
      </c>
      <c r="B3983" t="inlineStr">
        <is>
          <t>隔日到貨🔥 iPhone 手機殼 17 16 15 14 pro 13 12 11 16e XR X 保護殼 軟殼 蘋果</t>
        </is>
      </c>
      <c r="C3983">
        <f>IMAGE("https://cf.shopee.tw/file/sg-11134201-22100-id81mqjkj8iv9b_tn")</f>
        <v/>
      </c>
      <c r="D3983" t="inlineStr">
        <is>
          <t>粉水槍女孩,16 Plus</t>
        </is>
      </c>
      <c r="E3983" t="inlineStr">
        <is>
          <t>241619809202</t>
        </is>
      </c>
      <c r="F3983">
        <f>IMAGE("https://cf.shopee.tw/file/sg-11134201-22100-cm49r60kj8iv32_tn")</f>
        <v/>
      </c>
    </row>
    <row r="3984">
      <c r="A3984" t="inlineStr">
        <is>
          <t>23402769853</t>
        </is>
      </c>
      <c r="B3984" t="inlineStr">
        <is>
          <t>隔日到貨🔥 iPhone 手機殼 17 16 15 14 pro 13 12 11 16e XR X 保護殼 軟殼 蘋果</t>
        </is>
      </c>
      <c r="C3984">
        <f>IMAGE("https://cf.shopee.tw/file/sg-11134201-22100-id81mqjkj8iv9b_tn")</f>
        <v/>
      </c>
      <c r="D3984" t="inlineStr">
        <is>
          <t>粉水槍女孩,16e</t>
        </is>
      </c>
      <c r="E3984" t="inlineStr">
        <is>
          <t>177202535756</t>
        </is>
      </c>
      <c r="F3984">
        <f>IMAGE("https://cf.shopee.tw/file/sg-11134201-22100-cm49r60kj8iv32_tn")</f>
        <v/>
      </c>
    </row>
    <row r="3985">
      <c r="A3985" t="inlineStr">
        <is>
          <t>23402769853</t>
        </is>
      </c>
      <c r="B3985" t="inlineStr">
        <is>
          <t>隔日到貨🔥 iPhone 手機殼 17 16 15 14 pro 13 12 11 16e XR X 保護殼 軟殼 蘋果</t>
        </is>
      </c>
      <c r="C3985">
        <f>IMAGE("https://cf.shopee.tw/file/sg-11134201-22100-id81mqjkj8iv9b_tn")</f>
        <v/>
      </c>
      <c r="D3985" t="inlineStr">
        <is>
          <t>粉水槍女孩,17</t>
        </is>
      </c>
      <c r="E3985" t="inlineStr">
        <is>
          <t>286657578890</t>
        </is>
      </c>
      <c r="F3985">
        <f>IMAGE("https://cf.shopee.tw/file/sg-11134201-22100-cm49r60kj8iv32_tn")</f>
        <v/>
      </c>
    </row>
    <row r="3986">
      <c r="A3986" t="inlineStr">
        <is>
          <t>23402769853</t>
        </is>
      </c>
      <c r="B3986" t="inlineStr">
        <is>
          <t>隔日到貨🔥 iPhone 手機殼 17 16 15 14 pro 13 12 11 16e XR X 保護殼 軟殼 蘋果</t>
        </is>
      </c>
      <c r="C3986">
        <f>IMAGE("https://cf.shopee.tw/file/sg-11134201-22100-id81mqjkj8iv9b_tn")</f>
        <v/>
      </c>
      <c r="D3986" t="inlineStr">
        <is>
          <t>粉水槍女孩,17 Air</t>
        </is>
      </c>
      <c r="E3986" t="inlineStr"/>
      <c r="F3986">
        <f>IMAGE("https://cf.shopee.tw/file/sg-11134201-22100-cm49r60kj8iv32_tn")</f>
        <v/>
      </c>
    </row>
    <row r="3987">
      <c r="A3987" t="inlineStr">
        <is>
          <t>23402769853</t>
        </is>
      </c>
      <c r="B3987" t="inlineStr">
        <is>
          <t>隔日到貨🔥 iPhone 手機殼 17 16 15 14 pro 13 12 11 16e XR X 保護殼 軟殼 蘋果</t>
        </is>
      </c>
      <c r="C3987">
        <f>IMAGE("https://cf.shopee.tw/file/sg-11134201-22100-id81mqjkj8iv9b_tn")</f>
        <v/>
      </c>
      <c r="D3987" t="inlineStr">
        <is>
          <t>粉水槍女孩,17 Pro</t>
        </is>
      </c>
      <c r="E3987" t="inlineStr"/>
      <c r="F3987">
        <f>IMAGE("https://cf.shopee.tw/file/sg-11134201-22100-cm49r60kj8iv32_tn")</f>
        <v/>
      </c>
    </row>
    <row r="3988">
      <c r="A3988" t="inlineStr">
        <is>
          <t>23402769853</t>
        </is>
      </c>
      <c r="B3988" t="inlineStr">
        <is>
          <t>隔日到貨🔥 iPhone 手機殼 17 16 15 14 pro 13 12 11 16e XR X 保護殼 軟殼 蘋果</t>
        </is>
      </c>
      <c r="C3988">
        <f>IMAGE("https://cf.shopee.tw/file/sg-11134201-22100-id81mqjkj8iv9b_tn")</f>
        <v/>
      </c>
      <c r="D3988" t="inlineStr">
        <is>
          <t>粉水槍女孩,17 Pro Max</t>
        </is>
      </c>
      <c r="E3988" t="inlineStr"/>
      <c r="F3988">
        <f>IMAGE("https://cf.shopee.tw/file/sg-11134201-22100-cm49r60kj8iv32_tn")</f>
        <v/>
      </c>
    </row>
    <row r="3989">
      <c r="A3989" t="inlineStr">
        <is>
          <t>14551591074</t>
        </is>
      </c>
      <c r="B3989" t="inlineStr">
        <is>
          <t>隔日到貨🔥 可愛小椅子 手機支架 懶人支架 可折疊 手機配件 桌面擺飾 擺件 裝飾 創意支架 手機周邊 追劇必備</t>
        </is>
      </c>
      <c r="C3989">
        <f>IMAGE("https://cf.shopee.tw/file/461605a958868bd5adc2fe671faf4cbd_tn")</f>
        <v/>
      </c>
      <c r="D3989" t="inlineStr">
        <is>
          <t>綠色</t>
        </is>
      </c>
      <c r="E3989" t="inlineStr">
        <is>
          <t>170034577543</t>
        </is>
      </c>
      <c r="F3989">
        <f>IMAGE("https://cf.shopee.tw/file/28ecc802e0e90ef71f7a1823a3ce011b_tn")</f>
        <v/>
      </c>
    </row>
    <row r="3990">
      <c r="A3990" t="inlineStr">
        <is>
          <t>14551591074</t>
        </is>
      </c>
      <c r="B3990" t="inlineStr">
        <is>
          <t>隔日到貨🔥 可愛小椅子 手機支架 懶人支架 可折疊 手機配件 桌面擺飾 擺件 裝飾 創意支架 手機周邊 追劇必備</t>
        </is>
      </c>
      <c r="C3990">
        <f>IMAGE("https://cf.shopee.tw/file/461605a958868bd5adc2fe671faf4cbd_tn")</f>
        <v/>
      </c>
      <c r="D3990" t="inlineStr">
        <is>
          <t>紫色</t>
        </is>
      </c>
      <c r="E3990" t="inlineStr"/>
      <c r="F3990">
        <f>IMAGE("https://cf.shopee.tw/file/661ff155ba7bc1175424dbf406128136_tn")</f>
        <v/>
      </c>
    </row>
    <row r="3991">
      <c r="A3991" t="inlineStr">
        <is>
          <t>14551591074</t>
        </is>
      </c>
      <c r="B3991" t="inlineStr">
        <is>
          <t>隔日到貨🔥 可愛小椅子 手機支架 懶人支架 可折疊 手機配件 桌面擺飾 擺件 裝飾 創意支架 手機周邊 追劇必備</t>
        </is>
      </c>
      <c r="C3991">
        <f>IMAGE("https://cf.shopee.tw/file/461605a958868bd5adc2fe671faf4cbd_tn")</f>
        <v/>
      </c>
      <c r="D3991" t="inlineStr">
        <is>
          <t>粉色</t>
        </is>
      </c>
      <c r="E3991" t="inlineStr"/>
      <c r="F3991">
        <f>IMAGE("https://cf.shopee.tw/file/9af9020df340f327fb128a31b00cbcb1_tn")</f>
        <v/>
      </c>
    </row>
    <row r="3992">
      <c r="A3992" t="inlineStr">
        <is>
          <t>14551591074</t>
        </is>
      </c>
      <c r="B3992" t="inlineStr">
        <is>
          <t>隔日到貨🔥 可愛小椅子 手機支架 懶人支架 可折疊 手機配件 桌面擺飾 擺件 裝飾 創意支架 手機周邊 追劇必備</t>
        </is>
      </c>
      <c r="C3992">
        <f>IMAGE("https://cf.shopee.tw/file/461605a958868bd5adc2fe671faf4cbd_tn")</f>
        <v/>
      </c>
      <c r="D3992" t="inlineStr">
        <is>
          <t>黃色</t>
        </is>
      </c>
      <c r="E3992" t="inlineStr"/>
      <c r="F3992">
        <f>IMAGE("https://cf.shopee.tw/file/9612066bb2e0fe2f4999e3add28ca20e_tn")</f>
        <v/>
      </c>
    </row>
    <row r="3993">
      <c r="A3993" t="inlineStr">
        <is>
          <t>23344412938</t>
        </is>
      </c>
      <c r="B3993" t="inlineStr">
        <is>
          <t>隔日到貨🔥 Airpods 保護套 1代 2代 3代 pro pro2 耳機套 A20 矽膠 軟殼 保護殼 蘋果</t>
        </is>
      </c>
      <c r="C3993">
        <f>IMAGE("https://cf.shopee.tw/file/tw-11134207-7qukw-lhkbizhl1pzia7_tn")</f>
        <v/>
      </c>
      <c r="D3993" t="inlineStr">
        <is>
          <t>黑色貓爪,pro1代/pro2代</t>
        </is>
      </c>
      <c r="E3993" t="inlineStr"/>
      <c r="F3993">
        <f>IMAGE("https://cf.shopee.tw/file/tw-11134207-7quky-lhkbizhl34jye5_tn")</f>
        <v/>
      </c>
    </row>
    <row r="3994">
      <c r="A3994" t="inlineStr">
        <is>
          <t>23344412938</t>
        </is>
      </c>
      <c r="B3994" t="inlineStr">
        <is>
          <t>隔日到貨🔥 Airpods 保護套 1代 2代 3代 pro pro2 耳機套 A20 矽膠 軟殼 保護殼 蘋果</t>
        </is>
      </c>
      <c r="C3994">
        <f>IMAGE("https://cf.shopee.tw/file/tw-11134207-7qukw-lhkbizhl1pzia7_tn")</f>
        <v/>
      </c>
      <c r="D3994" t="inlineStr">
        <is>
          <t>音樂鴨,3代</t>
        </is>
      </c>
      <c r="E3994" t="inlineStr"/>
      <c r="F3994">
        <f>IMAGE("https://cf.shopee.tw/file/tw-11134207-7qul9-lhkbvd9uayz471_tn")</f>
        <v/>
      </c>
    </row>
    <row r="3995">
      <c r="A3995" t="inlineStr">
        <is>
          <t>23344412938</t>
        </is>
      </c>
      <c r="B3995" t="inlineStr">
        <is>
          <t>隔日到貨🔥 Airpods 保護套 1代 2代 3代 pro pro2 耳機套 A20 矽膠 軟殼 保護殼 蘋果</t>
        </is>
      </c>
      <c r="C3995">
        <f>IMAGE("https://cf.shopee.tw/file/tw-11134207-7qukw-lhkbizhl1pzia7_tn")</f>
        <v/>
      </c>
      <c r="D3995" t="inlineStr">
        <is>
          <t>衛衣海綿寶寶,1代/2代</t>
        </is>
      </c>
      <c r="E3995" t="inlineStr"/>
      <c r="F3995">
        <f>IMAGE("https://cf.shopee.tw/file/tw-11134207-7qul5-lhkbizhb4xhsc7_tn")</f>
        <v/>
      </c>
    </row>
    <row r="3996">
      <c r="A3996" t="inlineStr">
        <is>
          <t>23344412938</t>
        </is>
      </c>
      <c r="B3996" t="inlineStr">
        <is>
          <t>隔日到貨🔥 Airpods 保護套 1代 2代 3代 pro pro2 耳機套 A20 矽膠 軟殼 保護殼 蘋果</t>
        </is>
      </c>
      <c r="C3996">
        <f>IMAGE("https://cf.shopee.tw/file/tw-11134207-7qukw-lhkbizhl1pzia7_tn")</f>
        <v/>
      </c>
      <c r="D3996" t="inlineStr">
        <is>
          <t>衛衣海綿寶寶,3代</t>
        </is>
      </c>
      <c r="E3996" t="inlineStr"/>
      <c r="F3996">
        <f>IMAGE("https://cf.shopee.tw/file/tw-11134207-7qul5-lhkbizhb4xhsc7_tn")</f>
        <v/>
      </c>
    </row>
    <row r="3997">
      <c r="A3997" t="inlineStr">
        <is>
          <t>23344412938</t>
        </is>
      </c>
      <c r="B3997" t="inlineStr">
        <is>
          <t>隔日到貨🔥 Airpods 保護套 1代 2代 3代 pro pro2 耳機套 A20 矽膠 軟殼 保護殼 蘋果</t>
        </is>
      </c>
      <c r="C3997">
        <f>IMAGE("https://cf.shopee.tw/file/tw-11134207-7qukw-lhkbizhl1pzia7_tn")</f>
        <v/>
      </c>
      <c r="D3997" t="inlineStr">
        <is>
          <t>衛衣海綿寶寶,pro1代/pro2代</t>
        </is>
      </c>
      <c r="E3997" t="inlineStr"/>
      <c r="F3997">
        <f>IMAGE("https://cf.shopee.tw/file/tw-11134207-7qul5-lhkbizhb4xhsc7_tn")</f>
        <v/>
      </c>
    </row>
    <row r="3998">
      <c r="A3998" t="inlineStr">
        <is>
          <t>23344412938</t>
        </is>
      </c>
      <c r="B3998" t="inlineStr">
        <is>
          <t>隔日到貨🔥 Airpods 保護套 1代 2代 3代 pro pro2 耳機套 A20 矽膠 軟殼 保護殼 蘋果</t>
        </is>
      </c>
      <c r="C3998">
        <f>IMAGE("https://cf.shopee.tw/file/tw-11134207-7qukw-lhkbizhl1pzia7_tn")</f>
        <v/>
      </c>
      <c r="D3998" t="inlineStr">
        <is>
          <t>衛衣派大星,1代/2代</t>
        </is>
      </c>
      <c r="E3998" t="inlineStr"/>
      <c r="F3998">
        <f>IMAGE("https://cf.shopee.tw/file/tw-11134207-7qukw-lhkbizhl4ivk84_tn")</f>
        <v/>
      </c>
    </row>
    <row r="3999">
      <c r="A3999" t="inlineStr">
        <is>
          <t>23344412938</t>
        </is>
      </c>
      <c r="B3999" t="inlineStr">
        <is>
          <t>隔日到貨🔥 Airpods 保護套 1代 2代 3代 pro pro2 耳機套 A20 矽膠 軟殼 保護殼 蘋果</t>
        </is>
      </c>
      <c r="C3999">
        <f>IMAGE("https://cf.shopee.tw/file/tw-11134207-7qukw-lhkbizhl1pzia7_tn")</f>
        <v/>
      </c>
      <c r="D3999" t="inlineStr">
        <is>
          <t>衛衣派大星,3代</t>
        </is>
      </c>
      <c r="E3999" t="inlineStr"/>
      <c r="F3999">
        <f>IMAGE("https://cf.shopee.tw/file/tw-11134207-7qukw-lhkbizhl4ivk84_tn")</f>
        <v/>
      </c>
    </row>
    <row r="4000">
      <c r="A4000" t="inlineStr">
        <is>
          <t>23344412938</t>
        </is>
      </c>
      <c r="B4000" t="inlineStr">
        <is>
          <t>隔日到貨🔥 Airpods 保護套 1代 2代 3代 pro pro2 耳機套 A20 矽膠 軟殼 保護殼 蘋果</t>
        </is>
      </c>
      <c r="C4000">
        <f>IMAGE("https://cf.shopee.tw/file/tw-11134207-7qukw-lhkbizhl1pzia7_tn")</f>
        <v/>
      </c>
      <c r="D4000" t="inlineStr">
        <is>
          <t>衛衣派大星,pro1代/pro2代</t>
        </is>
      </c>
      <c r="E4000" t="inlineStr">
        <is>
          <t>225274964235</t>
        </is>
      </c>
      <c r="F4000">
        <f>IMAGE("https://cf.shopee.tw/file/tw-11134207-7qukw-lhkbizhl4ivk84_tn")</f>
        <v/>
      </c>
    </row>
    <row r="4001">
      <c r="A4001" t="inlineStr">
        <is>
          <t>23344412938</t>
        </is>
      </c>
      <c r="B4001" t="inlineStr">
        <is>
          <t>隔日到貨🔥 Airpods 保護套 1代 2代 3代 pro pro2 耳機套 A20 矽膠 軟殼 保護殼 蘋果</t>
        </is>
      </c>
      <c r="C4001">
        <f>IMAGE("https://cf.shopee.tw/file/tw-11134207-7qukw-lhkbizhl1pzia7_tn")</f>
        <v/>
      </c>
      <c r="D4001" t="inlineStr">
        <is>
          <t>米白色鯊魚,1代/2代</t>
        </is>
      </c>
      <c r="E4001" t="inlineStr">
        <is>
          <t>225274964221</t>
        </is>
      </c>
      <c r="F4001">
        <f>IMAGE("https://cf.shopee.tw/file/tw-11134207-7qul2-lhkbizhaphhq26_tn")</f>
        <v/>
      </c>
    </row>
    <row r="4002">
      <c r="A4002" t="inlineStr">
        <is>
          <t>23344412938</t>
        </is>
      </c>
      <c r="B4002" t="inlineStr">
        <is>
          <t>隔日到貨🔥 Airpods 保護套 1代 2代 3代 pro pro2 耳機套 A20 矽膠 軟殼 保護殼 蘋果</t>
        </is>
      </c>
      <c r="C4002">
        <f>IMAGE("https://cf.shopee.tw/file/tw-11134207-7qukw-lhkbizhl1pzia7_tn")</f>
        <v/>
      </c>
      <c r="D4002" t="inlineStr">
        <is>
          <t>米白色鯊魚,3代</t>
        </is>
      </c>
      <c r="E4002" t="inlineStr"/>
      <c r="F4002">
        <f>IMAGE("https://cf.shopee.tw/file/tw-11134207-7qul2-lhkbizhaphhq26_tn")</f>
        <v/>
      </c>
    </row>
    <row r="4003">
      <c r="A4003" t="inlineStr">
        <is>
          <t>23344412938</t>
        </is>
      </c>
      <c r="B4003" t="inlineStr">
        <is>
          <t>隔日到貨🔥 Airpods 保護套 1代 2代 3代 pro pro2 耳機套 A20 矽膠 軟殼 保護殼 蘋果</t>
        </is>
      </c>
      <c r="C4003">
        <f>IMAGE("https://cf.shopee.tw/file/tw-11134207-7qukw-lhkbizhl1pzia7_tn")</f>
        <v/>
      </c>
      <c r="D4003" t="inlineStr">
        <is>
          <t>米白色鯊魚,pro1代/pro2代</t>
        </is>
      </c>
      <c r="E4003" t="inlineStr"/>
      <c r="F4003">
        <f>IMAGE("https://cf.shopee.tw/file/tw-11134207-7qul2-lhkbizhaphhq26_tn")</f>
        <v/>
      </c>
    </row>
    <row r="4004">
      <c r="A4004" t="inlineStr">
        <is>
          <t>23344412938</t>
        </is>
      </c>
      <c r="B4004" t="inlineStr">
        <is>
          <t>隔日到貨🔥 Airpods 保護套 1代 2代 3代 pro pro2 耳機套 A20 矽膠 軟殼 保護殼 蘋果</t>
        </is>
      </c>
      <c r="C4004">
        <f>IMAGE("https://cf.shopee.tw/file/tw-11134207-7qukw-lhkbizhl1pzia7_tn")</f>
        <v/>
      </c>
      <c r="D4004" t="inlineStr">
        <is>
          <t>香蕉,1代/2代</t>
        </is>
      </c>
      <c r="E4004" t="inlineStr"/>
      <c r="F4004">
        <f>IMAGE("https://cf.shopee.tw/file/tw-11134207-7qul5-lhkbizhaph8w9c_tn")</f>
        <v/>
      </c>
    </row>
    <row r="4005">
      <c r="A4005" t="inlineStr">
        <is>
          <t>23344412938</t>
        </is>
      </c>
      <c r="B4005" t="inlineStr">
        <is>
          <t>隔日到貨🔥 Airpods 保護套 1代 2代 3代 pro pro2 耳機套 A20 矽膠 軟殼 保護殼 蘋果</t>
        </is>
      </c>
      <c r="C4005">
        <f>IMAGE("https://cf.shopee.tw/file/tw-11134207-7qukw-lhkbizhl1pzia7_tn")</f>
        <v/>
      </c>
      <c r="D4005" t="inlineStr">
        <is>
          <t>香蕉,3代</t>
        </is>
      </c>
      <c r="E4005" t="inlineStr"/>
      <c r="F4005">
        <f>IMAGE("https://cf.shopee.tw/file/tw-11134207-7qul5-lhkbizhaph8w9c_tn")</f>
        <v/>
      </c>
    </row>
    <row r="4006">
      <c r="A4006" t="inlineStr">
        <is>
          <t>23344412938</t>
        </is>
      </c>
      <c r="B4006" t="inlineStr">
        <is>
          <t>隔日到貨🔥 Airpods 保護套 1代 2代 3代 pro pro2 耳機套 A20 矽膠 軟殼 保護殼 蘋果</t>
        </is>
      </c>
      <c r="C4006">
        <f>IMAGE("https://cf.shopee.tw/file/tw-11134207-7qukw-lhkbizhl1pzia7_tn")</f>
        <v/>
      </c>
      <c r="D4006" t="inlineStr">
        <is>
          <t>香蕉,pro1代/pro2代</t>
        </is>
      </c>
      <c r="E4006" t="inlineStr"/>
      <c r="F4006">
        <f>IMAGE("https://cf.shopee.tw/file/tw-11134207-7qul5-lhkbizhaph8w9c_tn")</f>
        <v/>
      </c>
    </row>
    <row r="4007">
      <c r="A4007" t="inlineStr">
        <is>
          <t>23344412938</t>
        </is>
      </c>
      <c r="B4007" t="inlineStr">
        <is>
          <t>隔日到貨🔥 Airpods 保護套 1代 2代 3代 pro pro2 耳機套 A20 矽膠 軟殼 保護殼 蘋果</t>
        </is>
      </c>
      <c r="C4007">
        <f>IMAGE("https://cf.shopee.tw/file/tw-11134207-7qukw-lhkbizhl1pzia7_tn")</f>
        <v/>
      </c>
      <c r="D4007" t="inlineStr">
        <is>
          <t>宇航員,1代/2代</t>
        </is>
      </c>
      <c r="E4007" t="inlineStr"/>
      <c r="F4007">
        <f>IMAGE("https://cf.shopee.tw/file/tw-11134207-7qul3-lhkbizhknob215_tn")</f>
        <v/>
      </c>
    </row>
    <row r="4008">
      <c r="A4008" t="inlineStr">
        <is>
          <t>23344412938</t>
        </is>
      </c>
      <c r="B4008" t="inlineStr">
        <is>
          <t>隔日到貨🔥 Airpods 保護套 1代 2代 3代 pro pro2 耳機套 A20 矽膠 軟殼 保護殼 蘋果</t>
        </is>
      </c>
      <c r="C4008">
        <f>IMAGE("https://cf.shopee.tw/file/tw-11134207-7qukw-lhkbizhl1pzia7_tn")</f>
        <v/>
      </c>
      <c r="D4008" t="inlineStr">
        <is>
          <t>宇航員,3代</t>
        </is>
      </c>
      <c r="E4008" t="inlineStr"/>
      <c r="F4008">
        <f>IMAGE("https://cf.shopee.tw/file/tw-11134207-7qul3-lhkbizhknob215_tn")</f>
        <v/>
      </c>
    </row>
    <row r="4009">
      <c r="A4009" t="inlineStr">
        <is>
          <t>23344412938</t>
        </is>
      </c>
      <c r="B4009" t="inlineStr">
        <is>
          <t>隔日到貨🔥 Airpods 保護套 1代 2代 3代 pro pro2 耳機套 A20 矽膠 軟殼 保護殼 蘋果</t>
        </is>
      </c>
      <c r="C4009">
        <f>IMAGE("https://cf.shopee.tw/file/tw-11134207-7qukw-lhkbizhl1pzia7_tn")</f>
        <v/>
      </c>
      <c r="D4009" t="inlineStr">
        <is>
          <t>宇航員,pro1代/pro2代</t>
        </is>
      </c>
      <c r="E4009" t="inlineStr"/>
      <c r="F4009">
        <f>IMAGE("https://cf.shopee.tw/file/tw-11134207-7qul3-lhkbizhknob215_tn")</f>
        <v/>
      </c>
    </row>
    <row r="4010">
      <c r="A4010" t="inlineStr">
        <is>
          <t>23344412938</t>
        </is>
      </c>
      <c r="B4010" t="inlineStr">
        <is>
          <t>隔日到貨🔥 Airpods 保護套 1代 2代 3代 pro pro2 耳機套 A20 矽膠 軟殼 保護殼 蘋果</t>
        </is>
      </c>
      <c r="C4010">
        <f>IMAGE("https://cf.shopee.tw/file/tw-11134207-7qukw-lhkbizhl1pzia7_tn")</f>
        <v/>
      </c>
      <c r="D4010" t="inlineStr">
        <is>
          <t>黑色貓爪,1代/2代</t>
        </is>
      </c>
      <c r="E4010" t="inlineStr">
        <is>
          <t>225274964208</t>
        </is>
      </c>
      <c r="F4010">
        <f>IMAGE("https://cf.shopee.tw/file/tw-11134207-7quky-lhkbizhl34jye5_tn")</f>
        <v/>
      </c>
    </row>
    <row r="4011">
      <c r="A4011" t="inlineStr">
        <is>
          <t>23344412938</t>
        </is>
      </c>
      <c r="B4011" t="inlineStr">
        <is>
          <t>隔日到貨🔥 Airpods 保護套 1代 2代 3代 pro pro2 耳機套 A20 矽膠 軟殼 保護殼 蘋果</t>
        </is>
      </c>
      <c r="C4011">
        <f>IMAGE("https://cf.shopee.tw/file/tw-11134207-7qukw-lhkbizhl1pzia7_tn")</f>
        <v/>
      </c>
      <c r="D4011" t="inlineStr">
        <is>
          <t>黑色貓爪,3代</t>
        </is>
      </c>
      <c r="E4011" t="inlineStr"/>
      <c r="F4011">
        <f>IMAGE("https://cf.shopee.tw/file/tw-11134207-7quky-lhkbizhl34jye5_tn")</f>
        <v/>
      </c>
    </row>
    <row r="4012">
      <c r="A4012" t="inlineStr">
        <is>
          <t>23344412938</t>
        </is>
      </c>
      <c r="B4012" t="inlineStr">
        <is>
          <t>隔日到貨🔥 Airpods 保護套 1代 2代 3代 pro pro2 耳機套 A20 矽膠 軟殼 保護殼 蘋果</t>
        </is>
      </c>
      <c r="C4012">
        <f>IMAGE("https://cf.shopee.tw/file/tw-11134207-7qukw-lhkbizhl1pzia7_tn")</f>
        <v/>
      </c>
      <c r="D4012" t="inlineStr">
        <is>
          <t>粉色貓爪,1代/2代</t>
        </is>
      </c>
      <c r="E4012" t="inlineStr"/>
      <c r="F4012">
        <f>IMAGE("https://cf.shopee.tw/file/tw-11134207-7qula-lhkbizhkp2mo7e_tn")</f>
        <v/>
      </c>
    </row>
    <row r="4013">
      <c r="A4013" t="inlineStr">
        <is>
          <t>23344412938</t>
        </is>
      </c>
      <c r="B4013" t="inlineStr">
        <is>
          <t>隔日到貨🔥 Airpods 保護套 1代 2代 3代 pro pro2 耳機套 A20 矽膠 軟殼 保護殼 蘋果</t>
        </is>
      </c>
      <c r="C4013">
        <f>IMAGE("https://cf.shopee.tw/file/tw-11134207-7qukw-lhkbizhl1pzia7_tn")</f>
        <v/>
      </c>
      <c r="D4013" t="inlineStr">
        <is>
          <t>粉色貓爪,3代</t>
        </is>
      </c>
      <c r="E4013" t="inlineStr">
        <is>
          <t>225274964222</t>
        </is>
      </c>
      <c r="F4013">
        <f>IMAGE("https://cf.shopee.tw/file/tw-11134207-7qula-lhkbizhkp2mo7e_tn")</f>
        <v/>
      </c>
    </row>
    <row r="4014">
      <c r="A4014" t="inlineStr">
        <is>
          <t>23344412938</t>
        </is>
      </c>
      <c r="B4014" t="inlineStr">
        <is>
          <t>隔日到貨🔥 Airpods 保護套 1代 2代 3代 pro pro2 耳機套 A20 矽膠 軟殼 保護殼 蘋果</t>
        </is>
      </c>
      <c r="C4014">
        <f>IMAGE("https://cf.shopee.tw/file/tw-11134207-7qukw-lhkbizhl1pzia7_tn")</f>
        <v/>
      </c>
      <c r="D4014" t="inlineStr">
        <is>
          <t>粉色貓爪,pro1代/pro2代</t>
        </is>
      </c>
      <c r="E4014" t="inlineStr">
        <is>
          <t>225274964234</t>
        </is>
      </c>
      <c r="F4014">
        <f>IMAGE("https://cf.shopee.tw/file/tw-11134207-7qula-lhkbizhkp2mo7e_tn")</f>
        <v/>
      </c>
    </row>
    <row r="4015">
      <c r="A4015" t="inlineStr">
        <is>
          <t>23344412938</t>
        </is>
      </c>
      <c r="B4015" t="inlineStr">
        <is>
          <t>隔日到貨🔥 Airpods 保護套 1代 2代 3代 pro pro2 耳機套 A20 矽膠 軟殼 保護殼 蘋果</t>
        </is>
      </c>
      <c r="C4015">
        <f>IMAGE("https://cf.shopee.tw/file/tw-11134207-7qukw-lhkbizhl1pzia7_tn")</f>
        <v/>
      </c>
      <c r="D4015" t="inlineStr">
        <is>
          <t>書包鴨,1代/2代</t>
        </is>
      </c>
      <c r="E4015" t="inlineStr"/>
      <c r="F4015">
        <f>IMAGE("https://cf.shopee.tw/file/tw-11134207-7qul3-lhkbizhljz4g3e_tn")</f>
        <v/>
      </c>
    </row>
    <row r="4016">
      <c r="A4016" t="inlineStr">
        <is>
          <t>23344412938</t>
        </is>
      </c>
      <c r="B4016" t="inlineStr">
        <is>
          <t>隔日到貨🔥 Airpods 保護套 1代 2代 3代 pro pro2 耳機套 A20 矽膠 軟殼 保護殼 蘋果</t>
        </is>
      </c>
      <c r="C4016">
        <f>IMAGE("https://cf.shopee.tw/file/tw-11134207-7qukw-lhkbizhl1pzia7_tn")</f>
        <v/>
      </c>
      <c r="D4016" t="inlineStr">
        <is>
          <t>書包鴨,3代</t>
        </is>
      </c>
      <c r="E4016" t="inlineStr"/>
      <c r="F4016">
        <f>IMAGE("https://cf.shopee.tw/file/tw-11134207-7qul3-lhkbizhljz4g3e_tn")</f>
        <v/>
      </c>
    </row>
    <row r="4017">
      <c r="A4017" t="inlineStr">
        <is>
          <t>23344412938</t>
        </is>
      </c>
      <c r="B4017" t="inlineStr">
        <is>
          <t>隔日到貨🔥 Airpods 保護套 1代 2代 3代 pro pro2 耳機套 A20 矽膠 軟殼 保護殼 蘋果</t>
        </is>
      </c>
      <c r="C4017">
        <f>IMAGE("https://cf.shopee.tw/file/tw-11134207-7qukw-lhkbizhl1pzia7_tn")</f>
        <v/>
      </c>
      <c r="D4017" t="inlineStr">
        <is>
          <t>書包鴨,pro1代/pro2代</t>
        </is>
      </c>
      <c r="E4017" t="inlineStr"/>
      <c r="F4017">
        <f>IMAGE("https://cf.shopee.tw/file/tw-11134207-7qul3-lhkbizhljz4g3e_tn")</f>
        <v/>
      </c>
    </row>
    <row r="4018">
      <c r="A4018" t="inlineStr">
        <is>
          <t>23344412938</t>
        </is>
      </c>
      <c r="B4018" t="inlineStr">
        <is>
          <t>隔日到貨🔥 Airpods 保護套 1代 2代 3代 pro pro2 耳機套 A20 矽膠 軟殼 保護殼 蘋果</t>
        </is>
      </c>
      <c r="C4018">
        <f>IMAGE("https://cf.shopee.tw/file/tw-11134207-7qukw-lhkbizhl1pzia7_tn")</f>
        <v/>
      </c>
      <c r="D4018" t="inlineStr">
        <is>
          <t>綠色萌萌龍,1代/2代</t>
        </is>
      </c>
      <c r="E4018" t="inlineStr"/>
      <c r="F4018">
        <f>IMAGE("https://cf.shopee.tw/file/tw-11134207-7qul7-lhkbizhlv7o066_tn")</f>
        <v/>
      </c>
    </row>
    <row r="4019">
      <c r="A4019" t="inlineStr">
        <is>
          <t>23344412938</t>
        </is>
      </c>
      <c r="B4019" t="inlineStr">
        <is>
          <t>隔日到貨🔥 Airpods 保護套 1代 2代 3代 pro pro2 耳機套 A20 矽膠 軟殼 保護殼 蘋果</t>
        </is>
      </c>
      <c r="C4019">
        <f>IMAGE("https://cf.shopee.tw/file/tw-11134207-7qukw-lhkbizhl1pzia7_tn")</f>
        <v/>
      </c>
      <c r="D4019" t="inlineStr">
        <is>
          <t>綠色萌萌龍,3代</t>
        </is>
      </c>
      <c r="E4019" t="inlineStr"/>
      <c r="F4019">
        <f>IMAGE("https://cf.shopee.tw/file/tw-11134207-7qul7-lhkbizhlv7o066_tn")</f>
        <v/>
      </c>
    </row>
    <row r="4020">
      <c r="A4020" t="inlineStr">
        <is>
          <t>23344412938</t>
        </is>
      </c>
      <c r="B4020" t="inlineStr">
        <is>
          <t>隔日到貨🔥 Airpods 保護套 1代 2代 3代 pro pro2 耳機套 A20 矽膠 軟殼 保護殼 蘋果</t>
        </is>
      </c>
      <c r="C4020">
        <f>IMAGE("https://cf.shopee.tw/file/tw-11134207-7qukw-lhkbizhl1pzia7_tn")</f>
        <v/>
      </c>
      <c r="D4020" t="inlineStr">
        <is>
          <t>綠色萌萌龍,pro1代/pro2代</t>
        </is>
      </c>
      <c r="E4020" t="inlineStr"/>
      <c r="F4020">
        <f>IMAGE("https://cf.shopee.tw/file/tw-11134207-7qul7-lhkbizhlv7o066_tn")</f>
        <v/>
      </c>
    </row>
    <row r="4021">
      <c r="A4021" t="inlineStr">
        <is>
          <t>23344412938</t>
        </is>
      </c>
      <c r="B4021" t="inlineStr">
        <is>
          <t>隔日到貨🔥 Airpods 保護套 1代 2代 3代 pro pro2 耳機套 A20 矽膠 軟殼 保護殼 蘋果</t>
        </is>
      </c>
      <c r="C4021">
        <f>IMAGE("https://cf.shopee.tw/file/tw-11134207-7qukw-lhkbizhl1pzia7_tn")</f>
        <v/>
      </c>
      <c r="D4021" t="inlineStr">
        <is>
          <t>大頭柯基,1代/2代</t>
        </is>
      </c>
      <c r="E4021" t="inlineStr"/>
      <c r="F4021">
        <f>IMAGE("https://cf.shopee.tw/file/tw-11134207-7qul3-lhkbvd9u9keo9c_tn")</f>
        <v/>
      </c>
    </row>
    <row r="4022">
      <c r="A4022" t="inlineStr">
        <is>
          <t>23344412938</t>
        </is>
      </c>
      <c r="B4022" t="inlineStr">
        <is>
          <t>隔日到貨🔥 Airpods 保護套 1代 2代 3代 pro pro2 耳機套 A20 矽膠 軟殼 保護殼 蘋果</t>
        </is>
      </c>
      <c r="C4022">
        <f>IMAGE("https://cf.shopee.tw/file/tw-11134207-7qukw-lhkbizhl1pzia7_tn")</f>
        <v/>
      </c>
      <c r="D4022" t="inlineStr">
        <is>
          <t>大頭柯基,3代</t>
        </is>
      </c>
      <c r="E4022" t="inlineStr"/>
      <c r="F4022">
        <f>IMAGE("https://cf.shopee.tw/file/tw-11134207-7qul3-lhkbvd9u9keo9c_tn")</f>
        <v/>
      </c>
    </row>
    <row r="4023">
      <c r="A4023" t="inlineStr">
        <is>
          <t>23344412938</t>
        </is>
      </c>
      <c r="B4023" t="inlineStr">
        <is>
          <t>隔日到貨🔥 Airpods 保護套 1代 2代 3代 pro pro2 耳機套 A20 矽膠 軟殼 保護殼 蘋果</t>
        </is>
      </c>
      <c r="C4023">
        <f>IMAGE("https://cf.shopee.tw/file/tw-11134207-7qukw-lhkbizhl1pzia7_tn")</f>
        <v/>
      </c>
      <c r="D4023" t="inlineStr">
        <is>
          <t>大頭柯基,pro1代/pro2代</t>
        </is>
      </c>
      <c r="E4023" t="inlineStr"/>
      <c r="F4023">
        <f>IMAGE("https://cf.shopee.tw/file/tw-11134207-7qul3-lhkbvd9u9keo9c_tn")</f>
        <v/>
      </c>
    </row>
    <row r="4024">
      <c r="A4024" t="inlineStr">
        <is>
          <t>23344412938</t>
        </is>
      </c>
      <c r="B4024" t="inlineStr">
        <is>
          <t>隔日到貨🔥 Airpods 保護套 1代 2代 3代 pro pro2 耳機套 A20 矽膠 軟殼 保護殼 蘋果</t>
        </is>
      </c>
      <c r="C4024">
        <f>IMAGE("https://cf.shopee.tw/file/tw-11134207-7qukw-lhkbizhl1pzia7_tn")</f>
        <v/>
      </c>
      <c r="D4024" t="inlineStr">
        <is>
          <t>音樂鴨,1代/2代</t>
        </is>
      </c>
      <c r="E4024" t="inlineStr"/>
      <c r="F4024">
        <f>IMAGE("https://cf.shopee.tw/file/tw-11134207-7qul9-lhkbvd9uayz471_tn")</f>
        <v/>
      </c>
    </row>
    <row r="4025">
      <c r="A4025" t="inlineStr">
        <is>
          <t>23344412938</t>
        </is>
      </c>
      <c r="B4025" t="inlineStr">
        <is>
          <t>隔日到貨🔥 Airpods 保護套 1代 2代 3代 pro pro2 耳機套 A20 矽膠 軟殼 保護殼 蘋果</t>
        </is>
      </c>
      <c r="C4025">
        <f>IMAGE("https://cf.shopee.tw/file/tw-11134207-7qukw-lhkbizhl1pzia7_tn")</f>
        <v/>
      </c>
      <c r="D4025" t="inlineStr">
        <is>
          <t>音樂鴨,pro1代/pro2代</t>
        </is>
      </c>
      <c r="E4025" t="inlineStr">
        <is>
          <t>225274964232</t>
        </is>
      </c>
      <c r="F4025">
        <f>IMAGE("https://cf.shopee.tw/file/tw-11134207-7qul9-lhkbvd9uayz471_tn")</f>
        <v/>
      </c>
    </row>
    <row r="4026">
      <c r="A4026" t="inlineStr">
        <is>
          <t>23344412938</t>
        </is>
      </c>
      <c r="B4026" t="inlineStr">
        <is>
          <t>隔日到貨🔥 Airpods 保護套 1代 2代 3代 pro pro2 耳機套 A20 矽膠 軟殼 保護殼 蘋果</t>
        </is>
      </c>
      <c r="C4026">
        <f>IMAGE("https://cf.shopee.tw/file/tw-11134207-7qukw-lhkbizhl1pzia7_tn")</f>
        <v/>
      </c>
      <c r="D4026" t="inlineStr">
        <is>
          <t>粉色香腸嘴,1代/2代</t>
        </is>
      </c>
      <c r="E4026" t="inlineStr"/>
      <c r="F4026">
        <f>IMAGE("https://cf.shopee.tw/file/tw-11134207-7qul7-lhkby62isudq6f_tn")</f>
        <v/>
      </c>
    </row>
    <row r="4027">
      <c r="A4027" t="inlineStr">
        <is>
          <t>23344412938</t>
        </is>
      </c>
      <c r="B4027" t="inlineStr">
        <is>
          <t>隔日到貨🔥 Airpods 保護套 1代 2代 3代 pro pro2 耳機套 A20 矽膠 軟殼 保護殼 蘋果</t>
        </is>
      </c>
      <c r="C4027">
        <f>IMAGE("https://cf.shopee.tw/file/tw-11134207-7qukw-lhkbizhl1pzia7_tn")</f>
        <v/>
      </c>
      <c r="D4027" t="inlineStr">
        <is>
          <t>粉色香腸嘴,3代</t>
        </is>
      </c>
      <c r="E4027" t="inlineStr">
        <is>
          <t>156884110841</t>
        </is>
      </c>
      <c r="F4027">
        <f>IMAGE("https://cf.shopee.tw/file/tw-11134207-7qul7-lhkby62isudq6f_tn")</f>
        <v/>
      </c>
    </row>
    <row r="4028">
      <c r="A4028" t="inlineStr">
        <is>
          <t>23344412938</t>
        </is>
      </c>
      <c r="B4028" t="inlineStr">
        <is>
          <t>隔日到貨🔥 Airpods 保護套 1代 2代 3代 pro pro2 耳機套 A20 矽膠 軟殼 保護殼 蘋果</t>
        </is>
      </c>
      <c r="C4028">
        <f>IMAGE("https://cf.shopee.tw/file/tw-11134207-7qukw-lhkbizhl1pzia7_tn")</f>
        <v/>
      </c>
      <c r="D4028" t="inlineStr">
        <is>
          <t>粉色香腸嘴,pro1代/pro2代</t>
        </is>
      </c>
      <c r="E4028" t="inlineStr">
        <is>
          <t>156884110843</t>
        </is>
      </c>
      <c r="F4028">
        <f>IMAGE("https://cf.shopee.tw/file/tw-11134207-7qul7-lhkby62isudq6f_tn")</f>
        <v/>
      </c>
    </row>
    <row r="4029">
      <c r="A4029" t="inlineStr">
        <is>
          <t>9696065774</t>
        </is>
      </c>
      <c r="B4029" t="inlineStr">
        <is>
          <t>隔日到貨🔥 純色 Airpods pro 1代 2代 3代 4代 軟殼 保護殼 A14 防摔殼 附掛飾 保護套 耳機殼</t>
        </is>
      </c>
      <c r="C4029">
        <f>IMAGE("https://cf.shopee.tw/file/sg-11134201-22120-iqaha5fsyskv7c_tn")</f>
        <v/>
      </c>
      <c r="D4029" t="inlineStr">
        <is>
          <t>粉色 + 掛飾,4代</t>
        </is>
      </c>
      <c r="E4029" t="inlineStr"/>
      <c r="F4029">
        <f>IMAGE("https://cf.shopee.tw/file/9e015f685f186c43c3ca87f74b141b87_tn")</f>
        <v/>
      </c>
    </row>
    <row r="4030">
      <c r="A4030" t="inlineStr">
        <is>
          <t>9696065774</t>
        </is>
      </c>
      <c r="B4030" t="inlineStr">
        <is>
          <t>隔日到貨🔥 純色 Airpods pro 1代 2代 3代 4代 軟殼 保護殼 A14 防摔殼 附掛飾 保護套 耳機殼</t>
        </is>
      </c>
      <c r="C4030">
        <f>IMAGE("https://cf.shopee.tw/file/sg-11134201-22120-iqaha5fsyskv7c_tn")</f>
        <v/>
      </c>
      <c r="D4030" t="inlineStr">
        <is>
          <t>玫瑰紅 + 掛飾,4代</t>
        </is>
      </c>
      <c r="E4030" t="inlineStr"/>
      <c r="F4030">
        <f>IMAGE("https://cf.shopee.tw/file/8c34fa2fefaa81d81ed6bdb71d3fcd2d_tn")</f>
        <v/>
      </c>
    </row>
    <row r="4031">
      <c r="A4031" t="inlineStr">
        <is>
          <t>9696065774</t>
        </is>
      </c>
      <c r="B4031" t="inlineStr">
        <is>
          <t>隔日到貨🔥 純色 Airpods pro 1代 2代 3代 4代 軟殼 保護殼 A14 防摔殼 附掛飾 保護套 耳機殼</t>
        </is>
      </c>
      <c r="C4031">
        <f>IMAGE("https://cf.shopee.tw/file/sg-11134201-22120-iqaha5fsyskv7c_tn")</f>
        <v/>
      </c>
      <c r="D4031" t="inlineStr">
        <is>
          <t>黑色 + 掛飾,1代 / 2代</t>
        </is>
      </c>
      <c r="E4031" t="inlineStr"/>
      <c r="F4031">
        <f>IMAGE("https://cf.shopee.tw/file/270496a0a9ed4d78f142678df0915c75_tn")</f>
        <v/>
      </c>
    </row>
    <row r="4032">
      <c r="A4032" t="inlineStr">
        <is>
          <t>9696065774</t>
        </is>
      </c>
      <c r="B4032" t="inlineStr">
        <is>
          <t>隔日到貨🔥 純色 Airpods pro 1代 2代 3代 4代 軟殼 保護殼 A14 防摔殼 附掛飾 保護套 耳機殼</t>
        </is>
      </c>
      <c r="C4032">
        <f>IMAGE("https://cf.shopee.tw/file/sg-11134201-22120-iqaha5fsyskv7c_tn")</f>
        <v/>
      </c>
      <c r="D4032" t="inlineStr">
        <is>
          <t>黑色 + 掛飾,Pro1代/Pro2代 (通用）</t>
        </is>
      </c>
      <c r="E4032" t="inlineStr">
        <is>
          <t>57673144931</t>
        </is>
      </c>
      <c r="F4032">
        <f>IMAGE("https://cf.shopee.tw/file/270496a0a9ed4d78f142678df0915c75_tn")</f>
        <v/>
      </c>
    </row>
    <row r="4033">
      <c r="A4033" t="inlineStr">
        <is>
          <t>9696065774</t>
        </is>
      </c>
      <c r="B4033" t="inlineStr">
        <is>
          <t>隔日到貨🔥 純色 Airpods pro 1代 2代 3代 4代 軟殼 保護殼 A14 防摔殼 附掛飾 保護套 耳機殼</t>
        </is>
      </c>
      <c r="C4033">
        <f>IMAGE("https://cf.shopee.tw/file/sg-11134201-22120-iqaha5fsyskv7c_tn")</f>
        <v/>
      </c>
      <c r="D4033" t="inlineStr">
        <is>
          <t>黑色 + 掛飾,3代</t>
        </is>
      </c>
      <c r="E4033" t="inlineStr">
        <is>
          <t>115479647555</t>
        </is>
      </c>
      <c r="F4033">
        <f>IMAGE("https://cf.shopee.tw/file/270496a0a9ed4d78f142678df0915c75_tn")</f>
        <v/>
      </c>
    </row>
    <row r="4034">
      <c r="A4034" t="inlineStr">
        <is>
          <t>9696065774</t>
        </is>
      </c>
      <c r="B4034" t="inlineStr">
        <is>
          <t>隔日到貨🔥 純色 Airpods pro 1代 2代 3代 4代 軟殼 保護殼 A14 防摔殼 附掛飾 保護套 耳機殼</t>
        </is>
      </c>
      <c r="C4034">
        <f>IMAGE("https://cf.shopee.tw/file/sg-11134201-22120-iqaha5fsyskv7c_tn")</f>
        <v/>
      </c>
      <c r="D4034" t="inlineStr">
        <is>
          <t>黑色 + 掛飾,4代</t>
        </is>
      </c>
      <c r="E4034" t="inlineStr">
        <is>
          <t>187841994578</t>
        </is>
      </c>
      <c r="F4034">
        <f>IMAGE("https://cf.shopee.tw/file/270496a0a9ed4d78f142678df0915c75_tn")</f>
        <v/>
      </c>
    </row>
    <row r="4035">
      <c r="A4035" t="inlineStr">
        <is>
          <t>9696065774</t>
        </is>
      </c>
      <c r="B4035" t="inlineStr">
        <is>
          <t>隔日到貨🔥 純色 Airpods pro 1代 2代 3代 4代 軟殼 保護殼 A14 防摔殼 附掛飾 保護套 耳機殼</t>
        </is>
      </c>
      <c r="C4035">
        <f>IMAGE("https://cf.shopee.tw/file/sg-11134201-22120-iqaha5fsyskv7c_tn")</f>
        <v/>
      </c>
      <c r="D4035" t="inlineStr">
        <is>
          <t>白色 + 掛飾,1代 / 2代</t>
        </is>
      </c>
      <c r="E4035" t="inlineStr">
        <is>
          <t>57673144932</t>
        </is>
      </c>
      <c r="F4035">
        <f>IMAGE("https://cf.shopee.tw/file/fc8066221fa9ac1df4e42539db15e963_tn")</f>
        <v/>
      </c>
    </row>
    <row r="4036">
      <c r="A4036" t="inlineStr">
        <is>
          <t>9696065774</t>
        </is>
      </c>
      <c r="B4036" t="inlineStr">
        <is>
          <t>隔日到貨🔥 純色 Airpods pro 1代 2代 3代 4代 軟殼 保護殼 A14 防摔殼 附掛飾 保護套 耳機殼</t>
        </is>
      </c>
      <c r="C4036">
        <f>IMAGE("https://cf.shopee.tw/file/sg-11134201-22120-iqaha5fsyskv7c_tn")</f>
        <v/>
      </c>
      <c r="D4036" t="inlineStr">
        <is>
          <t>白色 + 掛飾,Pro1代/Pro2代 (通用）</t>
        </is>
      </c>
      <c r="E4036" t="inlineStr">
        <is>
          <t>57673144942</t>
        </is>
      </c>
      <c r="F4036">
        <f>IMAGE("https://cf.shopee.tw/file/fc8066221fa9ac1df4e42539db15e963_tn")</f>
        <v/>
      </c>
    </row>
    <row r="4037">
      <c r="A4037" t="inlineStr">
        <is>
          <t>9696065774</t>
        </is>
      </c>
      <c r="B4037" t="inlineStr">
        <is>
          <t>隔日到貨🔥 純色 Airpods pro 1代 2代 3代 4代 軟殼 保護殼 A14 防摔殼 附掛飾 保護套 耳機殼</t>
        </is>
      </c>
      <c r="C4037">
        <f>IMAGE("https://cf.shopee.tw/file/sg-11134201-22120-iqaha5fsyskv7c_tn")</f>
        <v/>
      </c>
      <c r="D4037" t="inlineStr">
        <is>
          <t>白色 + 掛飾,3代</t>
        </is>
      </c>
      <c r="E4037" t="inlineStr">
        <is>
          <t>115479647558</t>
        </is>
      </c>
      <c r="F4037">
        <f>IMAGE("https://cf.shopee.tw/file/fc8066221fa9ac1df4e42539db15e963_tn")</f>
        <v/>
      </c>
    </row>
    <row r="4038">
      <c r="A4038" t="inlineStr">
        <is>
          <t>9696065774</t>
        </is>
      </c>
      <c r="B4038" t="inlineStr">
        <is>
          <t>隔日到貨🔥 純色 Airpods pro 1代 2代 3代 4代 軟殼 保護殼 A14 防摔殼 附掛飾 保護套 耳機殼</t>
        </is>
      </c>
      <c r="C4038">
        <f>IMAGE("https://cf.shopee.tw/file/sg-11134201-22120-iqaha5fsyskv7c_tn")</f>
        <v/>
      </c>
      <c r="D4038" t="inlineStr">
        <is>
          <t>白色 + 掛飾,4代</t>
        </is>
      </c>
      <c r="E4038" t="inlineStr">
        <is>
          <t>187841994579</t>
        </is>
      </c>
      <c r="F4038">
        <f>IMAGE("https://cf.shopee.tw/file/fc8066221fa9ac1df4e42539db15e963_tn")</f>
        <v/>
      </c>
    </row>
    <row r="4039">
      <c r="A4039" t="inlineStr">
        <is>
          <t>9696065774</t>
        </is>
      </c>
      <c r="B4039" t="inlineStr">
        <is>
          <t>隔日到貨🔥 純色 Airpods pro 1代 2代 3代 4代 軟殼 保護殼 A14 防摔殼 附掛飾 保護套 耳機殼</t>
        </is>
      </c>
      <c r="C4039">
        <f>IMAGE("https://cf.shopee.tw/file/sg-11134201-22120-iqaha5fsyskv7c_tn")</f>
        <v/>
      </c>
      <c r="D4039" t="inlineStr">
        <is>
          <t>淺紫色 + 掛飾,1代 / 2代</t>
        </is>
      </c>
      <c r="E4039" t="inlineStr"/>
      <c r="F4039">
        <f>IMAGE("https://cf.shopee.tw/file/bf222cf0c3fe7c83a01dffdd2a02f825_tn")</f>
        <v/>
      </c>
    </row>
    <row r="4040">
      <c r="A4040" t="inlineStr">
        <is>
          <t>9696065774</t>
        </is>
      </c>
      <c r="B4040" t="inlineStr">
        <is>
          <t>隔日到貨🔥 純色 Airpods pro 1代 2代 3代 4代 軟殼 保護殼 A14 防摔殼 附掛飾 保護套 耳機殼</t>
        </is>
      </c>
      <c r="C4040">
        <f>IMAGE("https://cf.shopee.tw/file/sg-11134201-22120-iqaha5fsyskv7c_tn")</f>
        <v/>
      </c>
      <c r="D4040" t="inlineStr">
        <is>
          <t>淺紫色 + 掛飾,Pro1代/Pro2代 (通用）</t>
        </is>
      </c>
      <c r="E4040" t="inlineStr"/>
      <c r="F4040">
        <f>IMAGE("https://cf.shopee.tw/file/bf222cf0c3fe7c83a01dffdd2a02f825_tn")</f>
        <v/>
      </c>
    </row>
    <row r="4041">
      <c r="A4041" t="inlineStr">
        <is>
          <t>9696065774</t>
        </is>
      </c>
      <c r="B4041" t="inlineStr">
        <is>
          <t>隔日到貨🔥 純色 Airpods pro 1代 2代 3代 4代 軟殼 保護殼 A14 防摔殼 附掛飾 保護套 耳機殼</t>
        </is>
      </c>
      <c r="C4041">
        <f>IMAGE("https://cf.shopee.tw/file/sg-11134201-22120-iqaha5fsyskv7c_tn")</f>
        <v/>
      </c>
      <c r="D4041" t="inlineStr">
        <is>
          <t>淺紫色 + 掛飾,3代</t>
        </is>
      </c>
      <c r="E4041" t="inlineStr">
        <is>
          <t>115479647559</t>
        </is>
      </c>
      <c r="F4041">
        <f>IMAGE("https://cf.shopee.tw/file/bf222cf0c3fe7c83a01dffdd2a02f825_tn")</f>
        <v/>
      </c>
    </row>
    <row r="4042">
      <c r="A4042" t="inlineStr">
        <is>
          <t>9696065774</t>
        </is>
      </c>
      <c r="B4042" t="inlineStr">
        <is>
          <t>隔日到貨🔥 純色 Airpods pro 1代 2代 3代 4代 軟殼 保護殼 A14 防摔殼 附掛飾 保護套 耳機殼</t>
        </is>
      </c>
      <c r="C4042">
        <f>IMAGE("https://cf.shopee.tw/file/sg-11134201-22120-iqaha5fsyskv7c_tn")</f>
        <v/>
      </c>
      <c r="D4042" t="inlineStr">
        <is>
          <t>淺紫色 + 掛飾,4代</t>
        </is>
      </c>
      <c r="E4042" t="inlineStr"/>
      <c r="F4042">
        <f>IMAGE("https://cf.shopee.tw/file/bf222cf0c3fe7c83a01dffdd2a02f825_tn")</f>
        <v/>
      </c>
    </row>
    <row r="4043">
      <c r="A4043" t="inlineStr">
        <is>
          <t>9696065774</t>
        </is>
      </c>
      <c r="B4043" t="inlineStr">
        <is>
          <t>隔日到貨🔥 純色 Airpods pro 1代 2代 3代 4代 軟殼 保護殼 A14 防摔殼 附掛飾 保護套 耳機殼</t>
        </is>
      </c>
      <c r="C4043">
        <f>IMAGE("https://cf.shopee.tw/file/sg-11134201-22120-iqaha5fsyskv7c_tn")</f>
        <v/>
      </c>
      <c r="D4043" t="inlineStr">
        <is>
          <t>粉色 + 掛飾,1代 / 2代</t>
        </is>
      </c>
      <c r="E4043" t="inlineStr"/>
      <c r="F4043">
        <f>IMAGE("https://cf.shopee.tw/file/9e015f685f186c43c3ca87f74b141b87_tn")</f>
        <v/>
      </c>
    </row>
    <row r="4044">
      <c r="A4044" t="inlineStr">
        <is>
          <t>9696065774</t>
        </is>
      </c>
      <c r="B4044" t="inlineStr">
        <is>
          <t>隔日到貨🔥 純色 Airpods pro 1代 2代 3代 4代 軟殼 保護殼 A14 防摔殼 附掛飾 保護套 耳機殼</t>
        </is>
      </c>
      <c r="C4044">
        <f>IMAGE("https://cf.shopee.tw/file/sg-11134201-22120-iqaha5fsyskv7c_tn")</f>
        <v/>
      </c>
      <c r="D4044" t="inlineStr">
        <is>
          <t>粉色 + 掛飾,Pro1代/Pro2代 (通用）</t>
        </is>
      </c>
      <c r="E4044" t="inlineStr"/>
      <c r="F4044">
        <f>IMAGE("https://cf.shopee.tw/file/9e015f685f186c43c3ca87f74b141b87_tn")</f>
        <v/>
      </c>
    </row>
    <row r="4045">
      <c r="A4045" t="inlineStr">
        <is>
          <t>9696065774</t>
        </is>
      </c>
      <c r="B4045" t="inlineStr">
        <is>
          <t>隔日到貨🔥 純色 Airpods pro 1代 2代 3代 4代 軟殼 保護殼 A14 防摔殼 附掛飾 保護套 耳機殼</t>
        </is>
      </c>
      <c r="C4045">
        <f>IMAGE("https://cf.shopee.tw/file/sg-11134201-22120-iqaha5fsyskv7c_tn")</f>
        <v/>
      </c>
      <c r="D4045" t="inlineStr">
        <is>
          <t>粉色 + 掛飾,3代</t>
        </is>
      </c>
      <c r="E4045" t="inlineStr">
        <is>
          <t>115479647560</t>
        </is>
      </c>
      <c r="F4045">
        <f>IMAGE("https://cf.shopee.tw/file/9e015f685f186c43c3ca87f74b141b87_tn")</f>
        <v/>
      </c>
    </row>
    <row r="4046">
      <c r="A4046" t="inlineStr">
        <is>
          <t>9696065774</t>
        </is>
      </c>
      <c r="B4046" t="inlineStr">
        <is>
          <t>隔日到貨🔥 純色 Airpods pro 1代 2代 3代 4代 軟殼 保護殼 A14 防摔殼 附掛飾 保護套 耳機殼</t>
        </is>
      </c>
      <c r="C4046">
        <f>IMAGE("https://cf.shopee.tw/file/sg-11134201-22120-iqaha5fsyskv7c_tn")</f>
        <v/>
      </c>
      <c r="D4046" t="inlineStr">
        <is>
          <t>黃色 + 掛飾,1代 / 2代</t>
        </is>
      </c>
      <c r="E4046" t="inlineStr"/>
      <c r="F4046">
        <f>IMAGE("https://cf.shopee.tw/file/ec04d0c668c9dd9b6a6333e6506cbbff_tn")</f>
        <v/>
      </c>
    </row>
    <row r="4047">
      <c r="A4047" t="inlineStr">
        <is>
          <t>9696065774</t>
        </is>
      </c>
      <c r="B4047" t="inlineStr">
        <is>
          <t>隔日到貨🔥 純色 Airpods pro 1代 2代 3代 4代 軟殼 保護殼 A14 防摔殼 附掛飾 保護套 耳機殼</t>
        </is>
      </c>
      <c r="C4047">
        <f>IMAGE("https://cf.shopee.tw/file/sg-11134201-22120-iqaha5fsyskv7c_tn")</f>
        <v/>
      </c>
      <c r="D4047" t="inlineStr">
        <is>
          <t>黃色 + 掛飾,Pro1代/Pro2代 (通用）</t>
        </is>
      </c>
      <c r="E4047" t="inlineStr">
        <is>
          <t>57673144941</t>
        </is>
      </c>
      <c r="F4047">
        <f>IMAGE("https://cf.shopee.tw/file/ec04d0c668c9dd9b6a6333e6506cbbff_tn")</f>
        <v/>
      </c>
    </row>
    <row r="4048">
      <c r="A4048" t="inlineStr">
        <is>
          <t>9696065774</t>
        </is>
      </c>
      <c r="B4048" t="inlineStr">
        <is>
          <t>隔日到貨🔥 純色 Airpods pro 1代 2代 3代 4代 軟殼 保護殼 A14 防摔殼 附掛飾 保護套 耳機殼</t>
        </is>
      </c>
      <c r="C4048">
        <f>IMAGE("https://cf.shopee.tw/file/sg-11134201-22120-iqaha5fsyskv7c_tn")</f>
        <v/>
      </c>
      <c r="D4048" t="inlineStr">
        <is>
          <t>黃色 + 掛飾,3代</t>
        </is>
      </c>
      <c r="E4048" t="inlineStr"/>
      <c r="F4048">
        <f>IMAGE("https://cf.shopee.tw/file/ec04d0c668c9dd9b6a6333e6506cbbff_tn")</f>
        <v/>
      </c>
    </row>
    <row r="4049">
      <c r="A4049" t="inlineStr">
        <is>
          <t>9696065774</t>
        </is>
      </c>
      <c r="B4049" t="inlineStr">
        <is>
          <t>隔日到貨🔥 純色 Airpods pro 1代 2代 3代 4代 軟殼 保護殼 A14 防摔殼 附掛飾 保護套 耳機殼</t>
        </is>
      </c>
      <c r="C4049">
        <f>IMAGE("https://cf.shopee.tw/file/sg-11134201-22120-iqaha5fsyskv7c_tn")</f>
        <v/>
      </c>
      <c r="D4049" t="inlineStr">
        <is>
          <t>黃色 + 掛飾,4代</t>
        </is>
      </c>
      <c r="E4049" t="inlineStr"/>
      <c r="F4049">
        <f>IMAGE("https://cf.shopee.tw/file/ec04d0c668c9dd9b6a6333e6506cbbff_tn")</f>
        <v/>
      </c>
    </row>
    <row r="4050">
      <c r="A4050" t="inlineStr">
        <is>
          <t>9696065774</t>
        </is>
      </c>
      <c r="B4050" t="inlineStr">
        <is>
          <t>隔日到貨🔥 純色 Airpods pro 1代 2代 3代 4代 軟殼 保護殼 A14 防摔殼 附掛飾 保護套 耳機殼</t>
        </is>
      </c>
      <c r="C4050">
        <f>IMAGE("https://cf.shopee.tw/file/sg-11134201-22120-iqaha5fsyskv7c_tn")</f>
        <v/>
      </c>
      <c r="D4050" t="inlineStr">
        <is>
          <t>玫瑰紅 + 掛飾,1代 / 2代</t>
        </is>
      </c>
      <c r="E4050" t="inlineStr"/>
      <c r="F4050">
        <f>IMAGE("https://cf.shopee.tw/file/8c34fa2fefaa81d81ed6bdb71d3fcd2d_tn")</f>
        <v/>
      </c>
    </row>
    <row r="4051">
      <c r="A4051" t="inlineStr">
        <is>
          <t>9696065774</t>
        </is>
      </c>
      <c r="B4051" t="inlineStr">
        <is>
          <t>隔日到貨🔥 純色 Airpods pro 1代 2代 3代 4代 軟殼 保護殼 A14 防摔殼 附掛飾 保護套 耳機殼</t>
        </is>
      </c>
      <c r="C4051">
        <f>IMAGE("https://cf.shopee.tw/file/sg-11134201-22120-iqaha5fsyskv7c_tn")</f>
        <v/>
      </c>
      <c r="D4051" t="inlineStr">
        <is>
          <t>玫瑰紅 + 掛飾,Pro1代/Pro2代 (通用）</t>
        </is>
      </c>
      <c r="E4051" t="inlineStr">
        <is>
          <t>67672664891</t>
        </is>
      </c>
      <c r="F4051">
        <f>IMAGE("https://cf.shopee.tw/file/8c34fa2fefaa81d81ed6bdb71d3fcd2d_tn")</f>
        <v/>
      </c>
    </row>
    <row r="4052">
      <c r="A4052" t="inlineStr">
        <is>
          <t>9696065774</t>
        </is>
      </c>
      <c r="B4052" t="inlineStr">
        <is>
          <t>隔日到貨🔥 純色 Airpods pro 1代 2代 3代 4代 軟殼 保護殼 A14 防摔殼 附掛飾 保護套 耳機殼</t>
        </is>
      </c>
      <c r="C4052">
        <f>IMAGE("https://cf.shopee.tw/file/sg-11134201-22120-iqaha5fsyskv7c_tn")</f>
        <v/>
      </c>
      <c r="D4052" t="inlineStr">
        <is>
          <t>玫瑰紅 + 掛飾,3代</t>
        </is>
      </c>
      <c r="E4052" t="inlineStr"/>
      <c r="F4052">
        <f>IMAGE("https://cf.shopee.tw/file/8c34fa2fefaa81d81ed6bdb71d3fcd2d_tn")</f>
        <v/>
      </c>
    </row>
    <row r="4053">
      <c r="A4053" t="inlineStr">
        <is>
          <t>9696065774</t>
        </is>
      </c>
      <c r="B4053" t="inlineStr">
        <is>
          <t>隔日到貨🔥 純色 Airpods pro 1代 2代 3代 4代 軟殼 保護殼 A14 防摔殼 附掛飾 保護套 耳機殼</t>
        </is>
      </c>
      <c r="C4053">
        <f>IMAGE("https://cf.shopee.tw/file/sg-11134201-22120-iqaha5fsyskv7c_tn")</f>
        <v/>
      </c>
      <c r="D4053" t="inlineStr">
        <is>
          <t>薄荷綠 + 掛飾,1代 / 2代</t>
        </is>
      </c>
      <c r="E4053" t="inlineStr">
        <is>
          <t>57673144933</t>
        </is>
      </c>
      <c r="F4053">
        <f>IMAGE("https://cf.shopee.tw/file/55e955d538ad9af24cd58c89bb9958b0_tn")</f>
        <v/>
      </c>
    </row>
    <row r="4054">
      <c r="A4054" t="inlineStr">
        <is>
          <t>9696065774</t>
        </is>
      </c>
      <c r="B4054" t="inlineStr">
        <is>
          <t>隔日到貨🔥 純色 Airpods pro 1代 2代 3代 4代 軟殼 保護殼 A14 防摔殼 附掛飾 保護套 耳機殼</t>
        </is>
      </c>
      <c r="C4054">
        <f>IMAGE("https://cf.shopee.tw/file/sg-11134201-22120-iqaha5fsyskv7c_tn")</f>
        <v/>
      </c>
      <c r="D4054" t="inlineStr">
        <is>
          <t>薄荷綠 + 掛飾,Pro1代/Pro2代 (通用）</t>
        </is>
      </c>
      <c r="E4054" t="inlineStr"/>
      <c r="F4054">
        <f>IMAGE("https://cf.shopee.tw/file/55e955d538ad9af24cd58c89bb9958b0_tn")</f>
        <v/>
      </c>
    </row>
    <row r="4055">
      <c r="A4055" t="inlineStr">
        <is>
          <t>9696065774</t>
        </is>
      </c>
      <c r="B4055" t="inlineStr">
        <is>
          <t>隔日到貨🔥 純色 Airpods pro 1代 2代 3代 4代 軟殼 保護殼 A14 防摔殼 附掛飾 保護套 耳機殼</t>
        </is>
      </c>
      <c r="C4055">
        <f>IMAGE("https://cf.shopee.tw/file/sg-11134201-22120-iqaha5fsyskv7c_tn")</f>
        <v/>
      </c>
      <c r="D4055" t="inlineStr">
        <is>
          <t>薄荷綠 + 掛飾,3代</t>
        </is>
      </c>
      <c r="E4055" t="inlineStr"/>
      <c r="F4055">
        <f>IMAGE("https://cf.shopee.tw/file/55e955d538ad9af24cd58c89bb9958b0_tn")</f>
        <v/>
      </c>
    </row>
    <row r="4056">
      <c r="A4056" t="inlineStr">
        <is>
          <t>9696065774</t>
        </is>
      </c>
      <c r="B4056" t="inlineStr">
        <is>
          <t>隔日到貨🔥 純色 Airpods pro 1代 2代 3代 4代 軟殼 保護殼 A14 防摔殼 附掛飾 保護套 耳機殼</t>
        </is>
      </c>
      <c r="C4056">
        <f>IMAGE("https://cf.shopee.tw/file/sg-11134201-22120-iqaha5fsyskv7c_tn")</f>
        <v/>
      </c>
      <c r="D4056" t="inlineStr">
        <is>
          <t>薄荷綠 + 掛飾,4代</t>
        </is>
      </c>
      <c r="E4056" t="inlineStr"/>
      <c r="F4056">
        <f>IMAGE("https://cf.shopee.tw/file/55e955d538ad9af24cd58c89bb9958b0_tn")</f>
        <v/>
      </c>
    </row>
    <row r="4057">
      <c r="A4057" t="inlineStr">
        <is>
          <t>24032554030</t>
        </is>
      </c>
      <c r="B4057" t="inlineStr">
        <is>
          <t>隔日到貨🔥 ins爆款 充電器保護套 20W 適用蘋果 線套 咬線器 集線器 iPhone 充電線套 充電套</t>
        </is>
      </c>
      <c r="C4057">
        <f>IMAGE("https://cf.shopee.tw/file/tw-11134207-7r98t-lwtp8xp6qwq841_tn")</f>
        <v/>
      </c>
      <c r="D4057" t="inlineStr">
        <is>
          <t>咬線器 - 企鵝漢堡薯條 (2個裝)</t>
        </is>
      </c>
      <c r="E4057" t="inlineStr"/>
      <c r="F4057">
        <f>IMAGE("https://cf.shopee.tw/file/tw-11134207-7r98r-lulvspwseitn20_tn")</f>
        <v/>
      </c>
    </row>
    <row r="4058">
      <c r="A4058" t="inlineStr">
        <is>
          <t>24032554030</t>
        </is>
      </c>
      <c r="B4058" t="inlineStr">
        <is>
          <t>隔日到貨🔥 ins爆款 充電器保護套 20W 適用蘋果 線套 咬線器 集線器 iPhone 充電線套 充電套</t>
        </is>
      </c>
      <c r="C4058">
        <f>IMAGE("https://cf.shopee.tw/file/tw-11134207-7r98t-lwtp8xp6qwq841_tn")</f>
        <v/>
      </c>
      <c r="D4058" t="inlineStr">
        <is>
          <t>套裝 - 獅子小鹿</t>
        </is>
      </c>
      <c r="E4058" t="inlineStr"/>
      <c r="F4058">
        <f>IMAGE("https://cf.shopee.tw/file/tw-11134207-7r98x-lulw3b4pmvnv6a_tn")</f>
        <v/>
      </c>
    </row>
    <row r="4059">
      <c r="A4059" t="inlineStr">
        <is>
          <t>24032554030</t>
        </is>
      </c>
      <c r="B4059" t="inlineStr">
        <is>
          <t>隔日到貨🔥 ins爆款 充電器保護套 20W 適用蘋果 線套 咬線器 集線器 iPhone 充電線套 充電套</t>
        </is>
      </c>
      <c r="C4059">
        <f>IMAGE("https://cf.shopee.tw/file/tw-11134207-7r98t-lwtp8xp6qwq841_tn")</f>
        <v/>
      </c>
      <c r="D4059" t="inlineStr">
        <is>
          <t>套裝 - 小熊大象香蕉</t>
        </is>
      </c>
      <c r="E4059" t="inlineStr"/>
      <c r="F4059">
        <f>IMAGE("https://cf.shopee.tw/file/tw-11134207-7r98s-lulw3oy7euvfac_tn")</f>
        <v/>
      </c>
    </row>
    <row r="4060">
      <c r="A4060" t="inlineStr">
        <is>
          <t>24032554030</t>
        </is>
      </c>
      <c r="B4060" t="inlineStr">
        <is>
          <t>隔日到貨🔥 ins爆款 充電器保護套 20W 適用蘋果 線套 咬線器 集線器 iPhone 充電線套 充電套</t>
        </is>
      </c>
      <c r="C4060">
        <f>IMAGE("https://cf.shopee.tw/file/tw-11134207-7r98t-lwtp8xp6qwq841_tn")</f>
        <v/>
      </c>
      <c r="D4060" t="inlineStr">
        <is>
          <t>套裝 - 貓咪狗狗貼貼</t>
        </is>
      </c>
      <c r="E4060" t="inlineStr"/>
      <c r="F4060">
        <f>IMAGE("https://cf.shopee.tw/file/tw-11134207-7r992-lulw3oy7g9fv63_tn")</f>
        <v/>
      </c>
    </row>
    <row r="4061">
      <c r="A4061" t="inlineStr">
        <is>
          <t>24032554030</t>
        </is>
      </c>
      <c r="B4061" t="inlineStr">
        <is>
          <t>隔日到貨🔥 ins爆款 充電器保護套 20W 適用蘋果 線套 咬線器 集線器 iPhone 充電線套 充電套</t>
        </is>
      </c>
      <c r="C4061">
        <f>IMAGE("https://cf.shopee.tw/file/tw-11134207-7r98t-lwtp8xp6qwq841_tn")</f>
        <v/>
      </c>
      <c r="D4061" t="inlineStr">
        <is>
          <t>咬線器 - 小熊大象香蕉 (2個裝)</t>
        </is>
      </c>
      <c r="E4061" t="inlineStr"/>
      <c r="F4061">
        <f>IMAGE("https://cf.shopee.tw/file/tw-11134207-7r98o-lulw4qsk415754_tn")</f>
        <v/>
      </c>
    </row>
    <row r="4062">
      <c r="A4062" t="inlineStr">
        <is>
          <t>24032554030</t>
        </is>
      </c>
      <c r="B4062" t="inlineStr">
        <is>
          <t>隔日到貨🔥 ins爆款 充電器保護套 20W 適用蘋果 線套 咬線器 集線器 iPhone 充電線套 充電套</t>
        </is>
      </c>
      <c r="C4062">
        <f>IMAGE("https://cf.shopee.tw/file/tw-11134207-7r98t-lwtp8xp6qwq841_tn")</f>
        <v/>
      </c>
      <c r="D4062" t="inlineStr">
        <is>
          <t>咬線器 - 貓咪狗狗貼貼 (2個裝)</t>
        </is>
      </c>
      <c r="E4062" t="inlineStr"/>
      <c r="F4062">
        <f>IMAGE("https://cf.shopee.tw/file/tw-11134207-7r990-lulw4wejtmgmb9_tn")</f>
        <v/>
      </c>
    </row>
    <row r="4063">
      <c r="A4063" t="inlineStr">
        <is>
          <t>24032554030</t>
        </is>
      </c>
      <c r="B4063" t="inlineStr">
        <is>
          <t>隔日到貨🔥 ins爆款 充電器保護套 20W 適用蘋果 線套 咬線器 集線器 iPhone 充電線套 充電套</t>
        </is>
      </c>
      <c r="C4063">
        <f>IMAGE("https://cf.shopee.tw/file/tw-11134207-7r98t-lwtp8xp6qwq841_tn")</f>
        <v/>
      </c>
      <c r="D4063" t="inlineStr">
        <is>
          <t>套裝 - 月影黑貓</t>
        </is>
      </c>
      <c r="E4063" t="inlineStr">
        <is>
          <t>118388600935</t>
        </is>
      </c>
      <c r="F4063">
        <f>IMAGE("https://cf.shopee.tw/file/tw-11134207-7r98r-lulvspwrl0qede_tn")</f>
        <v/>
      </c>
    </row>
    <row r="4064">
      <c r="A4064" t="inlineStr">
        <is>
          <t>24032554030</t>
        </is>
      </c>
      <c r="B4064" t="inlineStr">
        <is>
          <t>隔日到貨🔥 ins爆款 充電器保護套 20W 適用蘋果 線套 咬線器 集線器 iPhone 充電線套 充電套</t>
        </is>
      </c>
      <c r="C4064">
        <f>IMAGE("https://cf.shopee.tw/file/tw-11134207-7r98t-lwtp8xp6qwq841_tn")</f>
        <v/>
      </c>
      <c r="D4064" t="inlineStr">
        <is>
          <t>套裝 - 企鵝漢堡薯條</t>
        </is>
      </c>
      <c r="E4064" t="inlineStr"/>
      <c r="F4064">
        <f>IMAGE("https://cf.shopee.tw/file/tw-11134207-7r98t-lulvspwrz2krc1_tn")</f>
        <v/>
      </c>
    </row>
    <row r="4065">
      <c r="A4065" t="inlineStr">
        <is>
          <t>24032554030</t>
        </is>
      </c>
      <c r="B4065" t="inlineStr">
        <is>
          <t>隔日到貨🔥 ins爆款 充電器保護套 20W 適用蘋果 線套 咬線器 集線器 iPhone 充電線套 充電套</t>
        </is>
      </c>
      <c r="C4065">
        <f>IMAGE("https://cf.shopee.tw/file/tw-11134207-7r98t-lwtp8xp6qwq841_tn")</f>
        <v/>
      </c>
      <c r="D4065" t="inlineStr">
        <is>
          <t>套裝 - 聖誕帽棕熊</t>
        </is>
      </c>
      <c r="E4065" t="inlineStr">
        <is>
          <t>118388600937</t>
        </is>
      </c>
      <c r="F4065">
        <f>IMAGE("https://cf.shopee.tw/file/tw-11134207-7r98x-lulvspws0gza0e_tn")</f>
        <v/>
      </c>
    </row>
    <row r="4066">
      <c r="A4066" t="inlineStr">
        <is>
          <t>24032554030</t>
        </is>
      </c>
      <c r="B4066" t="inlineStr">
        <is>
          <t>隔日到貨🔥 ins爆款 充電器保護套 20W 適用蘋果 線套 咬線器 集線器 iPhone 充電線套 充電套</t>
        </is>
      </c>
      <c r="C4066">
        <f>IMAGE("https://cf.shopee.tw/file/tw-11134207-7r98t-lwtp8xp6qwq841_tn")</f>
        <v/>
      </c>
      <c r="D4066" t="inlineStr">
        <is>
          <t>套裝 - 工作卡皮巴拉</t>
        </is>
      </c>
      <c r="E4066" t="inlineStr"/>
      <c r="F4066">
        <f>IMAGE("https://cf.shopee.tw/file/tw-11134207-7r98o-lulvspwstz2j43_tn")</f>
        <v/>
      </c>
    </row>
    <row r="4067">
      <c r="A4067" t="inlineStr">
        <is>
          <t>24032554030</t>
        </is>
      </c>
      <c r="B4067" t="inlineStr">
        <is>
          <t>隔日到貨🔥 ins爆款 充電器保護套 20W 適用蘋果 線套 咬線器 集線器 iPhone 充電線套 充電套</t>
        </is>
      </c>
      <c r="C4067">
        <f>IMAGE("https://cf.shopee.tw/file/tw-11134207-7r98t-lwtp8xp6qwq841_tn")</f>
        <v/>
      </c>
      <c r="D4067" t="inlineStr">
        <is>
          <t>咬線器 - 月影黑貓 (2個裝)</t>
        </is>
      </c>
      <c r="E4067" t="inlineStr">
        <is>
          <t>118388600939</t>
        </is>
      </c>
      <c r="F4067">
        <f>IMAGE("https://cf.shopee.tw/file/tw-11134207-7r98o-lulvspwrjmbv0c_tn")</f>
        <v/>
      </c>
    </row>
    <row r="4068">
      <c r="A4068" t="inlineStr">
        <is>
          <t>24032554030</t>
        </is>
      </c>
      <c r="B4068" t="inlineStr">
        <is>
          <t>隔日到貨🔥 ins爆款 充電器保護套 20W 適用蘋果 線套 咬線器 集線器 iPhone 充電線套 充電套</t>
        </is>
      </c>
      <c r="C4068">
        <f>IMAGE("https://cf.shopee.tw/file/tw-11134207-7r98t-lwtp8xp6qwq841_tn")</f>
        <v/>
      </c>
      <c r="D4068" t="inlineStr">
        <is>
          <t>咬線器 - 聖誕帽棕熊 (2個裝)</t>
        </is>
      </c>
      <c r="E4068" t="inlineStr">
        <is>
          <t>118388600941</t>
        </is>
      </c>
      <c r="F4068">
        <f>IMAGE("https://cf.shopee.tw/file/tw-11134207-7r98t-lulw32uztcza41_tn")</f>
        <v/>
      </c>
    </row>
    <row r="4069">
      <c r="A4069" t="inlineStr">
        <is>
          <t>24032554030</t>
        </is>
      </c>
      <c r="B4069" t="inlineStr">
        <is>
          <t>隔日到貨🔥 ins爆款 充電器保護套 20W 適用蘋果 線套 咬線器 集線器 iPhone 充電線套 充電套</t>
        </is>
      </c>
      <c r="C4069">
        <f>IMAGE("https://cf.shopee.tw/file/tw-11134207-7r98t-lwtp8xp6qwq841_tn")</f>
        <v/>
      </c>
      <c r="D4069" t="inlineStr">
        <is>
          <t>咬線器 - 棕色數字 (2個裝)</t>
        </is>
      </c>
      <c r="E4069" t="inlineStr"/>
      <c r="F4069">
        <f>IMAGE("https://cf.shopee.tw/file/tw-11134207-7r98p-lulw32uzurjqbd_tn")</f>
        <v/>
      </c>
    </row>
    <row r="4070">
      <c r="A4070" t="inlineStr">
        <is>
          <t>24032554030</t>
        </is>
      </c>
      <c r="B4070" t="inlineStr">
        <is>
          <t>隔日到貨🔥 ins爆款 充電器保護套 20W 適用蘋果 線套 咬線器 集線器 iPhone 充電線套 充電套</t>
        </is>
      </c>
      <c r="C4070">
        <f>IMAGE("https://cf.shopee.tw/file/tw-11134207-7r98t-lwtp8xp6qwq841_tn")</f>
        <v/>
      </c>
      <c r="D4070" t="inlineStr">
        <is>
          <t>套裝 - 做夢卡皮巴拉</t>
        </is>
      </c>
      <c r="E4070" t="inlineStr">
        <is>
          <t>118388600944</t>
        </is>
      </c>
      <c r="F4070">
        <f>IMAGE("https://cf.shopee.tw/file/tw-11134207-7r98z-lulw3b4poa8be3_tn")</f>
        <v/>
      </c>
    </row>
    <row r="4071">
      <c r="A4071" t="inlineStr">
        <is>
          <t>24032554030</t>
        </is>
      </c>
      <c r="B4071" t="inlineStr">
        <is>
          <t>隔日到貨🔥 ins爆款 充電器保護套 20W 適用蘋果 線套 咬線器 集線器 iPhone 充電線套 充電套</t>
        </is>
      </c>
      <c r="C4071">
        <f>IMAGE("https://cf.shopee.tw/file/tw-11134207-7r98t-lwtp8xp6qwq841_tn")</f>
        <v/>
      </c>
      <c r="D4071" t="inlineStr">
        <is>
          <t>咬線器 - 獅子小鹿 (2個裝)</t>
        </is>
      </c>
      <c r="E4071" t="inlineStr">
        <is>
          <t>118388600947</t>
        </is>
      </c>
      <c r="F4071">
        <f>IMAGE("https://cf.shopee.tw/file/tw-11134207-7r98w-lulw3xrmicp726_tn")</f>
        <v/>
      </c>
    </row>
    <row r="4072">
      <c r="A4072" t="inlineStr">
        <is>
          <t>24032554030</t>
        </is>
      </c>
      <c r="B4072" t="inlineStr">
        <is>
          <t>隔日到貨🔥 ins爆款 充電器保護套 20W 適用蘋果 線套 咬線器 集線器 iPhone 充電線套 充電套</t>
        </is>
      </c>
      <c r="C4072">
        <f>IMAGE("https://cf.shopee.tw/file/tw-11134207-7r98t-lwtp8xp6qwq841_tn")</f>
        <v/>
      </c>
      <c r="D4072" t="inlineStr">
        <is>
          <t>咬線器 - 做夢卡皮巴拉 (2個裝)</t>
        </is>
      </c>
      <c r="E4072" t="inlineStr"/>
      <c r="F4072">
        <f>IMAGE("https://cf.shopee.tw/file/tw-11134207-7r98z-lulw4qsk2mkr4a_tn")</f>
        <v/>
      </c>
    </row>
    <row r="4073">
      <c r="A4073" t="inlineStr">
        <is>
          <t>9148083937</t>
        </is>
      </c>
      <c r="B4073" t="inlineStr">
        <is>
          <t>隔日到貨🔥 ins 日系拼接笑臉襪 S5 長襪 泡泡襪 長襪 中筒襪 襪子 韓風 熱銷 女襪 情侶襪 可愛襪 短襪</t>
        </is>
      </c>
      <c r="C4073">
        <f>IMAGE("https://cf.shopee.tw/file/ca5bf2219b2d5159a12f849d00f6c829_tn")</f>
        <v/>
      </c>
      <c r="D4073" t="inlineStr">
        <is>
          <t>撞色深咖啡</t>
        </is>
      </c>
      <c r="E4073" t="inlineStr"/>
      <c r="F4073">
        <f>IMAGE("https://cf.shopee.tw/file/04414ede79acd9da9212779e8e854b8d_tn")</f>
        <v/>
      </c>
    </row>
    <row r="4074">
      <c r="A4074" t="inlineStr">
        <is>
          <t>9148083937</t>
        </is>
      </c>
      <c r="B4074" t="inlineStr">
        <is>
          <t>隔日到貨🔥 ins 日系拼接笑臉襪 S5 長襪 泡泡襪 長襪 中筒襪 襪子 韓風 熱銷 女襪 情侶襪 可愛襪 短襪</t>
        </is>
      </c>
      <c r="C4074">
        <f>IMAGE("https://cf.shopee.tw/file/ca5bf2219b2d5159a12f849d00f6c829_tn")</f>
        <v/>
      </c>
      <c r="D4074" t="inlineStr">
        <is>
          <t>純色卡其</t>
        </is>
      </c>
      <c r="E4074" t="inlineStr"/>
      <c r="F4074">
        <f>IMAGE("https://cf.shopee.tw/file/dd4d1b94fa5f2ca58ecabac21fa01c8e_tn")</f>
        <v/>
      </c>
    </row>
    <row r="4075">
      <c r="A4075" t="inlineStr">
        <is>
          <t>9148083937</t>
        </is>
      </c>
      <c r="B4075" t="inlineStr">
        <is>
          <t>隔日到貨🔥 ins 日系拼接笑臉襪 S5 長襪 泡泡襪 長襪 中筒襪 襪子 韓風 熱銷 女襪 情侶襪 可愛襪 短襪</t>
        </is>
      </c>
      <c r="C4075">
        <f>IMAGE("https://cf.shopee.tw/file/ca5bf2219b2d5159a12f849d00f6c829_tn")</f>
        <v/>
      </c>
      <c r="D4075" t="inlineStr">
        <is>
          <t>純色米色</t>
        </is>
      </c>
      <c r="E4075" t="inlineStr"/>
      <c r="F4075">
        <f>IMAGE("https://cf.shopee.tw/file/6230e30ab749c430925121c36b709f9f_tn")</f>
        <v/>
      </c>
    </row>
    <row r="4076">
      <c r="A4076" t="inlineStr">
        <is>
          <t>9148083937</t>
        </is>
      </c>
      <c r="B4076" t="inlineStr">
        <is>
          <t>隔日到貨🔥 ins 日系拼接笑臉襪 S5 長襪 泡泡襪 長襪 中筒襪 襪子 韓風 熱銷 女襪 情侶襪 可愛襪 短襪</t>
        </is>
      </c>
      <c r="C4076">
        <f>IMAGE("https://cf.shopee.tw/file/ca5bf2219b2d5159a12f849d00f6c829_tn")</f>
        <v/>
      </c>
      <c r="D4076" t="inlineStr">
        <is>
          <t>撞色黑色</t>
        </is>
      </c>
      <c r="E4076" t="inlineStr"/>
      <c r="F4076">
        <f>IMAGE("https://cf.shopee.tw/file/615bdd0bd7a0bd529985eb254e63e119_tn")</f>
        <v/>
      </c>
    </row>
    <row r="4077">
      <c r="A4077" t="inlineStr">
        <is>
          <t>9148083937</t>
        </is>
      </c>
      <c r="B4077" t="inlineStr">
        <is>
          <t>隔日到貨🔥 ins 日系拼接笑臉襪 S5 長襪 泡泡襪 長襪 中筒襪 襪子 韓風 熱銷 女襪 情侶襪 可愛襪 短襪</t>
        </is>
      </c>
      <c r="C4077">
        <f>IMAGE("https://cf.shopee.tw/file/ca5bf2219b2d5159a12f849d00f6c829_tn")</f>
        <v/>
      </c>
      <c r="D4077" t="inlineStr">
        <is>
          <t>撞色淺咖啡</t>
        </is>
      </c>
      <c r="E4077" t="inlineStr"/>
      <c r="F4077">
        <f>IMAGE("https://cf.shopee.tw/file/a51769abc30bbf7e539522354a728674_tn")</f>
        <v/>
      </c>
    </row>
    <row r="4078">
      <c r="A4078" t="inlineStr">
        <is>
          <t>9148083937</t>
        </is>
      </c>
      <c r="B4078" t="inlineStr">
        <is>
          <t>隔日到貨🔥 ins 日系拼接笑臉襪 S5 長襪 泡泡襪 長襪 中筒襪 襪子 韓風 熱銷 女襪 情侶襪 可愛襪 短襪</t>
        </is>
      </c>
      <c r="C4078">
        <f>IMAGE("https://cf.shopee.tw/file/ca5bf2219b2d5159a12f849d00f6c829_tn")</f>
        <v/>
      </c>
      <c r="D4078" t="inlineStr">
        <is>
          <t>撞色純白色</t>
        </is>
      </c>
      <c r="E4078" t="inlineStr"/>
      <c r="F4078">
        <f>IMAGE("https://cf.shopee.tw/file/d91ada7747cd105a736cb505b2092037_tn")</f>
        <v/>
      </c>
    </row>
    <row r="4079">
      <c r="A4079" t="inlineStr">
        <is>
          <t>9148083937</t>
        </is>
      </c>
      <c r="B4079" t="inlineStr">
        <is>
          <t>隔日到貨🔥 ins 日系拼接笑臉襪 S5 長襪 泡泡襪 長襪 中筒襪 襪子 韓風 熱銷 女襪 情侶襪 可愛襪 短襪</t>
        </is>
      </c>
      <c r="C4079">
        <f>IMAGE("https://cf.shopee.tw/file/ca5bf2219b2d5159a12f849d00f6c829_tn")</f>
        <v/>
      </c>
      <c r="D4079" t="inlineStr">
        <is>
          <t>撞色奶油</t>
        </is>
      </c>
      <c r="E4079" t="inlineStr"/>
      <c r="F4079">
        <f>IMAGE("https://cf.shopee.tw/file/628818efe308322d393030d49ea65617_tn")</f>
        <v/>
      </c>
    </row>
    <row r="4080">
      <c r="A4080" t="inlineStr">
        <is>
          <t>9148083937</t>
        </is>
      </c>
      <c r="B4080" t="inlineStr">
        <is>
          <t>隔日到貨🔥 ins 日系拼接笑臉襪 S5 長襪 泡泡襪 長襪 中筒襪 襪子 韓風 熱銷 女襪 情侶襪 可愛襪 短襪</t>
        </is>
      </c>
      <c r="C4080">
        <f>IMAGE("https://cf.shopee.tw/file/ca5bf2219b2d5159a12f849d00f6c829_tn")</f>
        <v/>
      </c>
      <c r="D4080" t="inlineStr">
        <is>
          <t>咖啡</t>
        </is>
      </c>
      <c r="E4080" t="inlineStr">
        <is>
          <t>55128235005</t>
        </is>
      </c>
      <c r="F4080">
        <f>IMAGE("https://cf.shopee.tw/file/11108808b1ffa7dc2f524fd4d6239519_tn")</f>
        <v/>
      </c>
    </row>
    <row r="4081">
      <c r="A4081" t="inlineStr">
        <is>
          <t>9148083937</t>
        </is>
      </c>
      <c r="B4081" t="inlineStr">
        <is>
          <t>隔日到貨🔥 ins 日系拼接笑臉襪 S5 長襪 泡泡襪 長襪 中筒襪 襪子 韓風 熱銷 女襪 情侶襪 可愛襪 短襪</t>
        </is>
      </c>
      <c r="C4081">
        <f>IMAGE("https://cf.shopee.tw/file/ca5bf2219b2d5159a12f849d00f6c829_tn")</f>
        <v/>
      </c>
      <c r="D4081" t="inlineStr">
        <is>
          <t>純色奶油</t>
        </is>
      </c>
      <c r="E4081" t="inlineStr"/>
      <c r="F4081">
        <f>IMAGE("https://cf.shopee.tw/file/c9bc019c0e685ed3946f67bef29596b8_tn")</f>
        <v/>
      </c>
    </row>
    <row r="4082">
      <c r="A4082" t="inlineStr">
        <is>
          <t>9148083937</t>
        </is>
      </c>
      <c r="B4082" t="inlineStr">
        <is>
          <t>隔日到貨🔥 ins 日系拼接笑臉襪 S5 長襪 泡泡襪 長襪 中筒襪 襪子 韓風 熱銷 女襪 情侶襪 可愛襪 短襪</t>
        </is>
      </c>
      <c r="C4082">
        <f>IMAGE("https://cf.shopee.tw/file/ca5bf2219b2d5159a12f849d00f6c829_tn")</f>
        <v/>
      </c>
      <c r="D4082" t="inlineStr">
        <is>
          <t>純色白色</t>
        </is>
      </c>
      <c r="E4082" t="inlineStr"/>
      <c r="F4082">
        <f>IMAGE("https://cf.shopee.tw/file/7f36ef48334ef8453158f6fdd1a879db_tn")</f>
        <v/>
      </c>
    </row>
    <row r="4083">
      <c r="A4083" t="inlineStr">
        <is>
          <t>9148083937</t>
        </is>
      </c>
      <c r="B4083" t="inlineStr">
        <is>
          <t>隔日到貨🔥 ins 日系拼接笑臉襪 S5 長襪 泡泡襪 長襪 中筒襪 襪子 韓風 熱銷 女襪 情侶襪 可愛襪 短襪</t>
        </is>
      </c>
      <c r="C4083">
        <f>IMAGE("https://cf.shopee.tw/file/ca5bf2219b2d5159a12f849d00f6c829_tn")</f>
        <v/>
      </c>
      <c r="D4083" t="inlineStr">
        <is>
          <t>純色黑色</t>
        </is>
      </c>
      <c r="E4083" t="inlineStr"/>
      <c r="F4083">
        <f>IMAGE("https://cf.shopee.tw/file/e5250ad4301627000e297b1e1b767289_tn")</f>
        <v/>
      </c>
    </row>
    <row r="4084">
      <c r="A4084" t="inlineStr">
        <is>
          <t>9148083937</t>
        </is>
      </c>
      <c r="B4084" t="inlineStr">
        <is>
          <t>隔日到貨🔥 ins 日系拼接笑臉襪 S5 長襪 泡泡襪 長襪 中筒襪 襪子 韓風 熱銷 女襪 情侶襪 可愛襪 短襪</t>
        </is>
      </c>
      <c r="C4084">
        <f>IMAGE("https://cf.shopee.tw/file/ca5bf2219b2d5159a12f849d00f6c829_tn")</f>
        <v/>
      </c>
      <c r="D4084" t="inlineStr">
        <is>
          <t>撞色米色</t>
        </is>
      </c>
      <c r="E4084" t="inlineStr"/>
      <c r="F4084">
        <f>IMAGE("https://cf.shopee.tw/file/5da945a2a307fec647d297540627d51e_tn")</f>
        <v/>
      </c>
    </row>
    <row r="4085">
      <c r="A4085" t="inlineStr">
        <is>
          <t>9228589144</t>
        </is>
      </c>
      <c r="B4085" t="inlineStr">
        <is>
          <t>隔日到貨🔥 iPhone 手機殼 15 14 13 12 11 pro Max XS XR SE 保護殼 軟殼</t>
        </is>
      </c>
      <c r="C4085">
        <f>IMAGE("https://cf.shopee.tw/file/d7a95706eaf3f2802da14a4f54218292_tn")</f>
        <v/>
      </c>
      <c r="D4085" t="inlineStr">
        <is>
          <t>1.米白紅花小熊,7 / 8 / SE2 / SE3</t>
        </is>
      </c>
      <c r="E4085" t="inlineStr"/>
      <c r="F4085">
        <f>IMAGE("https://cf.shopee.tw/file/1e02f79ae5ca78f0900dca786a4d0d11_tn")</f>
        <v/>
      </c>
    </row>
    <row r="4086">
      <c r="A4086" t="inlineStr">
        <is>
          <t>9228589144</t>
        </is>
      </c>
      <c r="B4086" t="inlineStr">
        <is>
          <t>隔日到貨🔥 iPhone 手機殼 15 14 13 12 11 pro Max XS XR SE 保護殼 軟殼</t>
        </is>
      </c>
      <c r="C4086">
        <f>IMAGE("https://cf.shopee.tw/file/d7a95706eaf3f2802da14a4f54218292_tn")</f>
        <v/>
      </c>
      <c r="D4086" t="inlineStr">
        <is>
          <t>1.米白紅花小熊,XR</t>
        </is>
      </c>
      <c r="E4086" t="inlineStr"/>
      <c r="F4086">
        <f>IMAGE("https://cf.shopee.tw/file/1e02f79ae5ca78f0900dca786a4d0d11_tn")</f>
        <v/>
      </c>
    </row>
    <row r="4087">
      <c r="A4087" t="inlineStr">
        <is>
          <t>9228589144</t>
        </is>
      </c>
      <c r="B4087" t="inlineStr">
        <is>
          <t>隔日到貨🔥 iPhone 手機殼 15 14 13 12 11 pro Max XS XR SE 保護殼 軟殼</t>
        </is>
      </c>
      <c r="C4087">
        <f>IMAGE("https://cf.shopee.tw/file/d7a95706eaf3f2802da14a4f54218292_tn")</f>
        <v/>
      </c>
      <c r="D4087" t="inlineStr">
        <is>
          <t>1.米白紅花小熊,XS Max</t>
        </is>
      </c>
      <c r="E4087" t="inlineStr"/>
      <c r="F4087">
        <f>IMAGE("https://cf.shopee.tw/file/1e02f79ae5ca78f0900dca786a4d0d11_tn")</f>
        <v/>
      </c>
    </row>
    <row r="4088">
      <c r="A4088" t="inlineStr">
        <is>
          <t>9228589144</t>
        </is>
      </c>
      <c r="B4088" t="inlineStr">
        <is>
          <t>隔日到貨🔥 iPhone 手機殼 15 14 13 12 11 pro Max XS XR SE 保護殼 軟殼</t>
        </is>
      </c>
      <c r="C4088">
        <f>IMAGE("https://cf.shopee.tw/file/d7a95706eaf3f2802da14a4f54218292_tn")</f>
        <v/>
      </c>
      <c r="D4088" t="inlineStr">
        <is>
          <t>1.米白紅花小熊,12</t>
        </is>
      </c>
      <c r="E4088" t="inlineStr"/>
      <c r="F4088">
        <f>IMAGE("https://cf.shopee.tw/file/1e02f79ae5ca78f0900dca786a4d0d11_tn")</f>
        <v/>
      </c>
    </row>
    <row r="4089">
      <c r="A4089" t="inlineStr">
        <is>
          <t>9228589144</t>
        </is>
      </c>
      <c r="B4089" t="inlineStr">
        <is>
          <t>隔日到貨🔥 iPhone 手機殼 15 14 13 12 11 pro Max XS XR SE 保護殼 軟殼</t>
        </is>
      </c>
      <c r="C4089">
        <f>IMAGE("https://cf.shopee.tw/file/d7a95706eaf3f2802da14a4f54218292_tn")</f>
        <v/>
      </c>
      <c r="D4089" t="inlineStr">
        <is>
          <t>1.米白紅花小熊,12 pro</t>
        </is>
      </c>
      <c r="E4089" t="inlineStr"/>
      <c r="F4089">
        <f>IMAGE("https://cf.shopee.tw/file/1e02f79ae5ca78f0900dca786a4d0d11_tn")</f>
        <v/>
      </c>
    </row>
    <row r="4090">
      <c r="A4090" t="inlineStr">
        <is>
          <t>9228589144</t>
        </is>
      </c>
      <c r="B4090" t="inlineStr">
        <is>
          <t>隔日到貨🔥 iPhone 手機殼 15 14 13 12 11 pro Max XS XR SE 保護殼 軟殼</t>
        </is>
      </c>
      <c r="C4090">
        <f>IMAGE("https://cf.shopee.tw/file/d7a95706eaf3f2802da14a4f54218292_tn")</f>
        <v/>
      </c>
      <c r="D4090" t="inlineStr">
        <is>
          <t>1.米白紅花小熊,13 mini</t>
        </is>
      </c>
      <c r="E4090" t="inlineStr"/>
      <c r="F4090">
        <f>IMAGE("https://cf.shopee.tw/file/1e02f79ae5ca78f0900dca786a4d0d11_tn")</f>
        <v/>
      </c>
    </row>
    <row r="4091">
      <c r="A4091" t="inlineStr">
        <is>
          <t>9228589144</t>
        </is>
      </c>
      <c r="B4091" t="inlineStr">
        <is>
          <t>隔日到貨🔥 iPhone 手機殼 15 14 13 12 11 pro Max XS XR SE 保護殼 軟殼</t>
        </is>
      </c>
      <c r="C4091">
        <f>IMAGE("https://cf.shopee.tw/file/d7a95706eaf3f2802da14a4f54218292_tn")</f>
        <v/>
      </c>
      <c r="D4091" t="inlineStr">
        <is>
          <t>1.米白紅花小熊,15</t>
        </is>
      </c>
      <c r="E4091" t="inlineStr"/>
      <c r="F4091">
        <f>IMAGE("https://cf.shopee.tw/file/1e02f79ae5ca78f0900dca786a4d0d11_tn")</f>
        <v/>
      </c>
    </row>
    <row r="4092">
      <c r="A4092" t="inlineStr">
        <is>
          <t>9228589144</t>
        </is>
      </c>
      <c r="B4092" t="inlineStr">
        <is>
          <t>隔日到貨🔥 iPhone 手機殼 15 14 13 12 11 pro Max XS XR SE 保護殼 軟殼</t>
        </is>
      </c>
      <c r="C4092">
        <f>IMAGE("https://cf.shopee.tw/file/d7a95706eaf3f2802da14a4f54218292_tn")</f>
        <v/>
      </c>
      <c r="D4092" t="inlineStr">
        <is>
          <t>1.米白紅花小熊,15 Plus</t>
        </is>
      </c>
      <c r="E4092" t="inlineStr"/>
      <c r="F4092">
        <f>IMAGE("https://cf.shopee.tw/file/1e02f79ae5ca78f0900dca786a4d0d11_tn")</f>
        <v/>
      </c>
    </row>
    <row r="4093">
      <c r="A4093" t="inlineStr">
        <is>
          <t>9228589144</t>
        </is>
      </c>
      <c r="B4093" t="inlineStr">
        <is>
          <t>隔日到貨🔥 iPhone 手機殼 15 14 13 12 11 pro Max XS XR SE 保護殼 軟殼</t>
        </is>
      </c>
      <c r="C4093">
        <f>IMAGE("https://cf.shopee.tw/file/d7a95706eaf3f2802da14a4f54218292_tn")</f>
        <v/>
      </c>
      <c r="D4093" t="inlineStr">
        <is>
          <t>2.藍底熊,7 / 8 / SE2 / SE3</t>
        </is>
      </c>
      <c r="E4093" t="inlineStr"/>
      <c r="F4093">
        <f>IMAGE("https://cf.shopee.tw/file/7f2deb273608cc1e86542dc73a23ed07_tn")</f>
        <v/>
      </c>
    </row>
    <row r="4094">
      <c r="A4094" t="inlineStr">
        <is>
          <t>9228589144</t>
        </is>
      </c>
      <c r="B4094" t="inlineStr">
        <is>
          <t>隔日到貨🔥 iPhone 手機殼 15 14 13 12 11 pro Max XS XR SE 保護殼 軟殼</t>
        </is>
      </c>
      <c r="C4094">
        <f>IMAGE("https://cf.shopee.tw/file/d7a95706eaf3f2802da14a4f54218292_tn")</f>
        <v/>
      </c>
      <c r="D4094" t="inlineStr">
        <is>
          <t>2.藍底熊,XR</t>
        </is>
      </c>
      <c r="E4094" t="inlineStr"/>
      <c r="F4094">
        <f>IMAGE("https://cf.shopee.tw/file/7f2deb273608cc1e86542dc73a23ed07_tn")</f>
        <v/>
      </c>
    </row>
    <row r="4095">
      <c r="A4095" t="inlineStr">
        <is>
          <t>9228589144</t>
        </is>
      </c>
      <c r="B4095" t="inlineStr">
        <is>
          <t>隔日到貨🔥 iPhone 手機殼 15 14 13 12 11 pro Max XS XR SE 保護殼 軟殼</t>
        </is>
      </c>
      <c r="C4095">
        <f>IMAGE("https://cf.shopee.tw/file/d7a95706eaf3f2802da14a4f54218292_tn")</f>
        <v/>
      </c>
      <c r="D4095" t="inlineStr">
        <is>
          <t>2.藍底熊,XS Max</t>
        </is>
      </c>
      <c r="E4095" t="inlineStr"/>
      <c r="F4095">
        <f>IMAGE("https://cf.shopee.tw/file/7f2deb273608cc1e86542dc73a23ed07_tn")</f>
        <v/>
      </c>
    </row>
    <row r="4096">
      <c r="A4096" t="inlineStr">
        <is>
          <t>9228589144</t>
        </is>
      </c>
      <c r="B4096" t="inlineStr">
        <is>
          <t>隔日到貨🔥 iPhone 手機殼 15 14 13 12 11 pro Max XS XR SE 保護殼 軟殼</t>
        </is>
      </c>
      <c r="C4096">
        <f>IMAGE("https://cf.shopee.tw/file/d7a95706eaf3f2802da14a4f54218292_tn")</f>
        <v/>
      </c>
      <c r="D4096" t="inlineStr">
        <is>
          <t>2.藍底熊,11</t>
        </is>
      </c>
      <c r="E4096" t="inlineStr"/>
      <c r="F4096">
        <f>IMAGE("https://cf.shopee.tw/file/7f2deb273608cc1e86542dc73a23ed07_tn")</f>
        <v/>
      </c>
    </row>
    <row r="4097">
      <c r="A4097" t="inlineStr">
        <is>
          <t>9228589144</t>
        </is>
      </c>
      <c r="B4097" t="inlineStr">
        <is>
          <t>隔日到貨🔥 iPhone 手機殼 15 14 13 12 11 pro Max XS XR SE 保護殼 軟殼</t>
        </is>
      </c>
      <c r="C4097">
        <f>IMAGE("https://cf.shopee.tw/file/d7a95706eaf3f2802da14a4f54218292_tn")</f>
        <v/>
      </c>
      <c r="D4097" t="inlineStr">
        <is>
          <t>2.藍底熊,12</t>
        </is>
      </c>
      <c r="E4097" t="inlineStr"/>
      <c r="F4097">
        <f>IMAGE("https://cf.shopee.tw/file/7f2deb273608cc1e86542dc73a23ed07_tn")</f>
        <v/>
      </c>
    </row>
    <row r="4098">
      <c r="A4098" t="inlineStr">
        <is>
          <t>9228589144</t>
        </is>
      </c>
      <c r="B4098" t="inlineStr">
        <is>
          <t>隔日到貨🔥 iPhone 手機殼 15 14 13 12 11 pro Max XS XR SE 保護殼 軟殼</t>
        </is>
      </c>
      <c r="C4098">
        <f>IMAGE("https://cf.shopee.tw/file/d7a95706eaf3f2802da14a4f54218292_tn")</f>
        <v/>
      </c>
      <c r="D4098" t="inlineStr">
        <is>
          <t>2.藍底熊,12 pro Max</t>
        </is>
      </c>
      <c r="E4098" t="inlineStr"/>
      <c r="F4098">
        <f>IMAGE("https://cf.shopee.tw/file/7f2deb273608cc1e86542dc73a23ed07_tn")</f>
        <v/>
      </c>
    </row>
    <row r="4099">
      <c r="A4099" t="inlineStr">
        <is>
          <t>9228589144</t>
        </is>
      </c>
      <c r="B4099" t="inlineStr">
        <is>
          <t>隔日到貨🔥 iPhone 手機殼 15 14 13 12 11 pro Max XS XR SE 保護殼 軟殼</t>
        </is>
      </c>
      <c r="C4099">
        <f>IMAGE("https://cf.shopee.tw/file/d7a95706eaf3f2802da14a4f54218292_tn")</f>
        <v/>
      </c>
      <c r="D4099" t="inlineStr">
        <is>
          <t>2.藍底熊,13</t>
        </is>
      </c>
      <c r="E4099" t="inlineStr"/>
      <c r="F4099">
        <f>IMAGE("https://cf.shopee.tw/file/7f2deb273608cc1e86542dc73a23ed07_tn")</f>
        <v/>
      </c>
    </row>
    <row r="4100">
      <c r="A4100" t="inlineStr">
        <is>
          <t>9228589144</t>
        </is>
      </c>
      <c r="B4100" t="inlineStr">
        <is>
          <t>隔日到貨🔥 iPhone 手機殼 15 14 13 12 11 pro Max XS XR SE 保護殼 軟殼</t>
        </is>
      </c>
      <c r="C4100">
        <f>IMAGE("https://cf.shopee.tw/file/d7a95706eaf3f2802da14a4f54218292_tn")</f>
        <v/>
      </c>
      <c r="D4100" t="inlineStr">
        <is>
          <t>2.藍底熊,13 pro</t>
        </is>
      </c>
      <c r="E4100" t="inlineStr"/>
      <c r="F4100">
        <f>IMAGE("https://cf.shopee.tw/file/7f2deb273608cc1e86542dc73a23ed07_tn")</f>
        <v/>
      </c>
    </row>
    <row r="4101">
      <c r="A4101" t="inlineStr">
        <is>
          <t>9228589144</t>
        </is>
      </c>
      <c r="B4101" t="inlineStr">
        <is>
          <t>隔日到貨🔥 iPhone 手機殼 15 14 13 12 11 pro Max XS XR SE 保護殼 軟殼</t>
        </is>
      </c>
      <c r="C4101">
        <f>IMAGE("https://cf.shopee.tw/file/d7a95706eaf3f2802da14a4f54218292_tn")</f>
        <v/>
      </c>
      <c r="D4101" t="inlineStr">
        <is>
          <t>2.藍底熊,13 mini</t>
        </is>
      </c>
      <c r="E4101" t="inlineStr"/>
      <c r="F4101">
        <f>IMAGE("https://cf.shopee.tw/file/7f2deb273608cc1e86542dc73a23ed07_tn")</f>
        <v/>
      </c>
    </row>
    <row r="4102">
      <c r="A4102" t="inlineStr">
        <is>
          <t>9228589144</t>
        </is>
      </c>
      <c r="B4102" t="inlineStr">
        <is>
          <t>隔日到貨🔥 iPhone 手機殼 15 14 13 12 11 pro Max XS XR SE 保護殼 軟殼</t>
        </is>
      </c>
      <c r="C4102">
        <f>IMAGE("https://cf.shopee.tw/file/d7a95706eaf3f2802da14a4f54218292_tn")</f>
        <v/>
      </c>
      <c r="D4102" t="inlineStr">
        <is>
          <t>2.藍底熊,15</t>
        </is>
      </c>
      <c r="E4102" t="inlineStr"/>
      <c r="F4102">
        <f>IMAGE("https://cf.shopee.tw/file/7f2deb273608cc1e86542dc73a23ed07_tn")</f>
        <v/>
      </c>
    </row>
    <row r="4103">
      <c r="A4103" t="inlineStr">
        <is>
          <t>9228589144</t>
        </is>
      </c>
      <c r="B4103" t="inlineStr">
        <is>
          <t>隔日到貨🔥 iPhone 手機殼 15 14 13 12 11 pro Max XS XR SE 保護殼 軟殼</t>
        </is>
      </c>
      <c r="C4103">
        <f>IMAGE("https://cf.shopee.tw/file/d7a95706eaf3f2802da14a4f54218292_tn")</f>
        <v/>
      </c>
      <c r="D4103" t="inlineStr">
        <is>
          <t>2.藍底熊,15 Plus</t>
        </is>
      </c>
      <c r="E4103" t="inlineStr"/>
      <c r="F4103">
        <f>IMAGE("https://cf.shopee.tw/file/7f2deb273608cc1e86542dc73a23ed07_tn")</f>
        <v/>
      </c>
    </row>
    <row r="4104">
      <c r="A4104" t="inlineStr">
        <is>
          <t>9228589144</t>
        </is>
      </c>
      <c r="B4104" t="inlineStr">
        <is>
          <t>隔日到貨🔥 iPhone 手機殼 15 14 13 12 11 pro Max XS XR SE 保護殼 軟殼</t>
        </is>
      </c>
      <c r="C4104">
        <f>IMAGE("https://cf.shopee.tw/file/d7a95706eaf3f2802da14a4f54218292_tn")</f>
        <v/>
      </c>
      <c r="D4104" t="inlineStr">
        <is>
          <t>2.藍底熊,15 pro</t>
        </is>
      </c>
      <c r="E4104" t="inlineStr"/>
      <c r="F4104">
        <f>IMAGE("https://cf.shopee.tw/file/7f2deb273608cc1e86542dc73a23ed07_tn")</f>
        <v/>
      </c>
    </row>
    <row r="4105">
      <c r="A4105" t="inlineStr">
        <is>
          <t>9228589144</t>
        </is>
      </c>
      <c r="B4105" t="inlineStr">
        <is>
          <t>隔日到貨🔥 iPhone 手機殼 15 14 13 12 11 pro Max XS XR SE 保護殼 軟殼</t>
        </is>
      </c>
      <c r="C4105">
        <f>IMAGE("https://cf.shopee.tw/file/d7a95706eaf3f2802da14a4f54218292_tn")</f>
        <v/>
      </c>
      <c r="D4105" t="inlineStr">
        <is>
          <t>2.藍底熊,15 pro Max</t>
        </is>
      </c>
      <c r="E4105" t="inlineStr"/>
      <c r="F4105">
        <f>IMAGE("https://cf.shopee.tw/file/7f2deb273608cc1e86542dc73a23ed07_tn")</f>
        <v/>
      </c>
    </row>
    <row r="4106">
      <c r="A4106" t="inlineStr">
        <is>
          <t>9228589144</t>
        </is>
      </c>
      <c r="B4106" t="inlineStr">
        <is>
          <t>隔日到貨🔥 iPhone 手機殼 15 14 13 12 11 pro Max XS XR SE 保護殼 軟殼</t>
        </is>
      </c>
      <c r="C4106">
        <f>IMAGE("https://cf.shopee.tw/file/d7a95706eaf3f2802da14a4f54218292_tn")</f>
        <v/>
      </c>
      <c r="D4106" t="inlineStr">
        <is>
          <t>1.米白紅花小熊,7Plus / 8Plus</t>
        </is>
      </c>
      <c r="E4106" t="inlineStr"/>
      <c r="F4106">
        <f>IMAGE("https://cf.shopee.tw/file/1e02f79ae5ca78f0900dca786a4d0d11_tn")</f>
        <v/>
      </c>
    </row>
    <row r="4107">
      <c r="A4107" t="inlineStr">
        <is>
          <t>9228589144</t>
        </is>
      </c>
      <c r="B4107" t="inlineStr">
        <is>
          <t>隔日到貨🔥 iPhone 手機殼 15 14 13 12 11 pro Max XS XR SE 保護殼 軟殼</t>
        </is>
      </c>
      <c r="C4107">
        <f>IMAGE("https://cf.shopee.tw/file/d7a95706eaf3f2802da14a4f54218292_tn")</f>
        <v/>
      </c>
      <c r="D4107" t="inlineStr">
        <is>
          <t>1.米白紅花小熊,X / XS</t>
        </is>
      </c>
      <c r="E4107" t="inlineStr"/>
      <c r="F4107">
        <f>IMAGE("https://cf.shopee.tw/file/1e02f79ae5ca78f0900dca786a4d0d11_tn")</f>
        <v/>
      </c>
    </row>
    <row r="4108">
      <c r="A4108" t="inlineStr">
        <is>
          <t>9228589144</t>
        </is>
      </c>
      <c r="B4108" t="inlineStr">
        <is>
          <t>隔日到貨🔥 iPhone 手機殼 15 14 13 12 11 pro Max XS XR SE 保護殼 軟殼</t>
        </is>
      </c>
      <c r="C4108">
        <f>IMAGE("https://cf.shopee.tw/file/d7a95706eaf3f2802da14a4f54218292_tn")</f>
        <v/>
      </c>
      <c r="D4108" t="inlineStr">
        <is>
          <t>1.米白紅花小熊,11</t>
        </is>
      </c>
      <c r="E4108" t="inlineStr"/>
      <c r="F4108">
        <f>IMAGE("https://cf.shopee.tw/file/1e02f79ae5ca78f0900dca786a4d0d11_tn")</f>
        <v/>
      </c>
    </row>
    <row r="4109">
      <c r="A4109" t="inlineStr">
        <is>
          <t>9228589144</t>
        </is>
      </c>
      <c r="B4109" t="inlineStr">
        <is>
          <t>隔日到貨🔥 iPhone 手機殼 15 14 13 12 11 pro Max XS XR SE 保護殼 軟殼</t>
        </is>
      </c>
      <c r="C4109">
        <f>IMAGE("https://cf.shopee.tw/file/d7a95706eaf3f2802da14a4f54218292_tn")</f>
        <v/>
      </c>
      <c r="D4109" t="inlineStr">
        <is>
          <t>1.米白紅花小熊,12 pro Max</t>
        </is>
      </c>
      <c r="E4109" t="inlineStr">
        <is>
          <t>64271483252</t>
        </is>
      </c>
      <c r="F4109">
        <f>IMAGE("https://cf.shopee.tw/file/1e02f79ae5ca78f0900dca786a4d0d11_tn")</f>
        <v/>
      </c>
    </row>
    <row r="4110">
      <c r="A4110" t="inlineStr">
        <is>
          <t>9228589144</t>
        </is>
      </c>
      <c r="B4110" t="inlineStr">
        <is>
          <t>隔日到貨🔥 iPhone 手機殼 15 14 13 12 11 pro Max XS XR SE 保護殼 軟殼</t>
        </is>
      </c>
      <c r="C4110">
        <f>IMAGE("https://cf.shopee.tw/file/d7a95706eaf3f2802da14a4f54218292_tn")</f>
        <v/>
      </c>
      <c r="D4110" t="inlineStr">
        <is>
          <t>1.米白紅花小熊,13</t>
        </is>
      </c>
      <c r="E4110" t="inlineStr"/>
      <c r="F4110">
        <f>IMAGE("https://cf.shopee.tw/file/1e02f79ae5ca78f0900dca786a4d0d11_tn")</f>
        <v/>
      </c>
    </row>
    <row r="4111">
      <c r="A4111" t="inlineStr">
        <is>
          <t>9228589144</t>
        </is>
      </c>
      <c r="B4111" t="inlineStr">
        <is>
          <t>隔日到貨🔥 iPhone 手機殼 15 14 13 12 11 pro Max XS XR SE 保護殼 軟殼</t>
        </is>
      </c>
      <c r="C4111">
        <f>IMAGE("https://cf.shopee.tw/file/d7a95706eaf3f2802da14a4f54218292_tn")</f>
        <v/>
      </c>
      <c r="D4111" t="inlineStr">
        <is>
          <t>1.米白紅花小熊,13 pro</t>
        </is>
      </c>
      <c r="E4111" t="inlineStr">
        <is>
          <t>112842845055</t>
        </is>
      </c>
      <c r="F4111">
        <f>IMAGE("https://cf.shopee.tw/file/1e02f79ae5ca78f0900dca786a4d0d11_tn")</f>
        <v/>
      </c>
    </row>
    <row r="4112">
      <c r="A4112" t="inlineStr">
        <is>
          <t>9228589144</t>
        </is>
      </c>
      <c r="B4112" t="inlineStr">
        <is>
          <t>隔日到貨🔥 iPhone 手機殼 15 14 13 12 11 pro Max XS XR SE 保護殼 軟殼</t>
        </is>
      </c>
      <c r="C4112">
        <f>IMAGE("https://cf.shopee.tw/file/d7a95706eaf3f2802da14a4f54218292_tn")</f>
        <v/>
      </c>
      <c r="D4112" t="inlineStr">
        <is>
          <t>1.米白紅花小熊,13 pro Max</t>
        </is>
      </c>
      <c r="E4112" t="inlineStr">
        <is>
          <t>112842845045</t>
        </is>
      </c>
      <c r="F4112">
        <f>IMAGE("https://cf.shopee.tw/file/1e02f79ae5ca78f0900dca786a4d0d11_tn")</f>
        <v/>
      </c>
    </row>
    <row r="4113">
      <c r="A4113" t="inlineStr">
        <is>
          <t>9228589144</t>
        </is>
      </c>
      <c r="B4113" t="inlineStr">
        <is>
          <t>隔日到貨🔥 iPhone 手機殼 15 14 13 12 11 pro Max XS XR SE 保護殼 軟殼</t>
        </is>
      </c>
      <c r="C4113">
        <f>IMAGE("https://cf.shopee.tw/file/d7a95706eaf3f2802da14a4f54218292_tn")</f>
        <v/>
      </c>
      <c r="D4113" t="inlineStr">
        <is>
          <t>1.米白紅花小熊,14</t>
        </is>
      </c>
      <c r="E4113" t="inlineStr">
        <is>
          <t>192391390485</t>
        </is>
      </c>
      <c r="F4113">
        <f>IMAGE("https://cf.shopee.tw/file/1e02f79ae5ca78f0900dca786a4d0d11_tn")</f>
        <v/>
      </c>
    </row>
    <row r="4114">
      <c r="A4114" t="inlineStr">
        <is>
          <t>9228589144</t>
        </is>
      </c>
      <c r="B4114" t="inlineStr">
        <is>
          <t>隔日到貨🔥 iPhone 手機殼 15 14 13 12 11 pro Max XS XR SE 保護殼 軟殼</t>
        </is>
      </c>
      <c r="C4114">
        <f>IMAGE("https://cf.shopee.tw/file/d7a95706eaf3f2802da14a4f54218292_tn")</f>
        <v/>
      </c>
      <c r="D4114" t="inlineStr">
        <is>
          <t>1.米白紅花小熊,14 Plus</t>
        </is>
      </c>
      <c r="E4114" t="inlineStr">
        <is>
          <t>192391390488</t>
        </is>
      </c>
      <c r="F4114">
        <f>IMAGE("https://cf.shopee.tw/file/1e02f79ae5ca78f0900dca786a4d0d11_tn")</f>
        <v/>
      </c>
    </row>
    <row r="4115">
      <c r="A4115" t="inlineStr">
        <is>
          <t>9228589144</t>
        </is>
      </c>
      <c r="B4115" t="inlineStr">
        <is>
          <t>隔日到貨🔥 iPhone 手機殼 15 14 13 12 11 pro Max XS XR SE 保護殼 軟殼</t>
        </is>
      </c>
      <c r="C4115">
        <f>IMAGE("https://cf.shopee.tw/file/d7a95706eaf3f2802da14a4f54218292_tn")</f>
        <v/>
      </c>
      <c r="D4115" t="inlineStr">
        <is>
          <t>1.米白紅花小熊,14 pro</t>
        </is>
      </c>
      <c r="E4115" t="inlineStr">
        <is>
          <t>192391390482</t>
        </is>
      </c>
      <c r="F4115">
        <f>IMAGE("https://cf.shopee.tw/file/1e02f79ae5ca78f0900dca786a4d0d11_tn")</f>
        <v/>
      </c>
    </row>
    <row r="4116">
      <c r="A4116" t="inlineStr">
        <is>
          <t>9228589144</t>
        </is>
      </c>
      <c r="B4116" t="inlineStr">
        <is>
          <t>隔日到貨🔥 iPhone 手機殼 15 14 13 12 11 pro Max XS XR SE 保護殼 軟殼</t>
        </is>
      </c>
      <c r="C4116">
        <f>IMAGE("https://cf.shopee.tw/file/d7a95706eaf3f2802da14a4f54218292_tn")</f>
        <v/>
      </c>
      <c r="D4116" t="inlineStr">
        <is>
          <t>1.米白紅花小熊,14 pro Max</t>
        </is>
      </c>
      <c r="E4116" t="inlineStr"/>
      <c r="F4116">
        <f>IMAGE("https://cf.shopee.tw/file/1e02f79ae5ca78f0900dca786a4d0d11_tn")</f>
        <v/>
      </c>
    </row>
    <row r="4117">
      <c r="A4117" t="inlineStr">
        <is>
          <t>9228589144</t>
        </is>
      </c>
      <c r="B4117" t="inlineStr">
        <is>
          <t>隔日到貨🔥 iPhone 手機殼 15 14 13 12 11 pro Max XS XR SE 保護殼 軟殼</t>
        </is>
      </c>
      <c r="C4117">
        <f>IMAGE("https://cf.shopee.tw/file/d7a95706eaf3f2802da14a4f54218292_tn")</f>
        <v/>
      </c>
      <c r="D4117" t="inlineStr">
        <is>
          <t>1.米白紅花小熊,15 pro</t>
        </is>
      </c>
      <c r="E4117" t="inlineStr"/>
      <c r="F4117">
        <f>IMAGE("https://cf.shopee.tw/file/1e02f79ae5ca78f0900dca786a4d0d11_tn")</f>
        <v/>
      </c>
    </row>
    <row r="4118">
      <c r="A4118" t="inlineStr">
        <is>
          <t>9228589144</t>
        </is>
      </c>
      <c r="B4118" t="inlineStr">
        <is>
          <t>隔日到貨🔥 iPhone 手機殼 15 14 13 12 11 pro Max XS XR SE 保護殼 軟殼</t>
        </is>
      </c>
      <c r="C4118">
        <f>IMAGE("https://cf.shopee.tw/file/d7a95706eaf3f2802da14a4f54218292_tn")</f>
        <v/>
      </c>
      <c r="D4118" t="inlineStr">
        <is>
          <t>1.米白紅花小熊,15 pro Max</t>
        </is>
      </c>
      <c r="E4118" t="inlineStr"/>
      <c r="F4118">
        <f>IMAGE("https://cf.shopee.tw/file/1e02f79ae5ca78f0900dca786a4d0d11_tn")</f>
        <v/>
      </c>
    </row>
    <row r="4119">
      <c r="A4119" t="inlineStr">
        <is>
          <t>9228589144</t>
        </is>
      </c>
      <c r="B4119" t="inlineStr">
        <is>
          <t>隔日到貨🔥 iPhone 手機殼 15 14 13 12 11 pro Max XS XR SE 保護殼 軟殼</t>
        </is>
      </c>
      <c r="C4119">
        <f>IMAGE("https://cf.shopee.tw/file/d7a95706eaf3f2802da14a4f54218292_tn")</f>
        <v/>
      </c>
      <c r="D4119" t="inlineStr">
        <is>
          <t>2.藍底熊,7Plus / 8Plus</t>
        </is>
      </c>
      <c r="E4119" t="inlineStr"/>
      <c r="F4119">
        <f>IMAGE("https://cf.shopee.tw/file/7f2deb273608cc1e86542dc73a23ed07_tn")</f>
        <v/>
      </c>
    </row>
    <row r="4120">
      <c r="A4120" t="inlineStr">
        <is>
          <t>9228589144</t>
        </is>
      </c>
      <c r="B4120" t="inlineStr">
        <is>
          <t>隔日到貨🔥 iPhone 手機殼 15 14 13 12 11 pro Max XS XR SE 保護殼 軟殼</t>
        </is>
      </c>
      <c r="C4120">
        <f>IMAGE("https://cf.shopee.tw/file/d7a95706eaf3f2802da14a4f54218292_tn")</f>
        <v/>
      </c>
      <c r="D4120" t="inlineStr">
        <is>
          <t>2.藍底熊,X / XS</t>
        </is>
      </c>
      <c r="E4120" t="inlineStr">
        <is>
          <t>81270027666</t>
        </is>
      </c>
      <c r="F4120">
        <f>IMAGE("https://cf.shopee.tw/file/7f2deb273608cc1e86542dc73a23ed07_tn")</f>
        <v/>
      </c>
    </row>
    <row r="4121">
      <c r="A4121" t="inlineStr">
        <is>
          <t>9228589144</t>
        </is>
      </c>
      <c r="B4121" t="inlineStr">
        <is>
          <t>隔日到貨🔥 iPhone 手機殼 15 14 13 12 11 pro Max XS XR SE 保護殼 軟殼</t>
        </is>
      </c>
      <c r="C4121">
        <f>IMAGE("https://cf.shopee.tw/file/d7a95706eaf3f2802da14a4f54218292_tn")</f>
        <v/>
      </c>
      <c r="D4121" t="inlineStr">
        <is>
          <t>2.藍底熊,12 pro</t>
        </is>
      </c>
      <c r="E4121" t="inlineStr">
        <is>
          <t>81270027674</t>
        </is>
      </c>
      <c r="F4121">
        <f>IMAGE("https://cf.shopee.tw/file/7f2deb273608cc1e86542dc73a23ed07_tn")</f>
        <v/>
      </c>
    </row>
    <row r="4122">
      <c r="A4122" t="inlineStr">
        <is>
          <t>9228589144</t>
        </is>
      </c>
      <c r="B4122" t="inlineStr">
        <is>
          <t>隔日到貨🔥 iPhone 手機殼 15 14 13 12 11 pro Max XS XR SE 保護殼 軟殼</t>
        </is>
      </c>
      <c r="C4122">
        <f>IMAGE("https://cf.shopee.tw/file/d7a95706eaf3f2802da14a4f54218292_tn")</f>
        <v/>
      </c>
      <c r="D4122" t="inlineStr">
        <is>
          <t>2.藍底熊,13 pro Max</t>
        </is>
      </c>
      <c r="E4122" t="inlineStr"/>
      <c r="F4122">
        <f>IMAGE("https://cf.shopee.tw/file/7f2deb273608cc1e86542dc73a23ed07_tn")</f>
        <v/>
      </c>
    </row>
    <row r="4123">
      <c r="A4123" t="inlineStr">
        <is>
          <t>9228589144</t>
        </is>
      </c>
      <c r="B4123" t="inlineStr">
        <is>
          <t>隔日到貨🔥 iPhone 手機殼 15 14 13 12 11 pro Max XS XR SE 保護殼 軟殼</t>
        </is>
      </c>
      <c r="C4123">
        <f>IMAGE("https://cf.shopee.tw/file/d7a95706eaf3f2802da14a4f54218292_tn")</f>
        <v/>
      </c>
      <c r="D4123" t="inlineStr">
        <is>
          <t>2.藍底熊,14</t>
        </is>
      </c>
      <c r="E4123" t="inlineStr"/>
      <c r="F4123">
        <f>IMAGE("https://cf.shopee.tw/file/7f2deb273608cc1e86542dc73a23ed07_tn")</f>
        <v/>
      </c>
    </row>
    <row r="4124">
      <c r="A4124" t="inlineStr">
        <is>
          <t>9228589144</t>
        </is>
      </c>
      <c r="B4124" t="inlineStr">
        <is>
          <t>隔日到貨🔥 iPhone 手機殼 15 14 13 12 11 pro Max XS XR SE 保護殼 軟殼</t>
        </is>
      </c>
      <c r="C4124">
        <f>IMAGE("https://cf.shopee.tw/file/d7a95706eaf3f2802da14a4f54218292_tn")</f>
        <v/>
      </c>
      <c r="D4124" t="inlineStr">
        <is>
          <t>2.藍底熊,14 Plus</t>
        </is>
      </c>
      <c r="E4124" t="inlineStr"/>
      <c r="F4124">
        <f>IMAGE("https://cf.shopee.tw/file/7f2deb273608cc1e86542dc73a23ed07_tn")</f>
        <v/>
      </c>
    </row>
    <row r="4125">
      <c r="A4125" t="inlineStr">
        <is>
          <t>9228589144</t>
        </is>
      </c>
      <c r="B4125" t="inlineStr">
        <is>
          <t>隔日到貨🔥 iPhone 手機殼 15 14 13 12 11 pro Max XS XR SE 保護殼 軟殼</t>
        </is>
      </c>
      <c r="C4125">
        <f>IMAGE("https://cf.shopee.tw/file/d7a95706eaf3f2802da14a4f54218292_tn")</f>
        <v/>
      </c>
      <c r="D4125" t="inlineStr">
        <is>
          <t>2.藍底熊,14 pro</t>
        </is>
      </c>
      <c r="E4125" t="inlineStr"/>
      <c r="F4125">
        <f>IMAGE("https://cf.shopee.tw/file/7f2deb273608cc1e86542dc73a23ed07_tn")</f>
        <v/>
      </c>
    </row>
    <row r="4126">
      <c r="A4126" t="inlineStr">
        <is>
          <t>9228589144</t>
        </is>
      </c>
      <c r="B4126" t="inlineStr">
        <is>
          <t>隔日到貨🔥 iPhone 手機殼 15 14 13 12 11 pro Max XS XR SE 保護殼 軟殼</t>
        </is>
      </c>
      <c r="C4126">
        <f>IMAGE("https://cf.shopee.tw/file/d7a95706eaf3f2802da14a4f54218292_tn")</f>
        <v/>
      </c>
      <c r="D4126" t="inlineStr">
        <is>
          <t>2.藍底熊,14 pro Max</t>
        </is>
      </c>
      <c r="E4126" t="inlineStr"/>
      <c r="F4126">
        <f>IMAGE("https://cf.shopee.tw/file/7f2deb273608cc1e86542dc73a23ed07_tn")</f>
        <v/>
      </c>
    </row>
    <row r="4127">
      <c r="A4127" t="inlineStr">
        <is>
          <t>23161561299</t>
        </is>
      </c>
      <c r="B4127" t="inlineStr">
        <is>
          <t>隔日到貨🔥 Airpods 保護套 1代 2代 3代 pro pro2 耳機套 A31 矽膠 軟殼 保護殼 蘋果</t>
        </is>
      </c>
      <c r="C4127">
        <f>IMAGE("https://cf.shopee.tw/file/tw-11134207-7r98r-lt9abl3ayqyw18_tn")</f>
        <v/>
      </c>
      <c r="D4127" t="inlineStr">
        <is>
          <t>5.黃色白鴨子,3代</t>
        </is>
      </c>
      <c r="E4127" t="inlineStr"/>
      <c r="F4127">
        <f>IMAGE("https://cf.shopee.tw/file/tw-11134207-7r98u-logxenwvfkay8c_tn")</f>
        <v/>
      </c>
    </row>
    <row r="4128">
      <c r="A4128" t="inlineStr">
        <is>
          <t>23161561299</t>
        </is>
      </c>
      <c r="B4128" t="inlineStr">
        <is>
          <t>隔日到貨🔥 Airpods 保護套 1代 2代 3代 pro pro2 耳機套 A31 矽膠 軟殼 保護殼 蘋果</t>
        </is>
      </c>
      <c r="C4128">
        <f>IMAGE("https://cf.shopee.tw/file/tw-11134207-7r98r-lt9abl3ayqyw18_tn")</f>
        <v/>
      </c>
      <c r="D4128" t="inlineStr">
        <is>
          <t>7.發芽煤球,3代</t>
        </is>
      </c>
      <c r="E4128" t="inlineStr"/>
      <c r="F4128">
        <f>IMAGE("https://cf.shopee.tw/file/tw-11134207-7r98w-lt9ach9fxck25f_tn")</f>
        <v/>
      </c>
    </row>
    <row r="4129">
      <c r="A4129" t="inlineStr">
        <is>
          <t>23161561299</t>
        </is>
      </c>
      <c r="B4129" t="inlineStr">
        <is>
          <t>隔日到貨🔥 Airpods 保護套 1代 2代 3代 pro pro2 耳機套 A31 矽膠 軟殼 保護殼 蘋果</t>
        </is>
      </c>
      <c r="C4129">
        <f>IMAGE("https://cf.shopee.tw/file/tw-11134207-7r98r-lt9abl3ayqyw18_tn")</f>
        <v/>
      </c>
      <c r="D4129" t="inlineStr">
        <is>
          <t>1.綠色青蛙,1代/2代</t>
        </is>
      </c>
      <c r="E4129" t="inlineStr">
        <is>
          <t>138799819918</t>
        </is>
      </c>
      <c r="F4129">
        <f>IMAGE("https://cf.shopee.tw/file/tw-11134207-7r98y-logxenvzsdtmd1_tn")</f>
        <v/>
      </c>
    </row>
    <row r="4130">
      <c r="A4130" t="inlineStr">
        <is>
          <t>23161561299</t>
        </is>
      </c>
      <c r="B4130" t="inlineStr">
        <is>
          <t>隔日到貨🔥 Airpods 保護套 1代 2代 3代 pro pro2 耳機套 A31 矽膠 軟殼 保護殼 蘋果</t>
        </is>
      </c>
      <c r="C4130">
        <f>IMAGE("https://cf.shopee.tw/file/tw-11134207-7r98r-lt9abl3ayqyw18_tn")</f>
        <v/>
      </c>
      <c r="D4130" t="inlineStr">
        <is>
          <t>1.綠色青蛙,Pro1代/Pro2代 (通用）</t>
        </is>
      </c>
      <c r="E4130" t="inlineStr"/>
      <c r="F4130">
        <f>IMAGE("https://cf.shopee.tw/file/tw-11134207-7r98y-logxenvzsdtmd1_tn")</f>
        <v/>
      </c>
    </row>
    <row r="4131">
      <c r="A4131" t="inlineStr">
        <is>
          <t>23161561299</t>
        </is>
      </c>
      <c r="B4131" t="inlineStr">
        <is>
          <t>隔日到貨🔥 Airpods 保護套 1代 2代 3代 pro pro2 耳機套 A31 矽膠 軟殼 保護殼 蘋果</t>
        </is>
      </c>
      <c r="C4131">
        <f>IMAGE("https://cf.shopee.tw/file/tw-11134207-7r98r-lt9abl3ayqyw18_tn")</f>
        <v/>
      </c>
      <c r="D4131" t="inlineStr">
        <is>
          <t>1.綠色青蛙,3代</t>
        </is>
      </c>
      <c r="E4131" t="inlineStr"/>
      <c r="F4131">
        <f>IMAGE("https://cf.shopee.tw/file/tw-11134207-7r98y-logxenvzsdtmd1_tn")</f>
        <v/>
      </c>
    </row>
    <row r="4132">
      <c r="A4132" t="inlineStr">
        <is>
          <t>23161561299</t>
        </is>
      </c>
      <c r="B4132" t="inlineStr">
        <is>
          <t>隔日到貨🔥 Airpods 保護套 1代 2代 3代 pro pro2 耳機套 A31 矽膠 軟殼 保護殼 蘋果</t>
        </is>
      </c>
      <c r="C4132">
        <f>IMAGE("https://cf.shopee.tw/file/tw-11134207-7r98r-lt9abl3ayqyw18_tn")</f>
        <v/>
      </c>
      <c r="D4132" t="inlineStr">
        <is>
          <t>2.灰兔耳朵,1代/2代</t>
        </is>
      </c>
      <c r="E4132" t="inlineStr"/>
      <c r="F4132">
        <f>IMAGE("https://cf.shopee.tw/file/tw-11134207-7r98u-logxenwjq5xmd2_tn")</f>
        <v/>
      </c>
    </row>
    <row r="4133">
      <c r="A4133" t="inlineStr">
        <is>
          <t>23161561299</t>
        </is>
      </c>
      <c r="B4133" t="inlineStr">
        <is>
          <t>隔日到貨🔥 Airpods 保護套 1代 2代 3代 pro pro2 耳機套 A31 矽膠 軟殼 保護殼 蘋果</t>
        </is>
      </c>
      <c r="C4133">
        <f>IMAGE("https://cf.shopee.tw/file/tw-11134207-7r98r-lt9abl3ayqyw18_tn")</f>
        <v/>
      </c>
      <c r="D4133" t="inlineStr">
        <is>
          <t>2.灰兔耳朵,Pro1代/Pro2代 (通用）</t>
        </is>
      </c>
      <c r="E4133" t="inlineStr">
        <is>
          <t>138799819922</t>
        </is>
      </c>
      <c r="F4133">
        <f>IMAGE("https://cf.shopee.tw/file/tw-11134207-7r98u-logxenwjq5xmd2_tn")</f>
        <v/>
      </c>
    </row>
    <row r="4134">
      <c r="A4134" t="inlineStr">
        <is>
          <t>23161561299</t>
        </is>
      </c>
      <c r="B4134" t="inlineStr">
        <is>
          <t>隔日到貨🔥 Airpods 保護套 1代 2代 3代 pro pro2 耳機套 A31 矽膠 軟殼 保護殼 蘋果</t>
        </is>
      </c>
      <c r="C4134">
        <f>IMAGE("https://cf.shopee.tw/file/tw-11134207-7r98r-lt9abl3ayqyw18_tn")</f>
        <v/>
      </c>
      <c r="D4134" t="inlineStr">
        <is>
          <t>2.灰兔耳朵,3代</t>
        </is>
      </c>
      <c r="E4134" t="inlineStr"/>
      <c r="F4134">
        <f>IMAGE("https://cf.shopee.tw/file/tw-11134207-7r98u-logxenwjq5xmd2_tn")</f>
        <v/>
      </c>
    </row>
    <row r="4135">
      <c r="A4135" t="inlineStr">
        <is>
          <t>23161561299</t>
        </is>
      </c>
      <c r="B4135" t="inlineStr">
        <is>
          <t>隔日到貨🔥 Airpods 保護套 1代 2代 3代 pro pro2 耳機套 A31 矽膠 軟殼 保護殼 蘋果</t>
        </is>
      </c>
      <c r="C4135">
        <f>IMAGE("https://cf.shopee.tw/file/tw-11134207-7r98r-lt9abl3ayqyw18_tn")</f>
        <v/>
      </c>
      <c r="D4135" t="inlineStr">
        <is>
          <t>3.粉兔耳朵,1代/2代</t>
        </is>
      </c>
      <c r="E4135" t="inlineStr"/>
      <c r="F4135">
        <f>IMAGE("https://cf.shopee.tw/file/tw-11134207-7r990-logxenwtprbe3b_tn")</f>
        <v/>
      </c>
    </row>
    <row r="4136">
      <c r="A4136" t="inlineStr">
        <is>
          <t>23161561299</t>
        </is>
      </c>
      <c r="B4136" t="inlineStr">
        <is>
          <t>隔日到貨🔥 Airpods 保護套 1代 2代 3代 pro pro2 耳機套 A31 矽膠 軟殼 保護殼 蘋果</t>
        </is>
      </c>
      <c r="C4136">
        <f>IMAGE("https://cf.shopee.tw/file/tw-11134207-7r98r-lt9abl3ayqyw18_tn")</f>
        <v/>
      </c>
      <c r="D4136" t="inlineStr">
        <is>
          <t>3.粉兔耳朵,Pro1代/Pro2代 (通用）</t>
        </is>
      </c>
      <c r="E4136" t="inlineStr">
        <is>
          <t>138799819925</t>
        </is>
      </c>
      <c r="F4136">
        <f>IMAGE("https://cf.shopee.tw/file/tw-11134207-7r990-logxenwtprbe3b_tn")</f>
        <v/>
      </c>
    </row>
    <row r="4137">
      <c r="A4137" t="inlineStr">
        <is>
          <t>23161561299</t>
        </is>
      </c>
      <c r="B4137" t="inlineStr">
        <is>
          <t>隔日到貨🔥 Airpods 保護套 1代 2代 3代 pro pro2 耳機套 A31 矽膠 軟殼 保護殼 蘋果</t>
        </is>
      </c>
      <c r="C4137">
        <f>IMAGE("https://cf.shopee.tw/file/tw-11134207-7r98r-lt9abl3ayqyw18_tn")</f>
        <v/>
      </c>
      <c r="D4137" t="inlineStr">
        <is>
          <t>3.粉兔耳朵,3代</t>
        </is>
      </c>
      <c r="E4137" t="inlineStr"/>
      <c r="F4137">
        <f>IMAGE("https://cf.shopee.tw/file/tw-11134207-7r990-logxenwtprbe3b_tn")</f>
        <v/>
      </c>
    </row>
    <row r="4138">
      <c r="A4138" t="inlineStr">
        <is>
          <t>23161561299</t>
        </is>
      </c>
      <c r="B4138" t="inlineStr">
        <is>
          <t>隔日到貨🔥 Airpods 保護套 1代 2代 3代 pro pro2 耳機套 A31 矽膠 軟殼 保護殼 蘋果</t>
        </is>
      </c>
      <c r="C4138">
        <f>IMAGE("https://cf.shopee.tw/file/tw-11134207-7r98r-lt9abl3ayqyw18_tn")</f>
        <v/>
      </c>
      <c r="D4138" t="inlineStr">
        <is>
          <t>4.藍色冰棒,1代/2代</t>
        </is>
      </c>
      <c r="E4138" t="inlineStr"/>
      <c r="F4138">
        <f>IMAGE("https://cf.shopee.tw/file/tw-11134207-7r98u-logxenwk5m6ied_tn")</f>
        <v/>
      </c>
    </row>
    <row r="4139">
      <c r="A4139" t="inlineStr">
        <is>
          <t>23161561299</t>
        </is>
      </c>
      <c r="B4139" t="inlineStr">
        <is>
          <t>隔日到貨🔥 Airpods 保護套 1代 2代 3代 pro pro2 耳機套 A31 矽膠 軟殼 保護殼 蘋果</t>
        </is>
      </c>
      <c r="C4139">
        <f>IMAGE("https://cf.shopee.tw/file/tw-11134207-7r98r-lt9abl3ayqyw18_tn")</f>
        <v/>
      </c>
      <c r="D4139" t="inlineStr">
        <is>
          <t>4.藍色冰棒,Pro1代/Pro2代 (通用）</t>
        </is>
      </c>
      <c r="E4139" t="inlineStr">
        <is>
          <t>138799819928</t>
        </is>
      </c>
      <c r="F4139">
        <f>IMAGE("https://cf.shopee.tw/file/tw-11134207-7r98u-logxenwk5m6ied_tn")</f>
        <v/>
      </c>
    </row>
    <row r="4140">
      <c r="A4140" t="inlineStr">
        <is>
          <t>23161561299</t>
        </is>
      </c>
      <c r="B4140" t="inlineStr">
        <is>
          <t>隔日到貨🔥 Airpods 保護套 1代 2代 3代 pro pro2 耳機套 A31 矽膠 軟殼 保護殼 蘋果</t>
        </is>
      </c>
      <c r="C4140">
        <f>IMAGE("https://cf.shopee.tw/file/tw-11134207-7r98r-lt9abl3ayqyw18_tn")</f>
        <v/>
      </c>
      <c r="D4140" t="inlineStr">
        <is>
          <t>4.藍色冰棒,3代</t>
        </is>
      </c>
      <c r="E4140" t="inlineStr"/>
      <c r="F4140">
        <f>IMAGE("https://cf.shopee.tw/file/tw-11134207-7r98u-logxenwk5m6ied_tn")</f>
        <v/>
      </c>
    </row>
    <row r="4141">
      <c r="A4141" t="inlineStr">
        <is>
          <t>23161561299</t>
        </is>
      </c>
      <c r="B4141" t="inlineStr">
        <is>
          <t>隔日到貨🔥 Airpods 保護套 1代 2代 3代 pro pro2 耳機套 A31 矽膠 軟殼 保護殼 蘋果</t>
        </is>
      </c>
      <c r="C4141">
        <f>IMAGE("https://cf.shopee.tw/file/tw-11134207-7r98r-lt9abl3ayqyw18_tn")</f>
        <v/>
      </c>
      <c r="D4141" t="inlineStr">
        <is>
          <t>5.黃色白鴨子,1代/2代</t>
        </is>
      </c>
      <c r="E4141" t="inlineStr"/>
      <c r="F4141">
        <f>IMAGE("https://cf.shopee.tw/file/tw-11134207-7r98u-logxenwvfkay8c_tn")</f>
        <v/>
      </c>
    </row>
    <row r="4142">
      <c r="A4142" t="inlineStr">
        <is>
          <t>23161561299</t>
        </is>
      </c>
      <c r="B4142" t="inlineStr">
        <is>
          <t>隔日到貨🔥 Airpods 保護套 1代 2代 3代 pro pro2 耳機套 A31 矽膠 軟殼 保護殼 蘋果</t>
        </is>
      </c>
      <c r="C4142">
        <f>IMAGE("https://cf.shopee.tw/file/tw-11134207-7r98r-lt9abl3ayqyw18_tn")</f>
        <v/>
      </c>
      <c r="D4142" t="inlineStr">
        <is>
          <t>5.黃色白鴨子,Pro1代/Pro2代 (通用）</t>
        </is>
      </c>
      <c r="E4142" t="inlineStr"/>
      <c r="F4142">
        <f>IMAGE("https://cf.shopee.tw/file/tw-11134207-7r98u-logxenwvfkay8c_tn")</f>
        <v/>
      </c>
    </row>
    <row r="4143">
      <c r="A4143" t="inlineStr">
        <is>
          <t>23161561299</t>
        </is>
      </c>
      <c r="B4143" t="inlineStr">
        <is>
          <t>隔日到貨🔥 Airpods 保護套 1代 2代 3代 pro pro2 耳機套 A31 矽膠 軟殼 保護殼 蘋果</t>
        </is>
      </c>
      <c r="C4143">
        <f>IMAGE("https://cf.shopee.tw/file/tw-11134207-7r98r-lt9abl3ayqyw18_tn")</f>
        <v/>
      </c>
      <c r="D4143" t="inlineStr">
        <is>
          <t>6.無芽煤球,1代/2代</t>
        </is>
      </c>
      <c r="E4143" t="inlineStr">
        <is>
          <t>222628245516</t>
        </is>
      </c>
      <c r="F4143">
        <f>IMAGE("https://cf.shopee.tw/file/tw-11134207-7r98y-lt9ach9fxczs83_tn")</f>
        <v/>
      </c>
    </row>
    <row r="4144">
      <c r="A4144" t="inlineStr">
        <is>
          <t>23161561299</t>
        </is>
      </c>
      <c r="B4144" t="inlineStr">
        <is>
          <t>隔日到貨🔥 Airpods 保護套 1代 2代 3代 pro pro2 耳機套 A31 矽膠 軟殼 保護殼 蘋果</t>
        </is>
      </c>
      <c r="C4144">
        <f>IMAGE("https://cf.shopee.tw/file/tw-11134207-7r98r-lt9abl3ayqyw18_tn")</f>
        <v/>
      </c>
      <c r="D4144" t="inlineStr">
        <is>
          <t>6.無芽煤球,Pro1代/Pro2代 (通用）</t>
        </is>
      </c>
      <c r="E4144" t="inlineStr"/>
      <c r="F4144">
        <f>IMAGE("https://cf.shopee.tw/file/tw-11134207-7r98y-lt9ach9fxczs83_tn")</f>
        <v/>
      </c>
    </row>
    <row r="4145">
      <c r="A4145" t="inlineStr">
        <is>
          <t>23161561299</t>
        </is>
      </c>
      <c r="B4145" t="inlineStr">
        <is>
          <t>隔日到貨🔥 Airpods 保護套 1代 2代 3代 pro pro2 耳機套 A31 矽膠 軟殼 保護殼 蘋果</t>
        </is>
      </c>
      <c r="C4145">
        <f>IMAGE("https://cf.shopee.tw/file/tw-11134207-7r98r-lt9abl3ayqyw18_tn")</f>
        <v/>
      </c>
      <c r="D4145" t="inlineStr">
        <is>
          <t>6.無芽煤球,3代</t>
        </is>
      </c>
      <c r="E4145" t="inlineStr"/>
      <c r="F4145">
        <f>IMAGE("https://cf.shopee.tw/file/tw-11134207-7r98y-lt9ach9fxczs83_tn")</f>
        <v/>
      </c>
    </row>
    <row r="4146">
      <c r="A4146" t="inlineStr">
        <is>
          <t>23161561299</t>
        </is>
      </c>
      <c r="B4146" t="inlineStr">
        <is>
          <t>隔日到貨🔥 Airpods 保護套 1代 2代 3代 pro pro2 耳機套 A31 矽膠 軟殼 保護殼 蘋果</t>
        </is>
      </c>
      <c r="C4146">
        <f>IMAGE("https://cf.shopee.tw/file/tw-11134207-7r98r-lt9abl3ayqyw18_tn")</f>
        <v/>
      </c>
      <c r="D4146" t="inlineStr">
        <is>
          <t>7.發芽煤球,1代/2代</t>
        </is>
      </c>
      <c r="E4146" t="inlineStr">
        <is>
          <t>232628238392</t>
        </is>
      </c>
      <c r="F4146">
        <f>IMAGE("https://cf.shopee.tw/file/tw-11134207-7r98w-lt9ach9fxck25f_tn")</f>
        <v/>
      </c>
    </row>
    <row r="4147">
      <c r="A4147" t="inlineStr">
        <is>
          <t>23161561299</t>
        </is>
      </c>
      <c r="B4147" t="inlineStr">
        <is>
          <t>隔日到貨🔥 Airpods 保護套 1代 2代 3代 pro pro2 耳機套 A31 矽膠 軟殼 保護殼 蘋果</t>
        </is>
      </c>
      <c r="C4147">
        <f>IMAGE("https://cf.shopee.tw/file/tw-11134207-7r98r-lt9abl3ayqyw18_tn")</f>
        <v/>
      </c>
      <c r="D4147" t="inlineStr">
        <is>
          <t>7.發芽煤球,Pro1代/Pro2代 (通用）</t>
        </is>
      </c>
      <c r="E4147" t="inlineStr"/>
      <c r="F4147">
        <f>IMAGE("https://cf.shopee.tw/file/tw-11134207-7r98w-lt9ach9fxck25f_tn")</f>
        <v/>
      </c>
    </row>
    <row r="4148">
      <c r="A4148" t="inlineStr">
        <is>
          <t>23161561299</t>
        </is>
      </c>
      <c r="B4148" t="inlineStr">
        <is>
          <t>隔日到貨🔥 Airpods 保護套 1代 2代 3代 pro pro2 耳機套 A31 矽膠 軟殼 保護殼 蘋果</t>
        </is>
      </c>
      <c r="C4148">
        <f>IMAGE("https://cf.shopee.tw/file/tw-11134207-7r98r-lt9abl3ayqyw18_tn")</f>
        <v/>
      </c>
      <c r="D4148" t="inlineStr">
        <is>
          <t>8.西紅柿水豚,1代/2代</t>
        </is>
      </c>
      <c r="E4148" t="inlineStr"/>
      <c r="F4148">
        <f>IMAGE("https://cf.shopee.tw/file/tw-11134207-7r992-lt9ach9gct8ocd_tn")</f>
        <v/>
      </c>
    </row>
    <row r="4149">
      <c r="A4149" t="inlineStr">
        <is>
          <t>23161561299</t>
        </is>
      </c>
      <c r="B4149" t="inlineStr">
        <is>
          <t>隔日到貨🔥 Airpods 保護套 1代 2代 3代 pro pro2 耳機套 A31 矽膠 軟殼 保護殼 蘋果</t>
        </is>
      </c>
      <c r="C4149">
        <f>IMAGE("https://cf.shopee.tw/file/tw-11134207-7r98r-lt9abl3ayqyw18_tn")</f>
        <v/>
      </c>
      <c r="D4149" t="inlineStr">
        <is>
          <t>8.西紅柿水豚,Pro1代/Pro2代 (通用）</t>
        </is>
      </c>
      <c r="E4149" t="inlineStr">
        <is>
          <t>232628238396</t>
        </is>
      </c>
      <c r="F4149">
        <f>IMAGE("https://cf.shopee.tw/file/tw-11134207-7r992-lt9ach9gct8ocd_tn")</f>
        <v/>
      </c>
    </row>
    <row r="4150">
      <c r="A4150" t="inlineStr">
        <is>
          <t>23161561299</t>
        </is>
      </c>
      <c r="B4150" t="inlineStr">
        <is>
          <t>隔日到貨🔥 Airpods 保護套 1代 2代 3代 pro pro2 耳機套 A31 矽膠 軟殼 保護殼 蘋果</t>
        </is>
      </c>
      <c r="C4150">
        <f>IMAGE("https://cf.shopee.tw/file/tw-11134207-7r98r-lt9abl3ayqyw18_tn")</f>
        <v/>
      </c>
      <c r="D4150" t="inlineStr">
        <is>
          <t>8.西紅柿水豚,3代</t>
        </is>
      </c>
      <c r="E4150" t="inlineStr"/>
      <c r="F4150">
        <f>IMAGE("https://cf.shopee.tw/file/tw-11134207-7r992-lt9ach9gct8ocd_tn")</f>
        <v/>
      </c>
    </row>
    <row r="4151">
      <c r="A4151" t="inlineStr">
        <is>
          <t>23161561299</t>
        </is>
      </c>
      <c r="B4151" t="inlineStr">
        <is>
          <t>隔日到貨🔥 Airpods 保護套 1代 2代 3代 pro pro2 耳機套 A31 矽膠 軟殼 保護殼 蘋果</t>
        </is>
      </c>
      <c r="C4151">
        <f>IMAGE("https://cf.shopee.tw/file/tw-11134207-7r98r-lt9abl3ayqyw18_tn")</f>
        <v/>
      </c>
      <c r="D4151" t="inlineStr">
        <is>
          <t>9.露牙粉色怪,1代/2代</t>
        </is>
      </c>
      <c r="E4151" t="inlineStr"/>
      <c r="F4151">
        <f>IMAGE("https://cf.shopee.tw/file/tw-11134207-7r98o-lt9afhs54d767d_tn")</f>
        <v/>
      </c>
    </row>
    <row r="4152">
      <c r="A4152" t="inlineStr">
        <is>
          <t>23161561299</t>
        </is>
      </c>
      <c r="B4152" t="inlineStr">
        <is>
          <t>隔日到貨🔥 Airpods 保護套 1代 2代 3代 pro pro2 耳機套 A31 矽膠 軟殼 保護殼 蘋果</t>
        </is>
      </c>
      <c r="C4152">
        <f>IMAGE("https://cf.shopee.tw/file/tw-11134207-7r98r-lt9abl3ayqyw18_tn")</f>
        <v/>
      </c>
      <c r="D4152" t="inlineStr">
        <is>
          <t>9.露牙粉色怪,Pro1代/Pro2代 (通用）</t>
        </is>
      </c>
      <c r="E4152" t="inlineStr">
        <is>
          <t>232628238399</t>
        </is>
      </c>
      <c r="F4152">
        <f>IMAGE("https://cf.shopee.tw/file/tw-11134207-7r98o-lt9afhs54d767d_tn")</f>
        <v/>
      </c>
    </row>
    <row r="4153">
      <c r="A4153" t="inlineStr">
        <is>
          <t>23161561299</t>
        </is>
      </c>
      <c r="B4153" t="inlineStr">
        <is>
          <t>隔日到貨🔥 Airpods 保護套 1代 2代 3代 pro pro2 耳機套 A31 矽膠 軟殼 保護殼 蘋果</t>
        </is>
      </c>
      <c r="C4153">
        <f>IMAGE("https://cf.shopee.tw/file/tw-11134207-7r98r-lt9abl3ayqyw18_tn")</f>
        <v/>
      </c>
      <c r="D4153" t="inlineStr">
        <is>
          <t>9.露牙粉色怪,3代</t>
        </is>
      </c>
      <c r="E4153" t="inlineStr"/>
      <c r="F4153">
        <f>IMAGE("https://cf.shopee.tw/file/tw-11134207-7r98o-lt9afhs54d767d_tn")</f>
        <v/>
      </c>
    </row>
    <row r="4154">
      <c r="A4154" t="inlineStr">
        <is>
          <t>23161561299</t>
        </is>
      </c>
      <c r="B4154" t="inlineStr">
        <is>
          <t>隔日到貨🔥 Airpods 保護套 1代 2代 3代 pro pro2 耳機套 A31 矽膠 軟殼 保護殼 蘋果</t>
        </is>
      </c>
      <c r="C4154">
        <f>IMAGE("https://cf.shopee.tw/file/tw-11134207-7r98r-lt9abl3ayqyw18_tn")</f>
        <v/>
      </c>
      <c r="D4154" t="inlineStr">
        <is>
          <t>10.墨鏡狗紅,1代/2代</t>
        </is>
      </c>
      <c r="E4154" t="inlineStr"/>
      <c r="F4154">
        <f>IMAGE("https://cf.shopee.tw/file/tw-11134207-7r990-lt9afhs55rrmd7_tn")</f>
        <v/>
      </c>
    </row>
    <row r="4155">
      <c r="A4155" t="inlineStr">
        <is>
          <t>23161561299</t>
        </is>
      </c>
      <c r="B4155" t="inlineStr">
        <is>
          <t>隔日到貨🔥 Airpods 保護套 1代 2代 3代 pro pro2 耳機套 A31 矽膠 軟殼 保護殼 蘋果</t>
        </is>
      </c>
      <c r="C4155">
        <f>IMAGE("https://cf.shopee.tw/file/tw-11134207-7r98r-lt9abl3ayqyw18_tn")</f>
        <v/>
      </c>
      <c r="D4155" t="inlineStr">
        <is>
          <t>10.墨鏡狗紅,Pro1代/Pro2代 (通用）</t>
        </is>
      </c>
      <c r="E4155" t="inlineStr"/>
      <c r="F4155">
        <f>IMAGE("https://cf.shopee.tw/file/tw-11134207-7r990-lt9afhs55rrmd7_tn")</f>
        <v/>
      </c>
    </row>
    <row r="4156">
      <c r="A4156" t="inlineStr">
        <is>
          <t>23161561299</t>
        </is>
      </c>
      <c r="B4156" t="inlineStr">
        <is>
          <t>隔日到貨🔥 Airpods 保護套 1代 2代 3代 pro pro2 耳機套 A31 矽膠 軟殼 保護殼 蘋果</t>
        </is>
      </c>
      <c r="C4156">
        <f>IMAGE("https://cf.shopee.tw/file/tw-11134207-7r98r-lt9abl3ayqyw18_tn")</f>
        <v/>
      </c>
      <c r="D4156" t="inlineStr">
        <is>
          <t>10.墨鏡狗紅,3代</t>
        </is>
      </c>
      <c r="E4156" t="inlineStr"/>
      <c r="F4156">
        <f>IMAGE("https://cf.shopee.tw/file/tw-11134207-7r990-lt9afhs55rrmd7_tn")</f>
        <v/>
      </c>
    </row>
    <row r="4157">
      <c r="A4157" t="inlineStr">
        <is>
          <t>23161561299</t>
        </is>
      </c>
      <c r="B4157" t="inlineStr">
        <is>
          <t>隔日到貨🔥 Airpods 保護套 1代 2代 3代 pro pro2 耳機套 A31 矽膠 軟殼 保護殼 蘋果</t>
        </is>
      </c>
      <c r="C4157">
        <f>IMAGE("https://cf.shopee.tw/file/tw-11134207-7r98r-lt9abl3ayqyw18_tn")</f>
        <v/>
      </c>
      <c r="D4157" t="inlineStr">
        <is>
          <t>11.墨鏡狗黑,1代/2代</t>
        </is>
      </c>
      <c r="E4157" t="inlineStr"/>
      <c r="F4157">
        <f>IMAGE("https://cf.shopee.tw/file/tw-11134207-7r991-lt9afxm1wyqa61_tn")</f>
        <v/>
      </c>
    </row>
    <row r="4158">
      <c r="A4158" t="inlineStr">
        <is>
          <t>23161561299</t>
        </is>
      </c>
      <c r="B4158" t="inlineStr">
        <is>
          <t>隔日到貨🔥 Airpods 保護套 1代 2代 3代 pro pro2 耳機套 A31 矽膠 軟殼 保護殼 蘋果</t>
        </is>
      </c>
      <c r="C4158">
        <f>IMAGE("https://cf.shopee.tw/file/tw-11134207-7r98r-lt9abl3ayqyw18_tn")</f>
        <v/>
      </c>
      <c r="D4158" t="inlineStr">
        <is>
          <t>11.墨鏡狗黑,Pro1代/Pro2代 (通用）</t>
        </is>
      </c>
      <c r="E4158" t="inlineStr"/>
      <c r="F4158">
        <f>IMAGE("https://cf.shopee.tw/file/tw-11134207-7r991-lt9afxm1wyqa61_tn")</f>
        <v/>
      </c>
    </row>
    <row r="4159">
      <c r="A4159" t="inlineStr">
        <is>
          <t>23161561299</t>
        </is>
      </c>
      <c r="B4159" t="inlineStr">
        <is>
          <t>隔日到貨🔥 Airpods 保護套 1代 2代 3代 pro pro2 耳機套 A31 矽膠 軟殼 保護殼 蘋果</t>
        </is>
      </c>
      <c r="C4159">
        <f>IMAGE("https://cf.shopee.tw/file/tw-11134207-7r98r-lt9abl3ayqyw18_tn")</f>
        <v/>
      </c>
      <c r="D4159" t="inlineStr">
        <is>
          <t>11.墨鏡狗黑,3代</t>
        </is>
      </c>
      <c r="E4159" t="inlineStr"/>
      <c r="F4159">
        <f>IMAGE("https://cf.shopee.tw/file/tw-11134207-7r991-lt9afxm1wyqa61_tn")</f>
        <v/>
      </c>
    </row>
    <row r="4160">
      <c r="A4160" t="inlineStr">
        <is>
          <t>19157585932</t>
        </is>
      </c>
      <c r="B4160" t="inlineStr">
        <is>
          <t>隔日到貨🔥 Airpods 保護套 1代 2代 3代 pro pro2 A3 耳機套 防摔 硬殼 保護殼 耳機殼</t>
        </is>
      </c>
      <c r="C4160">
        <f>IMAGE("https://cf.shopee.tw/file/tw-11134207-7r98x-lp3da634x9vb27_tn")</f>
        <v/>
      </c>
      <c r="D4160" t="inlineStr">
        <is>
          <t>1號(附掛鉤),［3代］</t>
        </is>
      </c>
      <c r="E4160" t="inlineStr">
        <is>
          <t>107625603601</t>
        </is>
      </c>
      <c r="F4160">
        <f>IMAGE("https://cf.shopee.tw/file/sg-11134201-22100-2wzroddws4ive7_tn")</f>
        <v/>
      </c>
    </row>
    <row r="4161">
      <c r="A4161" t="inlineStr">
        <is>
          <t>19157585932</t>
        </is>
      </c>
      <c r="B4161" t="inlineStr">
        <is>
          <t>隔日到貨🔥 Airpods 保護套 1代 2代 3代 pro pro2 A3 耳機套 防摔 硬殼 保護殼 耳機殼</t>
        </is>
      </c>
      <c r="C4161">
        <f>IMAGE("https://cf.shopee.tw/file/tw-11134207-7r98x-lp3da634x9vb27_tn")</f>
        <v/>
      </c>
      <c r="D4161" t="inlineStr">
        <is>
          <t>4號(附圖上掛飾),［3代］</t>
        </is>
      </c>
      <c r="E4161" t="inlineStr"/>
      <c r="F4161">
        <f>IMAGE("https://cf.shopee.tw/file/sg-11134201-22100-hdjqi2gxs4iv21_tn")</f>
        <v/>
      </c>
    </row>
    <row r="4162">
      <c r="A4162" t="inlineStr">
        <is>
          <t>19157585932</t>
        </is>
      </c>
      <c r="B4162" t="inlineStr">
        <is>
          <t>隔日到貨🔥 Airpods 保護套 1代 2代 3代 pro pro2 A3 耳機套 防摔 硬殼 保護殼 耳機殼</t>
        </is>
      </c>
      <c r="C4162">
        <f>IMAGE("https://cf.shopee.tw/file/tw-11134207-7r98x-lp3da634x9vb27_tn")</f>
        <v/>
      </c>
      <c r="D4162" t="inlineStr">
        <is>
          <t>7號(附掛鉤),［3代］</t>
        </is>
      </c>
      <c r="E4162" t="inlineStr"/>
      <c r="F4162">
        <f>IMAGE("https://cf.shopee.tw/file/sg-11134201-22100-6zgyw1zxs4iv17_tn")</f>
        <v/>
      </c>
    </row>
    <row r="4163">
      <c r="A4163" t="inlineStr">
        <is>
          <t>19157585932</t>
        </is>
      </c>
      <c r="B4163" t="inlineStr">
        <is>
          <t>隔日到貨🔥 Airpods 保護套 1代 2代 3代 pro pro2 A3 耳機套 防摔 硬殼 保護殼 耳機殼</t>
        </is>
      </c>
      <c r="C4163">
        <f>IMAGE("https://cf.shopee.tw/file/tw-11134207-7r98x-lp3da634x9vb27_tn")</f>
        <v/>
      </c>
      <c r="D4163" t="inlineStr">
        <is>
          <t>7號(附掛鉤),Pro2代</t>
        </is>
      </c>
      <c r="E4163" t="inlineStr"/>
      <c r="F4163">
        <f>IMAGE("https://cf.shopee.tw/file/sg-11134201-22100-6zgyw1zxs4iv17_tn")</f>
        <v/>
      </c>
    </row>
    <row r="4164">
      <c r="A4164" t="inlineStr">
        <is>
          <t>19157585932</t>
        </is>
      </c>
      <c r="B4164" t="inlineStr">
        <is>
          <t>隔日到貨🔥 Airpods 保護套 1代 2代 3代 pro pro2 A3 耳機套 防摔 硬殼 保護殼 耳機殼</t>
        </is>
      </c>
      <c r="C4164">
        <f>IMAGE("https://cf.shopee.tw/file/tw-11134207-7r98x-lp3da634x9vb27_tn")</f>
        <v/>
      </c>
      <c r="D4164" t="inlineStr">
        <is>
          <t>1號(附掛鉤),1代 / 2代</t>
        </is>
      </c>
      <c r="E4164" t="inlineStr"/>
      <c r="F4164">
        <f>IMAGE("https://cf.shopee.tw/file/sg-11134201-22100-2wzroddws4ive7_tn")</f>
        <v/>
      </c>
    </row>
    <row r="4165">
      <c r="A4165" t="inlineStr">
        <is>
          <t>19157585932</t>
        </is>
      </c>
      <c r="B4165" t="inlineStr">
        <is>
          <t>隔日到貨🔥 Airpods 保護套 1代 2代 3代 pro pro2 A3 耳機套 防摔 硬殼 保護殼 耳機殼</t>
        </is>
      </c>
      <c r="C4165">
        <f>IMAGE("https://cf.shopee.tw/file/tw-11134207-7r98x-lp3da634x9vb27_tn")</f>
        <v/>
      </c>
      <c r="D4165" t="inlineStr">
        <is>
          <t>1號(附掛鉤),Pro1代</t>
        </is>
      </c>
      <c r="E4165" t="inlineStr"/>
      <c r="F4165">
        <f>IMAGE("https://cf.shopee.tw/file/sg-11134201-22100-2wzroddws4ive7_tn")</f>
        <v/>
      </c>
    </row>
    <row r="4166">
      <c r="A4166" t="inlineStr">
        <is>
          <t>19157585932</t>
        </is>
      </c>
      <c r="B4166" t="inlineStr">
        <is>
          <t>隔日到貨🔥 Airpods 保護套 1代 2代 3代 pro pro2 A3 耳機套 防摔 硬殼 保護殼 耳機殼</t>
        </is>
      </c>
      <c r="C4166">
        <f>IMAGE("https://cf.shopee.tw/file/tw-11134207-7r98x-lp3da634x9vb27_tn")</f>
        <v/>
      </c>
      <c r="D4166" t="inlineStr">
        <is>
          <t>1號(附掛鉤),Pro2代</t>
        </is>
      </c>
      <c r="E4166" t="inlineStr"/>
      <c r="F4166">
        <f>IMAGE("https://cf.shopee.tw/file/sg-11134201-22100-2wzroddws4ive7_tn")</f>
        <v/>
      </c>
    </row>
    <row r="4167">
      <c r="A4167" t="inlineStr">
        <is>
          <t>19157585932</t>
        </is>
      </c>
      <c r="B4167" t="inlineStr">
        <is>
          <t>隔日到貨🔥 Airpods 保護套 1代 2代 3代 pro pro2 A3 耳機套 防摔 硬殼 保護殼 耳機殼</t>
        </is>
      </c>
      <c r="C4167">
        <f>IMAGE("https://cf.shopee.tw/file/tw-11134207-7r98x-lp3da634x9vb27_tn")</f>
        <v/>
      </c>
      <c r="D4167" t="inlineStr">
        <is>
          <t>2號(附掛鉤),1代 / 2代</t>
        </is>
      </c>
      <c r="E4167" t="inlineStr"/>
      <c r="F4167">
        <f>IMAGE("https://cf.shopee.tw/file/sg-11134201-22110-xmazez0cpvjv94_tn")</f>
        <v/>
      </c>
    </row>
    <row r="4168">
      <c r="A4168" t="inlineStr">
        <is>
          <t>19157585932</t>
        </is>
      </c>
      <c r="B4168" t="inlineStr">
        <is>
          <t>隔日到貨🔥 Airpods 保護套 1代 2代 3代 pro pro2 A3 耳機套 防摔 硬殼 保護殼 耳機殼</t>
        </is>
      </c>
      <c r="C4168">
        <f>IMAGE("https://cf.shopee.tw/file/tw-11134207-7r98x-lp3da634x9vb27_tn")</f>
        <v/>
      </c>
      <c r="D4168" t="inlineStr">
        <is>
          <t>2號(附掛鉤),Pro1代</t>
        </is>
      </c>
      <c r="E4168" t="inlineStr"/>
      <c r="F4168">
        <f>IMAGE("https://cf.shopee.tw/file/sg-11134201-22110-xmazez0cpvjv94_tn")</f>
        <v/>
      </c>
    </row>
    <row r="4169">
      <c r="A4169" t="inlineStr">
        <is>
          <t>19157585932</t>
        </is>
      </c>
      <c r="B4169" t="inlineStr">
        <is>
          <t>隔日到貨🔥 Airpods 保護套 1代 2代 3代 pro pro2 A3 耳機套 防摔 硬殼 保護殼 耳機殼</t>
        </is>
      </c>
      <c r="C4169">
        <f>IMAGE("https://cf.shopee.tw/file/tw-11134207-7r98x-lp3da634x9vb27_tn")</f>
        <v/>
      </c>
      <c r="D4169" t="inlineStr">
        <is>
          <t>2號(附掛鉤),［3代］</t>
        </is>
      </c>
      <c r="E4169" t="inlineStr"/>
      <c r="F4169">
        <f>IMAGE("https://cf.shopee.tw/file/sg-11134201-22110-xmazez0cpvjv94_tn")</f>
        <v/>
      </c>
    </row>
    <row r="4170">
      <c r="A4170" t="inlineStr">
        <is>
          <t>19157585932</t>
        </is>
      </c>
      <c r="B4170" t="inlineStr">
        <is>
          <t>隔日到貨🔥 Airpods 保護套 1代 2代 3代 pro pro2 A3 耳機套 防摔 硬殼 保護殼 耳機殼</t>
        </is>
      </c>
      <c r="C4170">
        <f>IMAGE("https://cf.shopee.tw/file/tw-11134207-7r98x-lp3da634x9vb27_tn")</f>
        <v/>
      </c>
      <c r="D4170" t="inlineStr">
        <is>
          <t>2號(附掛鉤),Pro2代</t>
        </is>
      </c>
      <c r="E4170" t="inlineStr">
        <is>
          <t>146380890582</t>
        </is>
      </c>
      <c r="F4170">
        <f>IMAGE("https://cf.shopee.tw/file/sg-11134201-22110-xmazez0cpvjv94_tn")</f>
        <v/>
      </c>
    </row>
    <row r="4171">
      <c r="A4171" t="inlineStr">
        <is>
          <t>19157585932</t>
        </is>
      </c>
      <c r="B4171" t="inlineStr">
        <is>
          <t>隔日到貨🔥 Airpods 保護套 1代 2代 3代 pro pro2 A3 耳機套 防摔 硬殼 保護殼 耳機殼</t>
        </is>
      </c>
      <c r="C4171">
        <f>IMAGE("https://cf.shopee.tw/file/tw-11134207-7r98x-lp3da634x9vb27_tn")</f>
        <v/>
      </c>
      <c r="D4171" t="inlineStr">
        <is>
          <t>3號(附掛鉤),1代 / 2代</t>
        </is>
      </c>
      <c r="E4171" t="inlineStr">
        <is>
          <t>107625603602</t>
        </is>
      </c>
      <c r="F4171">
        <f>IMAGE("https://cf.shopee.tw/file/sg-11134201-22100-suo81v6ws4iv8d_tn")</f>
        <v/>
      </c>
    </row>
    <row r="4172">
      <c r="A4172" t="inlineStr">
        <is>
          <t>19157585932</t>
        </is>
      </c>
      <c r="B4172" t="inlineStr">
        <is>
          <t>隔日到貨🔥 Airpods 保護套 1代 2代 3代 pro pro2 A3 耳機套 防摔 硬殼 保護殼 耳機殼</t>
        </is>
      </c>
      <c r="C4172">
        <f>IMAGE("https://cf.shopee.tw/file/tw-11134207-7r98x-lp3da634x9vb27_tn")</f>
        <v/>
      </c>
      <c r="D4172" t="inlineStr">
        <is>
          <t>3號(附掛鉤),Pro1代</t>
        </is>
      </c>
      <c r="E4172" t="inlineStr"/>
      <c r="F4172">
        <f>IMAGE("https://cf.shopee.tw/file/sg-11134201-22100-suo81v6ws4iv8d_tn")</f>
        <v/>
      </c>
    </row>
    <row r="4173">
      <c r="A4173" t="inlineStr">
        <is>
          <t>19157585932</t>
        </is>
      </c>
      <c r="B4173" t="inlineStr">
        <is>
          <t>隔日到貨🔥 Airpods 保護套 1代 2代 3代 pro pro2 A3 耳機套 防摔 硬殼 保護殼 耳機殼</t>
        </is>
      </c>
      <c r="C4173">
        <f>IMAGE("https://cf.shopee.tw/file/tw-11134207-7r98x-lp3da634x9vb27_tn")</f>
        <v/>
      </c>
      <c r="D4173" t="inlineStr">
        <is>
          <t>3號(附掛鉤),［3代］</t>
        </is>
      </c>
      <c r="E4173" t="inlineStr"/>
      <c r="F4173">
        <f>IMAGE("https://cf.shopee.tw/file/sg-11134201-22100-suo81v6ws4iv8d_tn")</f>
        <v/>
      </c>
    </row>
    <row r="4174">
      <c r="A4174" t="inlineStr">
        <is>
          <t>19157585932</t>
        </is>
      </c>
      <c r="B4174" t="inlineStr">
        <is>
          <t>隔日到貨🔥 Airpods 保護套 1代 2代 3代 pro pro2 A3 耳機套 防摔 硬殼 保護殼 耳機殼</t>
        </is>
      </c>
      <c r="C4174">
        <f>IMAGE("https://cf.shopee.tw/file/tw-11134207-7r98x-lp3da634x9vb27_tn")</f>
        <v/>
      </c>
      <c r="D4174" t="inlineStr">
        <is>
          <t>3號(附掛鉤),Pro2代</t>
        </is>
      </c>
      <c r="E4174" t="inlineStr"/>
      <c r="F4174">
        <f>IMAGE("https://cf.shopee.tw/file/sg-11134201-22100-suo81v6ws4iv8d_tn")</f>
        <v/>
      </c>
    </row>
    <row r="4175">
      <c r="A4175" t="inlineStr">
        <is>
          <t>19157585932</t>
        </is>
      </c>
      <c r="B4175" t="inlineStr">
        <is>
          <t>隔日到貨🔥 Airpods 保護套 1代 2代 3代 pro pro2 A3 耳機套 防摔 硬殼 保護殼 耳機殼</t>
        </is>
      </c>
      <c r="C4175">
        <f>IMAGE("https://cf.shopee.tw/file/tw-11134207-7r98x-lp3da634x9vb27_tn")</f>
        <v/>
      </c>
      <c r="D4175" t="inlineStr">
        <is>
          <t>4號(附圖上掛飾),1代 / 2代</t>
        </is>
      </c>
      <c r="E4175" t="inlineStr">
        <is>
          <t>107625603583</t>
        </is>
      </c>
      <c r="F4175">
        <f>IMAGE("https://cf.shopee.tw/file/sg-11134201-22100-hdjqi2gxs4iv21_tn")</f>
        <v/>
      </c>
    </row>
    <row r="4176">
      <c r="A4176" t="inlineStr">
        <is>
          <t>19157585932</t>
        </is>
      </c>
      <c r="B4176" t="inlineStr">
        <is>
          <t>隔日到貨🔥 Airpods 保護套 1代 2代 3代 pro pro2 A3 耳機套 防摔 硬殼 保護殼 耳機殼</t>
        </is>
      </c>
      <c r="C4176">
        <f>IMAGE("https://cf.shopee.tw/file/tw-11134207-7r98x-lp3da634x9vb27_tn")</f>
        <v/>
      </c>
      <c r="D4176" t="inlineStr">
        <is>
          <t>4號(附圖上掛飾),Pro1代</t>
        </is>
      </c>
      <c r="E4176" t="inlineStr">
        <is>
          <t>107625603584</t>
        </is>
      </c>
      <c r="F4176">
        <f>IMAGE("https://cf.shopee.tw/file/sg-11134201-22100-hdjqi2gxs4iv21_tn")</f>
        <v/>
      </c>
    </row>
    <row r="4177">
      <c r="A4177" t="inlineStr">
        <is>
          <t>19157585932</t>
        </is>
      </c>
      <c r="B4177" t="inlineStr">
        <is>
          <t>隔日到貨🔥 Airpods 保護套 1代 2代 3代 pro pro2 A3 耳機套 防摔 硬殼 保護殼 耳機殼</t>
        </is>
      </c>
      <c r="C4177">
        <f>IMAGE("https://cf.shopee.tw/file/tw-11134207-7r98x-lp3da634x9vb27_tn")</f>
        <v/>
      </c>
      <c r="D4177" t="inlineStr">
        <is>
          <t>4號(附圖上掛飾),Pro2代</t>
        </is>
      </c>
      <c r="E4177" t="inlineStr"/>
      <c r="F4177">
        <f>IMAGE("https://cf.shopee.tw/file/sg-11134201-22100-hdjqi2gxs4iv21_tn")</f>
        <v/>
      </c>
    </row>
    <row r="4178">
      <c r="A4178" t="inlineStr">
        <is>
          <t>19157585932</t>
        </is>
      </c>
      <c r="B4178" t="inlineStr">
        <is>
          <t>隔日到貨🔥 Airpods 保護套 1代 2代 3代 pro pro2 A3 耳機套 防摔 硬殼 保護殼 耳機殼</t>
        </is>
      </c>
      <c r="C4178">
        <f>IMAGE("https://cf.shopee.tw/file/tw-11134207-7r98x-lp3da634x9vb27_tn")</f>
        <v/>
      </c>
      <c r="D4178" t="inlineStr">
        <is>
          <t>5號(附掛鉤),1代 / 2代</t>
        </is>
      </c>
      <c r="E4178" t="inlineStr"/>
      <c r="F4178">
        <f>IMAGE("https://cf.shopee.tw/file/sg-11134201-22100-gdroqwnxs4iv0c_tn")</f>
        <v/>
      </c>
    </row>
    <row r="4179">
      <c r="A4179" t="inlineStr">
        <is>
          <t>19157585932</t>
        </is>
      </c>
      <c r="B4179" t="inlineStr">
        <is>
          <t>隔日到貨🔥 Airpods 保護套 1代 2代 3代 pro pro2 A3 耳機套 防摔 硬殼 保護殼 耳機殼</t>
        </is>
      </c>
      <c r="C4179">
        <f>IMAGE("https://cf.shopee.tw/file/tw-11134207-7r98x-lp3da634x9vb27_tn")</f>
        <v/>
      </c>
      <c r="D4179" t="inlineStr">
        <is>
          <t>5號(附掛鉤),Pro1代</t>
        </is>
      </c>
      <c r="E4179" t="inlineStr"/>
      <c r="F4179">
        <f>IMAGE("https://cf.shopee.tw/file/sg-11134201-22100-gdroqwnxs4iv0c_tn")</f>
        <v/>
      </c>
    </row>
    <row r="4180">
      <c r="A4180" t="inlineStr">
        <is>
          <t>19157585932</t>
        </is>
      </c>
      <c r="B4180" t="inlineStr">
        <is>
          <t>隔日到貨🔥 Airpods 保護套 1代 2代 3代 pro pro2 A3 耳機套 防摔 硬殼 保護殼 耳機殼</t>
        </is>
      </c>
      <c r="C4180">
        <f>IMAGE("https://cf.shopee.tw/file/tw-11134207-7r98x-lp3da634x9vb27_tn")</f>
        <v/>
      </c>
      <c r="D4180" t="inlineStr">
        <is>
          <t>5號(附掛鉤),［3代］</t>
        </is>
      </c>
      <c r="E4180" t="inlineStr">
        <is>
          <t>107625603580</t>
        </is>
      </c>
      <c r="F4180">
        <f>IMAGE("https://cf.shopee.tw/file/sg-11134201-22100-gdroqwnxs4iv0c_tn")</f>
        <v/>
      </c>
    </row>
    <row r="4181">
      <c r="A4181" t="inlineStr">
        <is>
          <t>19157585932</t>
        </is>
      </c>
      <c r="B4181" t="inlineStr">
        <is>
          <t>隔日到貨🔥 Airpods 保護套 1代 2代 3代 pro pro2 A3 耳機套 防摔 硬殼 保護殼 耳機殼</t>
        </is>
      </c>
      <c r="C4181">
        <f>IMAGE("https://cf.shopee.tw/file/tw-11134207-7r98x-lp3da634x9vb27_tn")</f>
        <v/>
      </c>
      <c r="D4181" t="inlineStr">
        <is>
          <t>5號(附掛鉤),Pro2代</t>
        </is>
      </c>
      <c r="E4181" t="inlineStr">
        <is>
          <t>146380890584</t>
        </is>
      </c>
      <c r="F4181">
        <f>IMAGE("https://cf.shopee.tw/file/sg-11134201-22100-gdroqwnxs4iv0c_tn")</f>
        <v/>
      </c>
    </row>
    <row r="4182">
      <c r="A4182" t="inlineStr">
        <is>
          <t>19157585932</t>
        </is>
      </c>
      <c r="B4182" t="inlineStr">
        <is>
          <t>隔日到貨🔥 Airpods 保護套 1代 2代 3代 pro pro2 A3 耳機套 防摔 硬殼 保護殼 耳機殼</t>
        </is>
      </c>
      <c r="C4182">
        <f>IMAGE("https://cf.shopee.tw/file/tw-11134207-7r98x-lp3da634x9vb27_tn")</f>
        <v/>
      </c>
      <c r="D4182" t="inlineStr">
        <is>
          <t>6號(附掛鉤),1代 / 2代</t>
        </is>
      </c>
      <c r="E4182" t="inlineStr"/>
      <c r="F4182">
        <f>IMAGE("https://cf.shopee.tw/file/sg-11134201-22100-ylgml7txs4iv85_tn")</f>
        <v/>
      </c>
    </row>
    <row r="4183">
      <c r="A4183" t="inlineStr">
        <is>
          <t>19157585932</t>
        </is>
      </c>
      <c r="B4183" t="inlineStr">
        <is>
          <t>隔日到貨🔥 Airpods 保護套 1代 2代 3代 pro pro2 A3 耳機套 防摔 硬殼 保護殼 耳機殼</t>
        </is>
      </c>
      <c r="C4183">
        <f>IMAGE("https://cf.shopee.tw/file/tw-11134207-7r98x-lp3da634x9vb27_tn")</f>
        <v/>
      </c>
      <c r="D4183" t="inlineStr">
        <is>
          <t>6號(附掛鉤),Pro1代</t>
        </is>
      </c>
      <c r="E4183" t="inlineStr">
        <is>
          <t>107625603590</t>
        </is>
      </c>
      <c r="F4183">
        <f>IMAGE("https://cf.shopee.tw/file/sg-11134201-22100-ylgml7txs4iv85_tn")</f>
        <v/>
      </c>
    </row>
    <row r="4184">
      <c r="A4184" t="inlineStr">
        <is>
          <t>19157585932</t>
        </is>
      </c>
      <c r="B4184" t="inlineStr">
        <is>
          <t>隔日到貨🔥 Airpods 保護套 1代 2代 3代 pro pro2 A3 耳機套 防摔 硬殼 保護殼 耳機殼</t>
        </is>
      </c>
      <c r="C4184">
        <f>IMAGE("https://cf.shopee.tw/file/tw-11134207-7r98x-lp3da634x9vb27_tn")</f>
        <v/>
      </c>
      <c r="D4184" t="inlineStr">
        <is>
          <t>6號(附掛鉤),［3代］</t>
        </is>
      </c>
      <c r="E4184" t="inlineStr"/>
      <c r="F4184">
        <f>IMAGE("https://cf.shopee.tw/file/sg-11134201-22100-ylgml7txs4iv85_tn")</f>
        <v/>
      </c>
    </row>
    <row r="4185">
      <c r="A4185" t="inlineStr">
        <is>
          <t>19157585932</t>
        </is>
      </c>
      <c r="B4185" t="inlineStr">
        <is>
          <t>隔日到貨🔥 Airpods 保護套 1代 2代 3代 pro pro2 A3 耳機套 防摔 硬殼 保護殼 耳機殼</t>
        </is>
      </c>
      <c r="C4185">
        <f>IMAGE("https://cf.shopee.tw/file/tw-11134207-7r98x-lp3da634x9vb27_tn")</f>
        <v/>
      </c>
      <c r="D4185" t="inlineStr">
        <is>
          <t>6號(附掛鉤),Pro2代</t>
        </is>
      </c>
      <c r="E4185" t="inlineStr"/>
      <c r="F4185">
        <f>IMAGE("https://cf.shopee.tw/file/sg-11134201-22100-ylgml7txs4iv85_tn")</f>
        <v/>
      </c>
    </row>
    <row r="4186">
      <c r="A4186" t="inlineStr">
        <is>
          <t>19157585932</t>
        </is>
      </c>
      <c r="B4186" t="inlineStr">
        <is>
          <t>隔日到貨🔥 Airpods 保護套 1代 2代 3代 pro pro2 A3 耳機套 防摔 硬殼 保護殼 耳機殼</t>
        </is>
      </c>
      <c r="C4186">
        <f>IMAGE("https://cf.shopee.tw/file/tw-11134207-7r98x-lp3da634x9vb27_tn")</f>
        <v/>
      </c>
      <c r="D4186" t="inlineStr">
        <is>
          <t>7號(附掛鉤),1代 / 2代</t>
        </is>
      </c>
      <c r="E4186" t="inlineStr"/>
      <c r="F4186">
        <f>IMAGE("https://cf.shopee.tw/file/sg-11134201-22100-6zgyw1zxs4iv17_tn")</f>
        <v/>
      </c>
    </row>
    <row r="4187">
      <c r="A4187" t="inlineStr">
        <is>
          <t>19157585932</t>
        </is>
      </c>
      <c r="B4187" t="inlineStr">
        <is>
          <t>隔日到貨🔥 Airpods 保護套 1代 2代 3代 pro pro2 A3 耳機套 防摔 硬殼 保護殼 耳機殼</t>
        </is>
      </c>
      <c r="C4187">
        <f>IMAGE("https://cf.shopee.tw/file/tw-11134207-7r98x-lp3da634x9vb27_tn")</f>
        <v/>
      </c>
      <c r="D4187" t="inlineStr">
        <is>
          <t>7號(附掛鉤),Pro1代</t>
        </is>
      </c>
      <c r="E4187" t="inlineStr"/>
      <c r="F4187">
        <f>IMAGE("https://cf.shopee.tw/file/sg-11134201-22100-6zgyw1zxs4iv17_tn")</f>
        <v/>
      </c>
    </row>
    <row r="4188">
      <c r="A4188" t="inlineStr">
        <is>
          <t>19157585932</t>
        </is>
      </c>
      <c r="B4188" t="inlineStr">
        <is>
          <t>隔日到貨🔥 Airpods 保護套 1代 2代 3代 pro pro2 A3 耳機套 防摔 硬殼 保護殼 耳機殼</t>
        </is>
      </c>
      <c r="C4188">
        <f>IMAGE("https://cf.shopee.tw/file/tw-11134207-7r98x-lp3da634x9vb27_tn")</f>
        <v/>
      </c>
      <c r="D4188" t="inlineStr">
        <is>
          <t>8號(附圖上掛飾),1代 / 2代</t>
        </is>
      </c>
      <c r="E4188" t="inlineStr">
        <is>
          <t>107625603600</t>
        </is>
      </c>
      <c r="F4188">
        <f>IMAGE("https://cf.shopee.tw/file/sg-11134201-22120-5ruvlqqwsmkv4c_tn")</f>
        <v/>
      </c>
    </row>
    <row r="4189">
      <c r="A4189" t="inlineStr">
        <is>
          <t>19157585932</t>
        </is>
      </c>
      <c r="B4189" t="inlineStr">
        <is>
          <t>隔日到貨🔥 Airpods 保護套 1代 2代 3代 pro pro2 A3 耳機套 防摔 硬殼 保護殼 耳機殼</t>
        </is>
      </c>
      <c r="C4189">
        <f>IMAGE("https://cf.shopee.tw/file/tw-11134207-7r98x-lp3da634x9vb27_tn")</f>
        <v/>
      </c>
      <c r="D4189" t="inlineStr">
        <is>
          <t>8號(附圖上掛飾),Pro1代</t>
        </is>
      </c>
      <c r="E4189" t="inlineStr"/>
      <c r="F4189">
        <f>IMAGE("https://cf.shopee.tw/file/sg-11134201-22120-5ruvlqqwsmkv4c_tn")</f>
        <v/>
      </c>
    </row>
    <row r="4190">
      <c r="A4190" t="inlineStr">
        <is>
          <t>19157585932</t>
        </is>
      </c>
      <c r="B4190" t="inlineStr">
        <is>
          <t>隔日到貨🔥 Airpods 保護套 1代 2代 3代 pro pro2 A3 耳機套 防摔 硬殼 保護殼 耳機殼</t>
        </is>
      </c>
      <c r="C4190">
        <f>IMAGE("https://cf.shopee.tw/file/tw-11134207-7r98x-lp3da634x9vb27_tn")</f>
        <v/>
      </c>
      <c r="D4190" t="inlineStr">
        <is>
          <t>8號(附圖上掛飾),［3代］</t>
        </is>
      </c>
      <c r="E4190" t="inlineStr">
        <is>
          <t>107625603587</t>
        </is>
      </c>
      <c r="F4190">
        <f>IMAGE("https://cf.shopee.tw/file/sg-11134201-22120-5ruvlqqwsmkv4c_tn")</f>
        <v/>
      </c>
    </row>
    <row r="4191">
      <c r="A4191" t="inlineStr">
        <is>
          <t>19157585932</t>
        </is>
      </c>
      <c r="B4191" t="inlineStr">
        <is>
          <t>隔日到貨🔥 Airpods 保護套 1代 2代 3代 pro pro2 A3 耳機套 防摔 硬殼 保護殼 耳機殼</t>
        </is>
      </c>
      <c r="C4191">
        <f>IMAGE("https://cf.shopee.tw/file/tw-11134207-7r98x-lp3da634x9vb27_tn")</f>
        <v/>
      </c>
      <c r="D4191" t="inlineStr">
        <is>
          <t>8號(附圖上掛飾),Pro2代</t>
        </is>
      </c>
      <c r="E4191" t="inlineStr"/>
      <c r="F4191">
        <f>IMAGE("https://cf.shopee.tw/file/sg-11134201-22120-5ruvlqqwsmkv4c_tn")</f>
        <v/>
      </c>
    </row>
    <row r="4192">
      <c r="A4192" t="inlineStr">
        <is>
          <t>19157585932</t>
        </is>
      </c>
      <c r="B4192" t="inlineStr">
        <is>
          <t>隔日到貨🔥 Airpods 保護套 1代 2代 3代 pro pro2 A3 耳機套 防摔 硬殼 保護殼 耳機殼</t>
        </is>
      </c>
      <c r="C4192">
        <f>IMAGE("https://cf.shopee.tw/file/tw-11134207-7r98x-lp3da634x9vb27_tn")</f>
        <v/>
      </c>
      <c r="D4192" t="inlineStr">
        <is>
          <t>9號(附掛鉤),1代 / 2代</t>
        </is>
      </c>
      <c r="E4192" t="inlineStr">
        <is>
          <t>107625603588</t>
        </is>
      </c>
      <c r="F4192">
        <f>IMAGE("https://cf.shopee.tw/file/tw-11134207-7r992-lp3da634yofr13_tn")</f>
        <v/>
      </c>
    </row>
    <row r="4193">
      <c r="A4193" t="inlineStr">
        <is>
          <t>19157585932</t>
        </is>
      </c>
      <c r="B4193" t="inlineStr">
        <is>
          <t>隔日到貨🔥 Airpods 保護套 1代 2代 3代 pro pro2 A3 耳機套 防摔 硬殼 保護殼 耳機殼</t>
        </is>
      </c>
      <c r="C4193">
        <f>IMAGE("https://cf.shopee.tw/file/tw-11134207-7r98x-lp3da634x9vb27_tn")</f>
        <v/>
      </c>
      <c r="D4193" t="inlineStr">
        <is>
          <t>9號(附掛鉤),Pro1代</t>
        </is>
      </c>
      <c r="E4193" t="inlineStr"/>
      <c r="F4193">
        <f>IMAGE("https://cf.shopee.tw/file/tw-11134207-7r992-lp3da634yofr13_tn")</f>
        <v/>
      </c>
    </row>
    <row r="4194">
      <c r="A4194" t="inlineStr">
        <is>
          <t>19157585932</t>
        </is>
      </c>
      <c r="B4194" t="inlineStr">
        <is>
          <t>隔日到貨🔥 Airpods 保護套 1代 2代 3代 pro pro2 A3 耳機套 防摔 硬殼 保護殼 耳機殼</t>
        </is>
      </c>
      <c r="C4194">
        <f>IMAGE("https://cf.shopee.tw/file/tw-11134207-7r98x-lp3da634x9vb27_tn")</f>
        <v/>
      </c>
      <c r="D4194" t="inlineStr">
        <is>
          <t>9號(附掛鉤),［3代］</t>
        </is>
      </c>
      <c r="E4194" t="inlineStr"/>
      <c r="F4194">
        <f>IMAGE("https://cf.shopee.tw/file/tw-11134207-7r992-lp3da634yofr13_tn")</f>
        <v/>
      </c>
    </row>
    <row r="4195">
      <c r="A4195" t="inlineStr">
        <is>
          <t>19157585932</t>
        </is>
      </c>
      <c r="B4195" t="inlineStr">
        <is>
          <t>隔日到貨🔥 Airpods 保護套 1代 2代 3代 pro pro2 A3 耳機套 防摔 硬殼 保護殼 耳機殼</t>
        </is>
      </c>
      <c r="C4195">
        <f>IMAGE("https://cf.shopee.tw/file/tw-11134207-7r98x-lp3da634x9vb27_tn")</f>
        <v/>
      </c>
      <c r="D4195" t="inlineStr">
        <is>
          <t>9號(附掛鉤),Pro2代</t>
        </is>
      </c>
      <c r="E4195" t="inlineStr">
        <is>
          <t>146380890583</t>
        </is>
      </c>
      <c r="F4195">
        <f>IMAGE("https://cf.shopee.tw/file/tw-11134207-7r992-lp3da634yofr13_tn")</f>
        <v/>
      </c>
    </row>
    <row r="4196">
      <c r="A4196" t="inlineStr">
        <is>
          <t>8472195827</t>
        </is>
      </c>
      <c r="B4196" t="inlineStr">
        <is>
          <t>隔日到貨🔥 iPhone 手機殼 15 14 13 12 11 XS XR SE3 X 保護殼 軟殼 蘋果</t>
        </is>
      </c>
      <c r="C4196">
        <f>IMAGE("https://cf.shopee.tw/file/cddd23bdc588fb9a679c2a7f79f5be44_tn")</f>
        <v/>
      </c>
      <c r="D4196" t="inlineStr">
        <is>
          <t>7 / 8 / SE2 / SE3</t>
        </is>
      </c>
      <c r="E4196" t="inlineStr"/>
      <c r="F4196">
        <f>IMAGE("https://deo.shopeemobile.com/shopee/shopee-seller-live-sg/mmf_portal_seller_root_dir/static/modules/product-list/image/default-item-model-image.2601159.png")</f>
        <v/>
      </c>
    </row>
    <row r="4197">
      <c r="A4197" t="inlineStr">
        <is>
          <t>8472195827</t>
        </is>
      </c>
      <c r="B4197" t="inlineStr">
        <is>
          <t>隔日到貨🔥 iPhone 手機殼 15 14 13 12 11 XS XR SE3 X 保護殼 軟殼 蘋果</t>
        </is>
      </c>
      <c r="C4197">
        <f>IMAGE("https://cf.shopee.tw/file/cddd23bdc588fb9a679c2a7f79f5be44_tn")</f>
        <v/>
      </c>
      <c r="D4197" t="inlineStr">
        <is>
          <t>XR</t>
        </is>
      </c>
      <c r="E4197" t="inlineStr"/>
      <c r="F4197">
        <f>IMAGE("https://deo.shopeemobile.com/shopee/shopee-seller-live-sg/mmf_portal_seller_root_dir/static/modules/product-list/image/default-item-model-image.2601159.png")</f>
        <v/>
      </c>
    </row>
    <row r="4198">
      <c r="A4198" t="inlineStr">
        <is>
          <t>8472195827</t>
        </is>
      </c>
      <c r="B4198" t="inlineStr">
        <is>
          <t>隔日到貨🔥 iPhone 手機殼 15 14 13 12 11 XS XR SE3 X 保護殼 軟殼 蘋果</t>
        </is>
      </c>
      <c r="C4198">
        <f>IMAGE("https://cf.shopee.tw/file/cddd23bdc588fb9a679c2a7f79f5be44_tn")</f>
        <v/>
      </c>
      <c r="D4198" t="inlineStr">
        <is>
          <t>XS Max</t>
        </is>
      </c>
      <c r="E4198" t="inlineStr"/>
      <c r="F4198">
        <f>IMAGE("https://deo.shopeemobile.com/shopee/shopee-seller-live-sg/mmf_portal_seller_root_dir/static/modules/product-list/image/default-item-model-image.2601159.png")</f>
        <v/>
      </c>
    </row>
    <row r="4199">
      <c r="A4199" t="inlineStr">
        <is>
          <t>8472195827</t>
        </is>
      </c>
      <c r="B4199" t="inlineStr">
        <is>
          <t>隔日到貨🔥 iPhone 手機殼 15 14 13 12 11 XS XR SE3 X 保護殼 軟殼 蘋果</t>
        </is>
      </c>
      <c r="C4199">
        <f>IMAGE("https://cf.shopee.tw/file/cddd23bdc588fb9a679c2a7f79f5be44_tn")</f>
        <v/>
      </c>
      <c r="D4199" t="inlineStr">
        <is>
          <t>13 mini</t>
        </is>
      </c>
      <c r="E4199" t="inlineStr"/>
      <c r="F4199">
        <f>IMAGE("https://deo.shopeemobile.com/shopee/shopee-seller-live-sg/mmf_portal_seller_root_dir/static/modules/product-list/image/default-item-model-image.2601159.png")</f>
        <v/>
      </c>
    </row>
    <row r="4200">
      <c r="A4200" t="inlineStr">
        <is>
          <t>8472195827</t>
        </is>
      </c>
      <c r="B4200" t="inlineStr">
        <is>
          <t>隔日到貨🔥 iPhone 手機殼 15 14 13 12 11 XS XR SE3 X 保護殼 軟殼 蘋果</t>
        </is>
      </c>
      <c r="C4200">
        <f>IMAGE("https://cf.shopee.tw/file/cddd23bdc588fb9a679c2a7f79f5be44_tn")</f>
        <v/>
      </c>
      <c r="D4200" t="inlineStr">
        <is>
          <t>14 pro</t>
        </is>
      </c>
      <c r="E4200" t="inlineStr"/>
      <c r="F4200">
        <f>IMAGE("https://deo.shopeemobile.com/shopee/shopee-seller-live-sg/mmf_portal_seller_root_dir/static/modules/product-list/image/default-item-model-image.2601159.png")</f>
        <v/>
      </c>
    </row>
    <row r="4201">
      <c r="A4201" t="inlineStr">
        <is>
          <t>8472195827</t>
        </is>
      </c>
      <c r="B4201" t="inlineStr">
        <is>
          <t>隔日到貨🔥 iPhone 手機殼 15 14 13 12 11 XS XR SE3 X 保護殼 軟殼 蘋果</t>
        </is>
      </c>
      <c r="C4201">
        <f>IMAGE("https://cf.shopee.tw/file/cddd23bdc588fb9a679c2a7f79f5be44_tn")</f>
        <v/>
      </c>
      <c r="D4201" t="inlineStr">
        <is>
          <t>7Plus / 8Plus</t>
        </is>
      </c>
      <c r="E4201" t="inlineStr"/>
      <c r="F4201">
        <f>IMAGE("https://deo.shopeemobile.com/shopee/shopee-seller-live-sg/mmf_portal_seller_root_dir/static/modules/product-list/image/default-item-model-image.2601159.png")</f>
        <v/>
      </c>
    </row>
    <row r="4202">
      <c r="A4202" t="inlineStr">
        <is>
          <t>8472195827</t>
        </is>
      </c>
      <c r="B4202" t="inlineStr">
        <is>
          <t>隔日到貨🔥 iPhone 手機殼 15 14 13 12 11 XS XR SE3 X 保護殼 軟殼 蘋果</t>
        </is>
      </c>
      <c r="C4202">
        <f>IMAGE("https://cf.shopee.tw/file/cddd23bdc588fb9a679c2a7f79f5be44_tn")</f>
        <v/>
      </c>
      <c r="D4202" t="inlineStr">
        <is>
          <t>X / XS</t>
        </is>
      </c>
      <c r="E4202" t="inlineStr">
        <is>
          <t>46166537185</t>
        </is>
      </c>
      <c r="F4202">
        <f>IMAGE("https://deo.shopeemobile.com/shopee/shopee-seller-live-sg/mmf_portal_seller_root_dir/static/modules/product-list/image/default-item-model-image.2601159.png")</f>
        <v/>
      </c>
    </row>
    <row r="4203">
      <c r="A4203" t="inlineStr">
        <is>
          <t>8472195827</t>
        </is>
      </c>
      <c r="B4203" t="inlineStr">
        <is>
          <t>隔日到貨🔥 iPhone 手機殼 15 14 13 12 11 XS XR SE3 X 保護殼 軟殼 蘋果</t>
        </is>
      </c>
      <c r="C4203">
        <f>IMAGE("https://cf.shopee.tw/file/cddd23bdc588fb9a679c2a7f79f5be44_tn")</f>
        <v/>
      </c>
      <c r="D4203" t="inlineStr">
        <is>
          <t>11</t>
        </is>
      </c>
      <c r="E4203" t="inlineStr"/>
      <c r="F4203">
        <f>IMAGE("https://deo.shopeemobile.com/shopee/shopee-seller-live-sg/mmf_portal_seller_root_dir/static/modules/product-list/image/default-item-model-image.2601159.png")</f>
        <v/>
      </c>
    </row>
    <row r="4204">
      <c r="A4204" t="inlineStr">
        <is>
          <t>8472195827</t>
        </is>
      </c>
      <c r="B4204" t="inlineStr">
        <is>
          <t>隔日到貨🔥 iPhone 手機殼 15 14 13 12 11 XS XR SE3 X 保護殼 軟殼 蘋果</t>
        </is>
      </c>
      <c r="C4204">
        <f>IMAGE("https://cf.shopee.tw/file/cddd23bdc588fb9a679c2a7f79f5be44_tn")</f>
        <v/>
      </c>
      <c r="D4204" t="inlineStr">
        <is>
          <t>11 pro</t>
        </is>
      </c>
      <c r="E4204" t="inlineStr"/>
      <c r="F4204">
        <f>IMAGE("https://deo.shopeemobile.com/shopee/shopee-seller-live-sg/mmf_portal_seller_root_dir/static/modules/product-list/image/default-item-model-image.2601159.png")</f>
        <v/>
      </c>
    </row>
    <row r="4205">
      <c r="A4205" t="inlineStr">
        <is>
          <t>8472195827</t>
        </is>
      </c>
      <c r="B4205" t="inlineStr">
        <is>
          <t>隔日到貨🔥 iPhone 手機殼 15 14 13 12 11 XS XR SE3 X 保護殼 軟殼 蘋果</t>
        </is>
      </c>
      <c r="C4205">
        <f>IMAGE("https://cf.shopee.tw/file/cddd23bdc588fb9a679c2a7f79f5be44_tn")</f>
        <v/>
      </c>
      <c r="D4205" t="inlineStr">
        <is>
          <t>12</t>
        </is>
      </c>
      <c r="E4205" t="inlineStr">
        <is>
          <t>46166537187</t>
        </is>
      </c>
      <c r="F4205">
        <f>IMAGE("https://deo.shopeemobile.com/shopee/shopee-seller-live-sg/mmf_portal_seller_root_dir/static/modules/product-list/image/default-item-model-image.2601159.png")</f>
        <v/>
      </c>
    </row>
    <row r="4206">
      <c r="A4206" t="inlineStr">
        <is>
          <t>8472195827</t>
        </is>
      </c>
      <c r="B4206" t="inlineStr">
        <is>
          <t>隔日到貨🔥 iPhone 手機殼 15 14 13 12 11 XS XR SE3 X 保護殼 軟殼 蘋果</t>
        </is>
      </c>
      <c r="C4206">
        <f>IMAGE("https://cf.shopee.tw/file/cddd23bdc588fb9a679c2a7f79f5be44_tn")</f>
        <v/>
      </c>
      <c r="D4206" t="inlineStr">
        <is>
          <t>12 pro</t>
        </is>
      </c>
      <c r="E4206" t="inlineStr">
        <is>
          <t>46166537188</t>
        </is>
      </c>
      <c r="F4206">
        <f>IMAGE("https://deo.shopeemobile.com/shopee/shopee-seller-live-sg/mmf_portal_seller_root_dir/static/modules/product-list/image/default-item-model-image.2601159.png")</f>
        <v/>
      </c>
    </row>
    <row r="4207">
      <c r="A4207" t="inlineStr">
        <is>
          <t>8472195827</t>
        </is>
      </c>
      <c r="B4207" t="inlineStr">
        <is>
          <t>隔日到貨🔥 iPhone 手機殼 15 14 13 12 11 XS XR SE3 X 保護殼 軟殼 蘋果</t>
        </is>
      </c>
      <c r="C4207">
        <f>IMAGE("https://cf.shopee.tw/file/cddd23bdc588fb9a679c2a7f79f5be44_tn")</f>
        <v/>
      </c>
      <c r="D4207" t="inlineStr">
        <is>
          <t>12 pro Max</t>
        </is>
      </c>
      <c r="E4207" t="inlineStr">
        <is>
          <t>46166537183</t>
        </is>
      </c>
      <c r="F4207">
        <f>IMAGE("https://deo.shopeemobile.com/shopee/shopee-seller-live-sg/mmf_portal_seller_root_dir/static/modules/product-list/image/default-item-model-image.2601159.png")</f>
        <v/>
      </c>
    </row>
    <row r="4208">
      <c r="A4208" t="inlineStr">
        <is>
          <t>8472195827</t>
        </is>
      </c>
      <c r="B4208" t="inlineStr">
        <is>
          <t>隔日到貨🔥 iPhone 手機殼 15 14 13 12 11 XS XR SE3 X 保護殼 軟殼 蘋果</t>
        </is>
      </c>
      <c r="C4208">
        <f>IMAGE("https://cf.shopee.tw/file/cddd23bdc588fb9a679c2a7f79f5be44_tn")</f>
        <v/>
      </c>
      <c r="D4208" t="inlineStr">
        <is>
          <t>13</t>
        </is>
      </c>
      <c r="E4208" t="inlineStr">
        <is>
          <t>85140983969</t>
        </is>
      </c>
      <c r="F4208">
        <f>IMAGE("https://deo.shopeemobile.com/shopee/shopee-seller-live-sg/mmf_portal_seller_root_dir/static/modules/product-list/image/default-item-model-image.2601159.png")</f>
        <v/>
      </c>
    </row>
    <row r="4209">
      <c r="A4209" t="inlineStr">
        <is>
          <t>8472195827</t>
        </is>
      </c>
      <c r="B4209" t="inlineStr">
        <is>
          <t>隔日到貨🔥 iPhone 手機殼 15 14 13 12 11 XS XR SE3 X 保護殼 軟殼 蘋果</t>
        </is>
      </c>
      <c r="C4209">
        <f>IMAGE("https://cf.shopee.tw/file/cddd23bdc588fb9a679c2a7f79f5be44_tn")</f>
        <v/>
      </c>
      <c r="D4209" t="inlineStr">
        <is>
          <t>13 pro</t>
        </is>
      </c>
      <c r="E4209" t="inlineStr">
        <is>
          <t>85140983967</t>
        </is>
      </c>
      <c r="F4209">
        <f>IMAGE("https://deo.shopeemobile.com/shopee/shopee-seller-live-sg/mmf_portal_seller_root_dir/static/modules/product-list/image/default-item-model-image.2601159.png")</f>
        <v/>
      </c>
    </row>
    <row r="4210">
      <c r="A4210" t="inlineStr">
        <is>
          <t>8472195827</t>
        </is>
      </c>
      <c r="B4210" t="inlineStr">
        <is>
          <t>隔日到貨🔥 iPhone 手機殼 15 14 13 12 11 XS XR SE3 X 保護殼 軟殼 蘋果</t>
        </is>
      </c>
      <c r="C4210">
        <f>IMAGE("https://cf.shopee.tw/file/cddd23bdc588fb9a679c2a7f79f5be44_tn")</f>
        <v/>
      </c>
      <c r="D4210" t="inlineStr">
        <is>
          <t>13 pro Max</t>
        </is>
      </c>
      <c r="E4210" t="inlineStr"/>
      <c r="F4210">
        <f>IMAGE("https://deo.shopeemobile.com/shopee/shopee-seller-live-sg/mmf_portal_seller_root_dir/static/modules/product-list/image/default-item-model-image.2601159.png")</f>
        <v/>
      </c>
    </row>
    <row r="4211">
      <c r="A4211" t="inlineStr">
        <is>
          <t>8472195827</t>
        </is>
      </c>
      <c r="B4211" t="inlineStr">
        <is>
          <t>隔日到貨🔥 iPhone 手機殼 15 14 13 12 11 XS XR SE3 X 保護殼 軟殼 蘋果</t>
        </is>
      </c>
      <c r="C4211">
        <f>IMAGE("https://cf.shopee.tw/file/cddd23bdc588fb9a679c2a7f79f5be44_tn")</f>
        <v/>
      </c>
      <c r="D4211" t="inlineStr">
        <is>
          <t>14</t>
        </is>
      </c>
      <c r="E4211" t="inlineStr">
        <is>
          <t>164498062541</t>
        </is>
      </c>
      <c r="F4211">
        <f>IMAGE("https://deo.shopeemobile.com/shopee/shopee-seller-live-sg/mmf_portal_seller_root_dir/static/modules/product-list/image/default-item-model-image.2601159.png")</f>
        <v/>
      </c>
    </row>
    <row r="4212">
      <c r="A4212" t="inlineStr">
        <is>
          <t>8472195827</t>
        </is>
      </c>
      <c r="B4212" t="inlineStr">
        <is>
          <t>隔日到貨🔥 iPhone 手機殼 15 14 13 12 11 XS XR SE3 X 保護殼 軟殼 蘋果</t>
        </is>
      </c>
      <c r="C4212">
        <f>IMAGE("https://cf.shopee.tw/file/cddd23bdc588fb9a679c2a7f79f5be44_tn")</f>
        <v/>
      </c>
      <c r="D4212" t="inlineStr">
        <is>
          <t>14 Plus</t>
        </is>
      </c>
      <c r="E4212" t="inlineStr"/>
      <c r="F4212">
        <f>IMAGE("https://deo.shopeemobile.com/shopee/shopee-seller-live-sg/mmf_portal_seller_root_dir/static/modules/product-list/image/default-item-model-image.2601159.png")</f>
        <v/>
      </c>
    </row>
    <row r="4213">
      <c r="A4213" t="inlineStr">
        <is>
          <t>8472195827</t>
        </is>
      </c>
      <c r="B4213" t="inlineStr">
        <is>
          <t>隔日到貨🔥 iPhone 手機殼 15 14 13 12 11 XS XR SE3 X 保護殼 軟殼 蘋果</t>
        </is>
      </c>
      <c r="C4213">
        <f>IMAGE("https://cf.shopee.tw/file/cddd23bdc588fb9a679c2a7f79f5be44_tn")</f>
        <v/>
      </c>
      <c r="D4213" t="inlineStr">
        <is>
          <t>14 pro Max</t>
        </is>
      </c>
      <c r="E4213" t="inlineStr"/>
      <c r="F4213">
        <f>IMAGE("https://deo.shopeemobile.com/shopee/shopee-seller-live-sg/mmf_portal_seller_root_dir/static/modules/product-list/image/default-item-model-image.2601159.png")</f>
        <v/>
      </c>
    </row>
    <row r="4214">
      <c r="A4214" t="inlineStr">
        <is>
          <t>8472195827</t>
        </is>
      </c>
      <c r="B4214" t="inlineStr">
        <is>
          <t>隔日到貨🔥 iPhone 手機殼 15 14 13 12 11 XS XR SE3 X 保護殼 軟殼 蘋果</t>
        </is>
      </c>
      <c r="C4214">
        <f>IMAGE("https://cf.shopee.tw/file/cddd23bdc588fb9a679c2a7f79f5be44_tn")</f>
        <v/>
      </c>
      <c r="D4214" t="inlineStr">
        <is>
          <t>15</t>
        </is>
      </c>
      <c r="E4214" t="inlineStr">
        <is>
          <t>197035292729</t>
        </is>
      </c>
      <c r="F4214">
        <f>IMAGE("https://deo.shopeemobile.com/shopee/shopee-seller-live-sg/mmf_portal_seller_root_dir/static/modules/product-list/image/default-item-model-image.2601159.png")</f>
        <v/>
      </c>
    </row>
    <row r="4215">
      <c r="A4215" t="inlineStr">
        <is>
          <t>8472195827</t>
        </is>
      </c>
      <c r="B4215" t="inlineStr">
        <is>
          <t>隔日到貨🔥 iPhone 手機殼 15 14 13 12 11 XS XR SE3 X 保護殼 軟殼 蘋果</t>
        </is>
      </c>
      <c r="C4215">
        <f>IMAGE("https://cf.shopee.tw/file/cddd23bdc588fb9a679c2a7f79f5be44_tn")</f>
        <v/>
      </c>
      <c r="D4215" t="inlineStr">
        <is>
          <t>15 Plus</t>
        </is>
      </c>
      <c r="E4215" t="inlineStr">
        <is>
          <t>197035292731</t>
        </is>
      </c>
      <c r="F4215">
        <f>IMAGE("https://deo.shopeemobile.com/shopee/shopee-seller-live-sg/mmf_portal_seller_root_dir/static/modules/product-list/image/default-item-model-image.2601159.png")</f>
        <v/>
      </c>
    </row>
    <row r="4216">
      <c r="A4216" t="inlineStr">
        <is>
          <t>8472195827</t>
        </is>
      </c>
      <c r="B4216" t="inlineStr">
        <is>
          <t>隔日到貨🔥 iPhone 手機殼 15 14 13 12 11 XS XR SE3 X 保護殼 軟殼 蘋果</t>
        </is>
      </c>
      <c r="C4216">
        <f>IMAGE("https://cf.shopee.tw/file/cddd23bdc588fb9a679c2a7f79f5be44_tn")</f>
        <v/>
      </c>
      <c r="D4216" t="inlineStr">
        <is>
          <t>15 pro</t>
        </is>
      </c>
      <c r="E4216" t="inlineStr"/>
      <c r="F4216">
        <f>IMAGE("https://deo.shopeemobile.com/shopee/shopee-seller-live-sg/mmf_portal_seller_root_dir/static/modules/product-list/image/default-item-model-image.2601159.png")</f>
        <v/>
      </c>
    </row>
    <row r="4217">
      <c r="A4217" t="inlineStr">
        <is>
          <t>8472195827</t>
        </is>
      </c>
      <c r="B4217" t="inlineStr">
        <is>
          <t>隔日到貨🔥 iPhone 手機殼 15 14 13 12 11 XS XR SE3 X 保護殼 軟殼 蘋果</t>
        </is>
      </c>
      <c r="C4217">
        <f>IMAGE("https://cf.shopee.tw/file/cddd23bdc588fb9a679c2a7f79f5be44_tn")</f>
        <v/>
      </c>
      <c r="D4217" t="inlineStr">
        <is>
          <t>15 pro Max</t>
        </is>
      </c>
      <c r="E4217" t="inlineStr"/>
      <c r="F4217">
        <f>IMAGE("https://deo.shopeemobile.com/shopee/shopee-seller-live-sg/mmf_portal_seller_root_dir/static/modules/product-list/image/default-item-model-image.2601159.png")</f>
        <v/>
      </c>
    </row>
    <row r="4218">
      <c r="A4218" t="inlineStr">
        <is>
          <t>18988475505</t>
        </is>
      </c>
      <c r="B4218" t="inlineStr">
        <is>
          <t>隔日到貨🔥 Apple Watch 一體式錶殼 蘋果手錶殼 手錶保護殼 8代 5 6 7 SE S8 蘋果 錶殼</t>
        </is>
      </c>
      <c r="C4218">
        <f>IMAGE("https://cf.shopee.tw/file/tw-11134207-7quky-lggn2y9lk8iyca_tn")</f>
        <v/>
      </c>
      <c r="D4218" t="inlineStr">
        <is>
          <t>單排鑽—透明,40mm(4/5/SE/6代適用)</t>
        </is>
      </c>
      <c r="E4218" t="inlineStr"/>
      <c r="F4218">
        <f>IMAGE("https://cf.shopee.tw/file/tw-11134207-7qul3-lggn2y915liice_tn")</f>
        <v/>
      </c>
    </row>
    <row r="4219">
      <c r="A4219" t="inlineStr">
        <is>
          <t>18988475505</t>
        </is>
      </c>
      <c r="B4219" t="inlineStr">
        <is>
          <t>隔日到貨🔥 Apple Watch 一體式錶殼 蘋果手錶殼 手錶保護殼 8代 5 6 7 SE S8 蘋果 錶殼</t>
        </is>
      </c>
      <c r="C4219">
        <f>IMAGE("https://cf.shopee.tw/file/tw-11134207-7quky-lggn2y9lk8iyca_tn")</f>
        <v/>
      </c>
      <c r="D4219" t="inlineStr">
        <is>
          <t>單排鑽—透明,41mm(7/8代適用)</t>
        </is>
      </c>
      <c r="E4219" t="inlineStr"/>
      <c r="F4219">
        <f>IMAGE("https://cf.shopee.tw/file/tw-11134207-7qul3-lggn2y915liice_tn")</f>
        <v/>
      </c>
    </row>
    <row r="4220">
      <c r="A4220" t="inlineStr">
        <is>
          <t>18988475505</t>
        </is>
      </c>
      <c r="B4220" t="inlineStr">
        <is>
          <t>隔日到貨🔥 Apple Watch 一體式錶殼 蘋果手錶殼 手錶保護殼 8代 5 6 7 SE S8 蘋果 錶殼</t>
        </is>
      </c>
      <c r="C4220">
        <f>IMAGE("https://cf.shopee.tw/file/tw-11134207-7quky-lggn2y9lk8iyca_tn")</f>
        <v/>
      </c>
      <c r="D4220" t="inlineStr">
        <is>
          <t>單排鑽—透明,44mm(4/5/SE/6代適用)</t>
        </is>
      </c>
      <c r="E4220" t="inlineStr"/>
      <c r="F4220">
        <f>IMAGE("https://cf.shopee.tw/file/tw-11134207-7qul3-lggn2y915liice_tn")</f>
        <v/>
      </c>
    </row>
    <row r="4221">
      <c r="A4221" t="inlineStr">
        <is>
          <t>18988475505</t>
        </is>
      </c>
      <c r="B4221" t="inlineStr">
        <is>
          <t>隔日到貨🔥 Apple Watch 一體式錶殼 蘋果手錶殼 手錶保護殼 8代 5 6 7 SE S8 蘋果 錶殼</t>
        </is>
      </c>
      <c r="C4221">
        <f>IMAGE("https://cf.shopee.tw/file/tw-11134207-7quky-lggn2y9lk8iyca_tn")</f>
        <v/>
      </c>
      <c r="D4221" t="inlineStr">
        <is>
          <t>單排鑽—透明,45mm(7/8代適用)</t>
        </is>
      </c>
      <c r="E4221" t="inlineStr"/>
      <c r="F4221">
        <f>IMAGE("https://cf.shopee.tw/file/tw-11134207-7qul3-lggn2y915liice_tn")</f>
        <v/>
      </c>
    </row>
    <row r="4222">
      <c r="A4222" t="inlineStr">
        <is>
          <t>18988475505</t>
        </is>
      </c>
      <c r="B4222" t="inlineStr">
        <is>
          <t>隔日到貨🔥 Apple Watch 一體式錶殼 蘋果手錶殼 手錶保護殼 8代 5 6 7 SE S8 蘋果 錶殼</t>
        </is>
      </c>
      <c r="C4222">
        <f>IMAGE("https://cf.shopee.tw/file/tw-11134207-7quky-lggn2y9lk8iyca_tn")</f>
        <v/>
      </c>
      <c r="D4222" t="inlineStr">
        <is>
          <t>單排鑽—銀色,40mm(4/5/SE/6代適用)</t>
        </is>
      </c>
      <c r="E4222" t="inlineStr"/>
      <c r="F4222">
        <f>IMAGE("https://cf.shopee.tw/file/tw-11134207-7qukw-lggn2y9bkn568c_tn")</f>
        <v/>
      </c>
    </row>
    <row r="4223">
      <c r="A4223" t="inlineStr">
        <is>
          <t>18988475505</t>
        </is>
      </c>
      <c r="B4223" t="inlineStr">
        <is>
          <t>隔日到貨🔥 Apple Watch 一體式錶殼 蘋果手錶殼 手錶保護殼 8代 5 6 7 SE S8 蘋果 錶殼</t>
        </is>
      </c>
      <c r="C4223">
        <f>IMAGE("https://cf.shopee.tw/file/tw-11134207-7quky-lggn2y9lk8iyca_tn")</f>
        <v/>
      </c>
      <c r="D4223" t="inlineStr">
        <is>
          <t>單排鑽—銀色,44mm(4/5/SE/6代適用)</t>
        </is>
      </c>
      <c r="E4223" t="inlineStr"/>
      <c r="F4223">
        <f>IMAGE("https://cf.shopee.tw/file/tw-11134207-7qukw-lggn2y9bkn568c_tn")</f>
        <v/>
      </c>
    </row>
    <row r="4224">
      <c r="A4224" t="inlineStr">
        <is>
          <t>18988475505</t>
        </is>
      </c>
      <c r="B4224" t="inlineStr">
        <is>
          <t>隔日到貨🔥 Apple Watch 一體式錶殼 蘋果手錶殼 手錶保護殼 8代 5 6 7 SE S8 蘋果 錶殼</t>
        </is>
      </c>
      <c r="C4224">
        <f>IMAGE("https://cf.shopee.tw/file/tw-11134207-7quky-lggn2y9lk8iyca_tn")</f>
        <v/>
      </c>
      <c r="D4224" t="inlineStr">
        <is>
          <t>單排鑽—銀色,45mm(7/8代適用)</t>
        </is>
      </c>
      <c r="E4224" t="inlineStr"/>
      <c r="F4224">
        <f>IMAGE("https://cf.shopee.tw/file/tw-11134207-7qukw-lggn2y9bkn568c_tn")</f>
        <v/>
      </c>
    </row>
    <row r="4225">
      <c r="A4225" t="inlineStr">
        <is>
          <t>18988475505</t>
        </is>
      </c>
      <c r="B4225" t="inlineStr">
        <is>
          <t>隔日到貨🔥 Apple Watch 一體式錶殼 蘋果手錶殼 手錶保護殼 8代 5 6 7 SE S8 蘋果 錶殼</t>
        </is>
      </c>
      <c r="C4225">
        <f>IMAGE("https://cf.shopee.tw/file/tw-11134207-7quky-lggn2y9lk8iyca_tn")</f>
        <v/>
      </c>
      <c r="D4225" t="inlineStr">
        <is>
          <t>單排鑽—藍色,45mm(7/8代適用)</t>
        </is>
      </c>
      <c r="E4225" t="inlineStr"/>
      <c r="F4225">
        <f>IMAGE("https://cf.shopee.tw/file/tw-11134207-7qul4-lggn2y9b56v541_tn")</f>
        <v/>
      </c>
    </row>
    <row r="4226">
      <c r="A4226" t="inlineStr">
        <is>
          <t>18988475505</t>
        </is>
      </c>
      <c r="B4226" t="inlineStr">
        <is>
          <t>隔日到貨🔥 Apple Watch 一體式錶殼 蘋果手錶殼 手錶保護殼 8代 5 6 7 SE S8 蘋果 錶殼</t>
        </is>
      </c>
      <c r="C4226">
        <f>IMAGE("https://cf.shopee.tw/file/tw-11134207-7quky-lggn2y9lk8iyca_tn")</f>
        <v/>
      </c>
      <c r="D4226" t="inlineStr">
        <is>
          <t>單排鑽—粉金,40mm(4/5/SE/6代適用)</t>
        </is>
      </c>
      <c r="E4226" t="inlineStr"/>
      <c r="F4226">
        <f>IMAGE("https://cf.shopee.tw/file/tw-11134207-7qul7-lggn2y9b56wa12_tn")</f>
        <v/>
      </c>
    </row>
    <row r="4227">
      <c r="A4227" t="inlineStr">
        <is>
          <t>18988475505</t>
        </is>
      </c>
      <c r="B4227" t="inlineStr">
        <is>
          <t>隔日到貨🔥 Apple Watch 一體式錶殼 蘋果手錶殼 手錶保護殼 8代 5 6 7 SE S8 蘋果 錶殼</t>
        </is>
      </c>
      <c r="C4227">
        <f>IMAGE("https://cf.shopee.tw/file/tw-11134207-7quky-lggn2y9lk8iyca_tn")</f>
        <v/>
      </c>
      <c r="D4227" t="inlineStr">
        <is>
          <t>單排鑽—粉金,41mm(7/8代適用)</t>
        </is>
      </c>
      <c r="E4227" t="inlineStr"/>
      <c r="F4227">
        <f>IMAGE("https://cf.shopee.tw/file/tw-11134207-7qul7-lggn2y9b56wa12_tn")</f>
        <v/>
      </c>
    </row>
    <row r="4228">
      <c r="A4228" t="inlineStr">
        <is>
          <t>18988475505</t>
        </is>
      </c>
      <c r="B4228" t="inlineStr">
        <is>
          <t>隔日到貨🔥 Apple Watch 一體式錶殼 蘋果手錶殼 手錶保護殼 8代 5 6 7 SE S8 蘋果 錶殼</t>
        </is>
      </c>
      <c r="C4228">
        <f>IMAGE("https://cf.shopee.tw/file/tw-11134207-7quky-lggn2y9lk8iyca_tn")</f>
        <v/>
      </c>
      <c r="D4228" t="inlineStr">
        <is>
          <t>單排鑽—粉金,45mm(7/8代適用)</t>
        </is>
      </c>
      <c r="E4228" t="inlineStr"/>
      <c r="F4228">
        <f>IMAGE("https://cf.shopee.tw/file/tw-11134207-7qul7-lggn2y9b56wa12_tn")</f>
        <v/>
      </c>
    </row>
    <row r="4229">
      <c r="A4229" t="inlineStr">
        <is>
          <t>18988475505</t>
        </is>
      </c>
      <c r="B4229" t="inlineStr">
        <is>
          <t>隔日到貨🔥 Apple Watch 一體式錶殼 蘋果手錶殼 手錶保護殼 8代 5 6 7 SE S8 蘋果 錶殼</t>
        </is>
      </c>
      <c r="C4229">
        <f>IMAGE("https://cf.shopee.tw/file/tw-11134207-7quky-lggn2y9lk8iyca_tn")</f>
        <v/>
      </c>
      <c r="D4229" t="inlineStr">
        <is>
          <t>單排鑽—紅色,45mm(7/8代適用)</t>
        </is>
      </c>
      <c r="E4229" t="inlineStr"/>
      <c r="F4229">
        <f>IMAGE("https://cf.shopee.tw/file/tw-11134207-7qul0-lggn2y9lln2910_tn")</f>
        <v/>
      </c>
    </row>
    <row r="4230">
      <c r="A4230" t="inlineStr">
        <is>
          <t>18988475505</t>
        </is>
      </c>
      <c r="B4230" t="inlineStr">
        <is>
          <t>隔日到貨🔥 Apple Watch 一體式錶殼 蘋果手錶殼 手錶保護殼 8代 5 6 7 SE S8 蘋果 錶殼</t>
        </is>
      </c>
      <c r="C4230">
        <f>IMAGE("https://cf.shopee.tw/file/tw-11134207-7quky-lggn2y9lk8iyca_tn")</f>
        <v/>
      </c>
      <c r="D4230" t="inlineStr">
        <is>
          <t>單排鑽—玫瑰金,40mm(4/5/SE/6代適用)</t>
        </is>
      </c>
      <c r="E4230" t="inlineStr"/>
      <c r="F4230">
        <f>IMAGE("https://cf.shopee.tw/file/tw-11134207-7qukw-lggn2y9l4sa2ed_tn")</f>
        <v/>
      </c>
    </row>
    <row r="4231">
      <c r="A4231" t="inlineStr">
        <is>
          <t>18988475505</t>
        </is>
      </c>
      <c r="B4231" t="inlineStr">
        <is>
          <t>隔日到貨🔥 Apple Watch 一體式錶殼 蘋果手錶殼 手錶保護殼 8代 5 6 7 SE S8 蘋果 錶殼</t>
        </is>
      </c>
      <c r="C4231">
        <f>IMAGE("https://cf.shopee.tw/file/tw-11134207-7quky-lggn2y9lk8iyca_tn")</f>
        <v/>
      </c>
      <c r="D4231" t="inlineStr">
        <is>
          <t>單排鑽—玫瑰金,44mm(4/5/SE/6代適用)</t>
        </is>
      </c>
      <c r="E4231" t="inlineStr"/>
      <c r="F4231">
        <f>IMAGE("https://cf.shopee.tw/file/tw-11134207-7qukw-lggn2y9l4sa2ed_tn")</f>
        <v/>
      </c>
    </row>
    <row r="4232">
      <c r="A4232" t="inlineStr">
        <is>
          <t>18988475505</t>
        </is>
      </c>
      <c r="B4232" t="inlineStr">
        <is>
          <t>隔日到貨🔥 Apple Watch 一體式錶殼 蘋果手錶殼 手錶保護殼 8代 5 6 7 SE S8 蘋果 錶殼</t>
        </is>
      </c>
      <c r="C4232">
        <f>IMAGE("https://cf.shopee.tw/file/tw-11134207-7quky-lggn2y9lk8iyca_tn")</f>
        <v/>
      </c>
      <c r="D4232" t="inlineStr">
        <is>
          <t>單排鑽—玫瑰金,45mm(7/8代適用)</t>
        </is>
      </c>
      <c r="E4232" t="inlineStr"/>
      <c r="F4232">
        <f>IMAGE("https://cf.shopee.tw/file/tw-11134207-7qukw-lggn2y9l4sa2ed_tn")</f>
        <v/>
      </c>
    </row>
    <row r="4233">
      <c r="A4233" t="inlineStr">
        <is>
          <t>18988475505</t>
        </is>
      </c>
      <c r="B4233" t="inlineStr">
        <is>
          <t>隔日到貨🔥 Apple Watch 一體式錶殼 蘋果手錶殼 手錶保護殼 8代 5 6 7 SE S8 蘋果 錶殼</t>
        </is>
      </c>
      <c r="C4233">
        <f>IMAGE("https://cf.shopee.tw/file/tw-11134207-7quky-lggn2y9lk8iyca_tn")</f>
        <v/>
      </c>
      <c r="D4233" t="inlineStr">
        <is>
          <t>單排鑽—黑色,45mm(7/8代適用)</t>
        </is>
      </c>
      <c r="E4233" t="inlineStr"/>
      <c r="F4233">
        <f>IMAGE("https://cf.shopee.tw/file/tw-11134207-7qul0-lggn2y9l66td73_tn")</f>
        <v/>
      </c>
    </row>
    <row r="4234">
      <c r="A4234" t="inlineStr">
        <is>
          <t>18988475505</t>
        </is>
      </c>
      <c r="B4234" t="inlineStr">
        <is>
          <t>隔日到貨🔥 Apple Watch 一體式錶殼 蘋果手錶殼 手錶保護殼 8代 5 6 7 SE S8 蘋果 錶殼</t>
        </is>
      </c>
      <c r="C4234">
        <f>IMAGE("https://cf.shopee.tw/file/tw-11134207-7quky-lggn2y9lk8iyca_tn")</f>
        <v/>
      </c>
      <c r="D4234" t="inlineStr">
        <is>
          <t>單排鑽—透明,38mm(1/2/3代適用)</t>
        </is>
      </c>
      <c r="E4234" t="inlineStr">
        <is>
          <t>118902950591</t>
        </is>
      </c>
      <c r="F4234">
        <f>IMAGE("https://cf.shopee.tw/file/tw-11134207-7qul3-lggn2y915liice_tn")</f>
        <v/>
      </c>
    </row>
    <row r="4235">
      <c r="A4235" t="inlineStr">
        <is>
          <t>18988475505</t>
        </is>
      </c>
      <c r="B4235" t="inlineStr">
        <is>
          <t>隔日到貨🔥 Apple Watch 一體式錶殼 蘋果手錶殼 手錶保護殼 8代 5 6 7 SE S8 蘋果 錶殼</t>
        </is>
      </c>
      <c r="C4235">
        <f>IMAGE("https://cf.shopee.tw/file/tw-11134207-7quky-lggn2y9lk8iyca_tn")</f>
        <v/>
      </c>
      <c r="D4235" t="inlineStr">
        <is>
          <t>單排鑽—透明,42mm(1/2/3代適用)</t>
        </is>
      </c>
      <c r="E4235" t="inlineStr"/>
      <c r="F4235">
        <f>IMAGE("https://cf.shopee.tw/file/tw-11134207-7qul3-lggn2y915liice_tn")</f>
        <v/>
      </c>
    </row>
    <row r="4236">
      <c r="A4236" t="inlineStr">
        <is>
          <t>18988475505</t>
        </is>
      </c>
      <c r="B4236" t="inlineStr">
        <is>
          <t>隔日到貨🔥 Apple Watch 一體式錶殼 蘋果手錶殼 手錶保護殼 8代 5 6 7 SE S8 蘋果 錶殼</t>
        </is>
      </c>
      <c r="C4236">
        <f>IMAGE("https://cf.shopee.tw/file/tw-11134207-7quky-lggn2y9lk8iyca_tn")</f>
        <v/>
      </c>
      <c r="D4236" t="inlineStr">
        <is>
          <t>單排鑽—銀色,38mm(1/2/3代適用)</t>
        </is>
      </c>
      <c r="E4236" t="inlineStr"/>
      <c r="F4236">
        <f>IMAGE("https://cf.shopee.tw/file/tw-11134207-7qukw-lggn2y9bkn568c_tn")</f>
        <v/>
      </c>
    </row>
    <row r="4237">
      <c r="A4237" t="inlineStr">
        <is>
          <t>18988475505</t>
        </is>
      </c>
      <c r="B4237" t="inlineStr">
        <is>
          <t>隔日到貨🔥 Apple Watch 一體式錶殼 蘋果手錶殼 手錶保護殼 8代 5 6 7 SE S8 蘋果 錶殼</t>
        </is>
      </c>
      <c r="C4237">
        <f>IMAGE("https://cf.shopee.tw/file/tw-11134207-7quky-lggn2y9lk8iyca_tn")</f>
        <v/>
      </c>
      <c r="D4237" t="inlineStr">
        <is>
          <t>單排鑽—銀色,41mm(7/8代適用)</t>
        </is>
      </c>
      <c r="E4237" t="inlineStr">
        <is>
          <t>118902950589</t>
        </is>
      </c>
      <c r="F4237">
        <f>IMAGE("https://cf.shopee.tw/file/tw-11134207-7qukw-lggn2y9bkn568c_tn")</f>
        <v/>
      </c>
    </row>
    <row r="4238">
      <c r="A4238" t="inlineStr">
        <is>
          <t>18988475505</t>
        </is>
      </c>
      <c r="B4238" t="inlineStr">
        <is>
          <t>隔日到貨🔥 Apple Watch 一體式錶殼 蘋果手錶殼 手錶保護殼 8代 5 6 7 SE S8 蘋果 錶殼</t>
        </is>
      </c>
      <c r="C4238">
        <f>IMAGE("https://cf.shopee.tw/file/tw-11134207-7quky-lggn2y9lk8iyca_tn")</f>
        <v/>
      </c>
      <c r="D4238" t="inlineStr">
        <is>
          <t>單排鑽—銀色,42mm(1/2/3代適用)</t>
        </is>
      </c>
      <c r="E4238" t="inlineStr">
        <is>
          <t>118902950595</t>
        </is>
      </c>
      <c r="F4238">
        <f>IMAGE("https://cf.shopee.tw/file/tw-11134207-7qukw-lggn2y9bkn568c_tn")</f>
        <v/>
      </c>
    </row>
    <row r="4239">
      <c r="A4239" t="inlineStr">
        <is>
          <t>18988475505</t>
        </is>
      </c>
      <c r="B4239" t="inlineStr">
        <is>
          <t>隔日到貨🔥 Apple Watch 一體式錶殼 蘋果手錶殼 手錶保護殼 8代 5 6 7 SE S8 蘋果 錶殼</t>
        </is>
      </c>
      <c r="C4239">
        <f>IMAGE("https://cf.shopee.tw/file/tw-11134207-7quky-lggn2y9lk8iyca_tn")</f>
        <v/>
      </c>
      <c r="D4239" t="inlineStr">
        <is>
          <t>單排鑽—藍色,38mm(1/2/3代適用)</t>
        </is>
      </c>
      <c r="E4239" t="inlineStr"/>
      <c r="F4239">
        <f>IMAGE("https://cf.shopee.tw/file/tw-11134207-7qul4-lggn2y9b56v541_tn")</f>
        <v/>
      </c>
    </row>
    <row r="4240">
      <c r="A4240" t="inlineStr">
        <is>
          <t>18988475505</t>
        </is>
      </c>
      <c r="B4240" t="inlineStr">
        <is>
          <t>隔日到貨🔥 Apple Watch 一體式錶殼 蘋果手錶殼 手錶保護殼 8代 5 6 7 SE S8 蘋果 錶殼</t>
        </is>
      </c>
      <c r="C4240">
        <f>IMAGE("https://cf.shopee.tw/file/tw-11134207-7quky-lggn2y9lk8iyca_tn")</f>
        <v/>
      </c>
      <c r="D4240" t="inlineStr">
        <is>
          <t>單排鑽—藍色,40mm(4/5/SE/6代適用)</t>
        </is>
      </c>
      <c r="E4240" t="inlineStr"/>
      <c r="F4240">
        <f>IMAGE("https://cf.shopee.tw/file/tw-11134207-7qul4-lggn2y9b56v541_tn")</f>
        <v/>
      </c>
    </row>
    <row r="4241">
      <c r="A4241" t="inlineStr">
        <is>
          <t>18988475505</t>
        </is>
      </c>
      <c r="B4241" t="inlineStr">
        <is>
          <t>隔日到貨🔥 Apple Watch 一體式錶殼 蘋果手錶殼 手錶保護殼 8代 5 6 7 SE S8 蘋果 錶殼</t>
        </is>
      </c>
      <c r="C4241">
        <f>IMAGE("https://cf.shopee.tw/file/tw-11134207-7quky-lggn2y9lk8iyca_tn")</f>
        <v/>
      </c>
      <c r="D4241" t="inlineStr">
        <is>
          <t>單排鑽—藍色,41mm(7/8代適用)</t>
        </is>
      </c>
      <c r="E4241" t="inlineStr"/>
      <c r="F4241">
        <f>IMAGE("https://cf.shopee.tw/file/tw-11134207-7qul4-lggn2y9b56v541_tn")</f>
        <v/>
      </c>
    </row>
    <row r="4242">
      <c r="A4242" t="inlineStr">
        <is>
          <t>18988475505</t>
        </is>
      </c>
      <c r="B4242" t="inlineStr">
        <is>
          <t>隔日到貨🔥 Apple Watch 一體式錶殼 蘋果手錶殼 手錶保護殼 8代 5 6 7 SE S8 蘋果 錶殼</t>
        </is>
      </c>
      <c r="C4242">
        <f>IMAGE("https://cf.shopee.tw/file/tw-11134207-7quky-lggn2y9lk8iyca_tn")</f>
        <v/>
      </c>
      <c r="D4242" t="inlineStr">
        <is>
          <t>單排鑽—藍色,42mm(1/2/3代適用)</t>
        </is>
      </c>
      <c r="E4242" t="inlineStr"/>
      <c r="F4242">
        <f>IMAGE("https://cf.shopee.tw/file/tw-11134207-7qul4-lggn2y9b56v541_tn")</f>
        <v/>
      </c>
    </row>
    <row r="4243">
      <c r="A4243" t="inlineStr">
        <is>
          <t>18988475505</t>
        </is>
      </c>
      <c r="B4243" t="inlineStr">
        <is>
          <t>隔日到貨🔥 Apple Watch 一體式錶殼 蘋果手錶殼 手錶保護殼 8代 5 6 7 SE S8 蘋果 錶殼</t>
        </is>
      </c>
      <c r="C4243">
        <f>IMAGE("https://cf.shopee.tw/file/tw-11134207-7quky-lggn2y9lk8iyca_tn")</f>
        <v/>
      </c>
      <c r="D4243" t="inlineStr">
        <is>
          <t>單排鑽—藍色,44mm(4/5/SE/6代適用)</t>
        </is>
      </c>
      <c r="E4243" t="inlineStr"/>
      <c r="F4243">
        <f>IMAGE("https://cf.shopee.tw/file/tw-11134207-7qul4-lggn2y9b56v541_tn")</f>
        <v/>
      </c>
    </row>
    <row r="4244">
      <c r="A4244" t="inlineStr">
        <is>
          <t>18988475505</t>
        </is>
      </c>
      <c r="B4244" t="inlineStr">
        <is>
          <t>隔日到貨🔥 Apple Watch 一體式錶殼 蘋果手錶殼 手錶保護殼 8代 5 6 7 SE S8 蘋果 錶殼</t>
        </is>
      </c>
      <c r="C4244">
        <f>IMAGE("https://cf.shopee.tw/file/tw-11134207-7quky-lggn2y9lk8iyca_tn")</f>
        <v/>
      </c>
      <c r="D4244" t="inlineStr">
        <is>
          <t>單排鑽—粉金,38mm(1/2/3代適用)</t>
        </is>
      </c>
      <c r="E4244" t="inlineStr"/>
      <c r="F4244">
        <f>IMAGE("https://cf.shopee.tw/file/tw-11134207-7qul7-lggn2y9b56wa12_tn")</f>
        <v/>
      </c>
    </row>
    <row r="4245">
      <c r="A4245" t="inlineStr">
        <is>
          <t>18988475505</t>
        </is>
      </c>
      <c r="B4245" t="inlineStr">
        <is>
          <t>隔日到貨🔥 Apple Watch 一體式錶殼 蘋果手錶殼 手錶保護殼 8代 5 6 7 SE S8 蘋果 錶殼</t>
        </is>
      </c>
      <c r="C4245">
        <f>IMAGE("https://cf.shopee.tw/file/tw-11134207-7quky-lggn2y9lk8iyca_tn")</f>
        <v/>
      </c>
      <c r="D4245" t="inlineStr">
        <is>
          <t>單排鑽—粉金,42mm(1/2/3代適用)</t>
        </is>
      </c>
      <c r="E4245" t="inlineStr"/>
      <c r="F4245">
        <f>IMAGE("https://cf.shopee.tw/file/tw-11134207-7qul7-lggn2y9b56wa12_tn")</f>
        <v/>
      </c>
    </row>
    <row r="4246">
      <c r="A4246" t="inlineStr">
        <is>
          <t>18988475505</t>
        </is>
      </c>
      <c r="B4246" t="inlineStr">
        <is>
          <t>隔日到貨🔥 Apple Watch 一體式錶殼 蘋果手錶殼 手錶保護殼 8代 5 6 7 SE S8 蘋果 錶殼</t>
        </is>
      </c>
      <c r="C4246">
        <f>IMAGE("https://cf.shopee.tw/file/tw-11134207-7quky-lggn2y9lk8iyca_tn")</f>
        <v/>
      </c>
      <c r="D4246" t="inlineStr">
        <is>
          <t>單排鑽—粉金,44mm(4/5/SE/6代適用)</t>
        </is>
      </c>
      <c r="E4246" t="inlineStr"/>
      <c r="F4246">
        <f>IMAGE("https://cf.shopee.tw/file/tw-11134207-7qul7-lggn2y9b56wa12_tn")</f>
        <v/>
      </c>
    </row>
    <row r="4247">
      <c r="A4247" t="inlineStr">
        <is>
          <t>18988475505</t>
        </is>
      </c>
      <c r="B4247" t="inlineStr">
        <is>
          <t>隔日到貨🔥 Apple Watch 一體式錶殼 蘋果手錶殼 手錶保護殼 8代 5 6 7 SE S8 蘋果 錶殼</t>
        </is>
      </c>
      <c r="C4247">
        <f>IMAGE("https://cf.shopee.tw/file/tw-11134207-7quky-lggn2y9lk8iyca_tn")</f>
        <v/>
      </c>
      <c r="D4247" t="inlineStr">
        <is>
          <t>單排鑽—紅色,38mm(1/2/3代適用)</t>
        </is>
      </c>
      <c r="E4247" t="inlineStr"/>
      <c r="F4247">
        <f>IMAGE("https://cf.shopee.tw/file/tw-11134207-7qul0-lggn2y9lln2910_tn")</f>
        <v/>
      </c>
    </row>
    <row r="4248">
      <c r="A4248" t="inlineStr">
        <is>
          <t>18988475505</t>
        </is>
      </c>
      <c r="B4248" t="inlineStr">
        <is>
          <t>隔日到貨🔥 Apple Watch 一體式錶殼 蘋果手錶殼 手錶保護殼 8代 5 6 7 SE S8 蘋果 錶殼</t>
        </is>
      </c>
      <c r="C4248">
        <f>IMAGE("https://cf.shopee.tw/file/tw-11134207-7quky-lggn2y9lk8iyca_tn")</f>
        <v/>
      </c>
      <c r="D4248" t="inlineStr">
        <is>
          <t>單排鑽—紅色,40mm(4/5/SE/6代適用)</t>
        </is>
      </c>
      <c r="E4248" t="inlineStr"/>
      <c r="F4248">
        <f>IMAGE("https://cf.shopee.tw/file/tw-11134207-7qul0-lggn2y9lln2910_tn")</f>
        <v/>
      </c>
    </row>
    <row r="4249">
      <c r="A4249" t="inlineStr">
        <is>
          <t>18988475505</t>
        </is>
      </c>
      <c r="B4249" t="inlineStr">
        <is>
          <t>隔日到貨🔥 Apple Watch 一體式錶殼 蘋果手錶殼 手錶保護殼 8代 5 6 7 SE S8 蘋果 錶殼</t>
        </is>
      </c>
      <c r="C4249">
        <f>IMAGE("https://cf.shopee.tw/file/tw-11134207-7quky-lggn2y9lk8iyca_tn")</f>
        <v/>
      </c>
      <c r="D4249" t="inlineStr">
        <is>
          <t>單排鑽—紅色,41mm(7/8代適用)</t>
        </is>
      </c>
      <c r="E4249" t="inlineStr"/>
      <c r="F4249">
        <f>IMAGE("https://cf.shopee.tw/file/tw-11134207-7qul0-lggn2y9lln2910_tn")</f>
        <v/>
      </c>
    </row>
    <row r="4250">
      <c r="A4250" t="inlineStr">
        <is>
          <t>18988475505</t>
        </is>
      </c>
      <c r="B4250" t="inlineStr">
        <is>
          <t>隔日到貨🔥 Apple Watch 一體式錶殼 蘋果手錶殼 手錶保護殼 8代 5 6 7 SE S8 蘋果 錶殼</t>
        </is>
      </c>
      <c r="C4250">
        <f>IMAGE("https://cf.shopee.tw/file/tw-11134207-7quky-lggn2y9lk8iyca_tn")</f>
        <v/>
      </c>
      <c r="D4250" t="inlineStr">
        <is>
          <t>單排鑽—紅色,42mm(1/2/3代適用)</t>
        </is>
      </c>
      <c r="E4250" t="inlineStr"/>
      <c r="F4250">
        <f>IMAGE("https://cf.shopee.tw/file/tw-11134207-7qul0-lggn2y9lln2910_tn")</f>
        <v/>
      </c>
    </row>
    <row r="4251">
      <c r="A4251" t="inlineStr">
        <is>
          <t>18988475505</t>
        </is>
      </c>
      <c r="B4251" t="inlineStr">
        <is>
          <t>隔日到貨🔥 Apple Watch 一體式錶殼 蘋果手錶殼 手錶保護殼 8代 5 6 7 SE S8 蘋果 錶殼</t>
        </is>
      </c>
      <c r="C4251">
        <f>IMAGE("https://cf.shopee.tw/file/tw-11134207-7quky-lggn2y9lk8iyca_tn")</f>
        <v/>
      </c>
      <c r="D4251" t="inlineStr">
        <is>
          <t>單排鑽—紅色,44mm(4/5/SE/6代適用)</t>
        </is>
      </c>
      <c r="E4251" t="inlineStr"/>
      <c r="F4251">
        <f>IMAGE("https://cf.shopee.tw/file/tw-11134207-7qul0-lggn2y9lln2910_tn")</f>
        <v/>
      </c>
    </row>
    <row r="4252">
      <c r="A4252" t="inlineStr">
        <is>
          <t>18988475505</t>
        </is>
      </c>
      <c r="B4252" t="inlineStr">
        <is>
          <t>隔日到貨🔥 Apple Watch 一體式錶殼 蘋果手錶殼 手錶保護殼 8代 5 6 7 SE S8 蘋果 錶殼</t>
        </is>
      </c>
      <c r="C4252">
        <f>IMAGE("https://cf.shopee.tw/file/tw-11134207-7quky-lggn2y9lk8iyca_tn")</f>
        <v/>
      </c>
      <c r="D4252" t="inlineStr">
        <is>
          <t>單排鑽—玫瑰金,38mm(1/2/3代適用)</t>
        </is>
      </c>
      <c r="E4252" t="inlineStr"/>
      <c r="F4252">
        <f>IMAGE("https://cf.shopee.tw/file/tw-11134207-7qukw-lggn2y9l4sa2ed_tn")</f>
        <v/>
      </c>
    </row>
    <row r="4253">
      <c r="A4253" t="inlineStr">
        <is>
          <t>18988475505</t>
        </is>
      </c>
      <c r="B4253" t="inlineStr">
        <is>
          <t>隔日到貨🔥 Apple Watch 一體式錶殼 蘋果手錶殼 手錶保護殼 8代 5 6 7 SE S8 蘋果 錶殼</t>
        </is>
      </c>
      <c r="C4253">
        <f>IMAGE("https://cf.shopee.tw/file/tw-11134207-7quky-lggn2y9lk8iyca_tn")</f>
        <v/>
      </c>
      <c r="D4253" t="inlineStr">
        <is>
          <t>單排鑽—玫瑰金,41mm(7/8代適用)</t>
        </is>
      </c>
      <c r="E4253" t="inlineStr"/>
      <c r="F4253">
        <f>IMAGE("https://cf.shopee.tw/file/tw-11134207-7qukw-lggn2y9l4sa2ed_tn")</f>
        <v/>
      </c>
    </row>
    <row r="4254">
      <c r="A4254" t="inlineStr">
        <is>
          <t>18988475505</t>
        </is>
      </c>
      <c r="B4254" t="inlineStr">
        <is>
          <t>隔日到貨🔥 Apple Watch 一體式錶殼 蘋果手錶殼 手錶保護殼 8代 5 6 7 SE S8 蘋果 錶殼</t>
        </is>
      </c>
      <c r="C4254">
        <f>IMAGE("https://cf.shopee.tw/file/tw-11134207-7quky-lggn2y9lk8iyca_tn")</f>
        <v/>
      </c>
      <c r="D4254" t="inlineStr">
        <is>
          <t>單排鑽—玫瑰金,42mm(1/2/3代適用)</t>
        </is>
      </c>
      <c r="E4254" t="inlineStr">
        <is>
          <t>118902950620</t>
        </is>
      </c>
      <c r="F4254">
        <f>IMAGE("https://cf.shopee.tw/file/tw-11134207-7qukw-lggn2y9l4sa2ed_tn")</f>
        <v/>
      </c>
    </row>
    <row r="4255">
      <c r="A4255" t="inlineStr">
        <is>
          <t>18988475505</t>
        </is>
      </c>
      <c r="B4255" t="inlineStr">
        <is>
          <t>隔日到貨🔥 Apple Watch 一體式錶殼 蘋果手錶殼 手錶保護殼 8代 5 6 7 SE S8 蘋果 錶殼</t>
        </is>
      </c>
      <c r="C4255">
        <f>IMAGE("https://cf.shopee.tw/file/tw-11134207-7quky-lggn2y9lk8iyca_tn")</f>
        <v/>
      </c>
      <c r="D4255" t="inlineStr">
        <is>
          <t>單排鑽—黑色,38mm(1/2/3代適用)</t>
        </is>
      </c>
      <c r="E4255" t="inlineStr">
        <is>
          <t>118902950621</t>
        </is>
      </c>
      <c r="F4255">
        <f>IMAGE("https://cf.shopee.tw/file/tw-11134207-7qul0-lggn2y9l66td73_tn")</f>
        <v/>
      </c>
    </row>
    <row r="4256">
      <c r="A4256" t="inlineStr">
        <is>
          <t>18988475505</t>
        </is>
      </c>
      <c r="B4256" t="inlineStr">
        <is>
          <t>隔日到貨🔥 Apple Watch 一體式錶殼 蘋果手錶殼 手錶保護殼 8代 5 6 7 SE S8 蘋果 錶殼</t>
        </is>
      </c>
      <c r="C4256">
        <f>IMAGE("https://cf.shopee.tw/file/tw-11134207-7quky-lggn2y9lk8iyca_tn")</f>
        <v/>
      </c>
      <c r="D4256" t="inlineStr">
        <is>
          <t>單排鑽—黑色,40mm(4/5/SE/6代適用)</t>
        </is>
      </c>
      <c r="E4256" t="inlineStr"/>
      <c r="F4256">
        <f>IMAGE("https://cf.shopee.tw/file/tw-11134207-7qul0-lggn2y9l66td73_tn")</f>
        <v/>
      </c>
    </row>
    <row r="4257">
      <c r="A4257" t="inlineStr">
        <is>
          <t>18988475505</t>
        </is>
      </c>
      <c r="B4257" t="inlineStr">
        <is>
          <t>隔日到貨🔥 Apple Watch 一體式錶殼 蘋果手錶殼 手錶保護殼 8代 5 6 7 SE S8 蘋果 錶殼</t>
        </is>
      </c>
      <c r="C4257">
        <f>IMAGE("https://cf.shopee.tw/file/tw-11134207-7quky-lggn2y9lk8iyca_tn")</f>
        <v/>
      </c>
      <c r="D4257" t="inlineStr">
        <is>
          <t>單排鑽—黑色,41mm(7/8代適用)</t>
        </is>
      </c>
      <c r="E4257" t="inlineStr"/>
      <c r="F4257">
        <f>IMAGE("https://cf.shopee.tw/file/tw-11134207-7qul0-lggn2y9l66td73_tn")</f>
        <v/>
      </c>
    </row>
    <row r="4258">
      <c r="A4258" t="inlineStr">
        <is>
          <t>18988475505</t>
        </is>
      </c>
      <c r="B4258" t="inlineStr">
        <is>
          <t>隔日到貨🔥 Apple Watch 一體式錶殼 蘋果手錶殼 手錶保護殼 8代 5 6 7 SE S8 蘋果 錶殼</t>
        </is>
      </c>
      <c r="C4258">
        <f>IMAGE("https://cf.shopee.tw/file/tw-11134207-7quky-lggn2y9lk8iyca_tn")</f>
        <v/>
      </c>
      <c r="D4258" t="inlineStr">
        <is>
          <t>單排鑽—黑色,42mm(1/2/3代適用)</t>
        </is>
      </c>
      <c r="E4258" t="inlineStr"/>
      <c r="F4258">
        <f>IMAGE("https://cf.shopee.tw/file/tw-11134207-7qul0-lggn2y9l66td73_tn")</f>
        <v/>
      </c>
    </row>
    <row r="4259">
      <c r="A4259" t="inlineStr">
        <is>
          <t>18988475505</t>
        </is>
      </c>
      <c r="B4259" t="inlineStr">
        <is>
          <t>隔日到貨🔥 Apple Watch 一體式錶殼 蘋果手錶殼 手錶保護殼 8代 5 6 7 SE S8 蘋果 錶殼</t>
        </is>
      </c>
      <c r="C4259">
        <f>IMAGE("https://cf.shopee.tw/file/tw-11134207-7quky-lggn2y9lk8iyca_tn")</f>
        <v/>
      </c>
      <c r="D4259" t="inlineStr">
        <is>
          <t>單排鑽—黑色,44mm(4/5/SE/6代適用)</t>
        </is>
      </c>
      <c r="E4259" t="inlineStr"/>
      <c r="F4259">
        <f>IMAGE("https://cf.shopee.tw/file/tw-11134207-7qul0-lggn2y9l66td73_tn")</f>
        <v/>
      </c>
    </row>
    <row r="4260">
      <c r="A4260" t="inlineStr">
        <is>
          <t>23829346116</t>
        </is>
      </c>
      <c r="B4260" t="inlineStr">
        <is>
          <t>隔日到貨🔥 iPhone 手機殼 14 13 12 11 XS XR SE3 8 pro 保護殼 軟殼 手機殼 蘋果</t>
        </is>
      </c>
      <c r="C4260">
        <f>IMAGE("https://cf.shopee.tw/file/tw-11134207-23030-grveo41x29nv6b_tn")</f>
        <v/>
      </c>
      <c r="D4260" t="inlineStr">
        <is>
          <t>滿屏蝴蝶,7/8/SE2/SE3</t>
        </is>
      </c>
      <c r="E4260" t="inlineStr"/>
      <c r="F4260">
        <f>IMAGE("https://cf.shopee.tw/file/tw-11134207-23030-g8baoapz29nv0d_tn")</f>
        <v/>
      </c>
    </row>
    <row r="4261">
      <c r="A4261" t="inlineStr">
        <is>
          <t>23829346116</t>
        </is>
      </c>
      <c r="B4261" t="inlineStr">
        <is>
          <t>隔日到貨🔥 iPhone 手機殼 14 13 12 11 XS XR SE3 8 pro 保護殼 軟殼 手機殼 蘋果</t>
        </is>
      </c>
      <c r="C4261">
        <f>IMAGE("https://cf.shopee.tw/file/tw-11134207-23030-grveo41x29nv6b_tn")</f>
        <v/>
      </c>
      <c r="D4261" t="inlineStr">
        <is>
          <t>滿屏蝴蝶,7Plus / 8Plus</t>
        </is>
      </c>
      <c r="E4261" t="inlineStr"/>
      <c r="F4261">
        <f>IMAGE("https://cf.shopee.tw/file/tw-11134207-23030-g8baoapz29nv0d_tn")</f>
        <v/>
      </c>
    </row>
    <row r="4262">
      <c r="A4262" t="inlineStr">
        <is>
          <t>23829346116</t>
        </is>
      </c>
      <c r="B4262" t="inlineStr">
        <is>
          <t>隔日到貨🔥 iPhone 手機殼 14 13 12 11 XS XR SE3 8 pro 保護殼 軟殼 手機殼 蘋果</t>
        </is>
      </c>
      <c r="C4262">
        <f>IMAGE("https://cf.shopee.tw/file/tw-11134207-23030-grveo41x29nv6b_tn")</f>
        <v/>
      </c>
      <c r="D4262" t="inlineStr">
        <is>
          <t>滿屏蝴蝶,XR</t>
        </is>
      </c>
      <c r="E4262" t="inlineStr"/>
      <c r="F4262">
        <f>IMAGE("https://cf.shopee.tw/file/tw-11134207-23030-g8baoapz29nv0d_tn")</f>
        <v/>
      </c>
    </row>
    <row r="4263">
      <c r="A4263" t="inlineStr">
        <is>
          <t>23829346116</t>
        </is>
      </c>
      <c r="B4263" t="inlineStr">
        <is>
          <t>隔日到貨🔥 iPhone 手機殼 14 13 12 11 XS XR SE3 8 pro 保護殼 軟殼 手機殼 蘋果</t>
        </is>
      </c>
      <c r="C4263">
        <f>IMAGE("https://cf.shopee.tw/file/tw-11134207-23030-grveo41x29nv6b_tn")</f>
        <v/>
      </c>
      <c r="D4263" t="inlineStr">
        <is>
          <t>滿屏蝴蝶,11</t>
        </is>
      </c>
      <c r="E4263" t="inlineStr"/>
      <c r="F4263">
        <f>IMAGE("https://cf.shopee.tw/file/tw-11134207-23030-g8baoapz29nv0d_tn")</f>
        <v/>
      </c>
    </row>
    <row r="4264">
      <c r="A4264" t="inlineStr">
        <is>
          <t>23829346116</t>
        </is>
      </c>
      <c r="B4264" t="inlineStr">
        <is>
          <t>隔日到貨🔥 iPhone 手機殼 14 13 12 11 XS XR SE3 8 pro 保護殼 軟殼 手機殼 蘋果</t>
        </is>
      </c>
      <c r="C4264">
        <f>IMAGE("https://cf.shopee.tw/file/tw-11134207-23030-grveo41x29nv6b_tn")</f>
        <v/>
      </c>
      <c r="D4264" t="inlineStr">
        <is>
          <t>滿屏蝴蝶,12 pro Max`</t>
        </is>
      </c>
      <c r="E4264" t="inlineStr"/>
      <c r="F4264">
        <f>IMAGE("https://cf.shopee.tw/file/tw-11134207-23030-g8baoapz29nv0d_tn")</f>
        <v/>
      </c>
    </row>
    <row r="4265">
      <c r="A4265" t="inlineStr">
        <is>
          <t>23829346116</t>
        </is>
      </c>
      <c r="B4265" t="inlineStr">
        <is>
          <t>隔日到貨🔥 iPhone 手機殼 14 13 12 11 XS XR SE3 8 pro 保護殼 軟殼 手機殼 蘋果</t>
        </is>
      </c>
      <c r="C4265">
        <f>IMAGE("https://cf.shopee.tw/file/tw-11134207-23030-grveo41x29nv6b_tn")</f>
        <v/>
      </c>
      <c r="D4265" t="inlineStr">
        <is>
          <t>滿屏蝴蝶,13 pro Max</t>
        </is>
      </c>
      <c r="E4265" t="inlineStr"/>
      <c r="F4265">
        <f>IMAGE("https://cf.shopee.tw/file/tw-11134207-23030-g8baoapz29nv0d_tn")</f>
        <v/>
      </c>
    </row>
    <row r="4266">
      <c r="A4266" t="inlineStr">
        <is>
          <t>23829346116</t>
        </is>
      </c>
      <c r="B4266" t="inlineStr">
        <is>
          <t>隔日到貨🔥 iPhone 手機殼 14 13 12 11 XS XR SE3 8 pro 保護殼 軟殼 手機殼 蘋果</t>
        </is>
      </c>
      <c r="C4266">
        <f>IMAGE("https://cf.shopee.tw/file/tw-11134207-23030-grveo41x29nv6b_tn")</f>
        <v/>
      </c>
      <c r="D4266" t="inlineStr">
        <is>
          <t>滿屏蝴蝶,13 mini</t>
        </is>
      </c>
      <c r="E4266" t="inlineStr"/>
      <c r="F4266">
        <f>IMAGE("https://cf.shopee.tw/file/tw-11134207-23030-g8baoapz29nv0d_tn")</f>
        <v/>
      </c>
    </row>
    <row r="4267">
      <c r="A4267" t="inlineStr">
        <is>
          <t>23829346116</t>
        </is>
      </c>
      <c r="B4267" t="inlineStr">
        <is>
          <t>隔日到貨🔥 iPhone 手機殼 14 13 12 11 XS XR SE3 8 pro 保護殼 軟殼 手機殼 蘋果</t>
        </is>
      </c>
      <c r="C4267">
        <f>IMAGE("https://cf.shopee.tw/file/tw-11134207-23030-grveo41x29nv6b_tn")</f>
        <v/>
      </c>
      <c r="D4267" t="inlineStr">
        <is>
          <t>滿屏蝴蝶,14 pro Max</t>
        </is>
      </c>
      <c r="E4267" t="inlineStr"/>
      <c r="F4267">
        <f>IMAGE("https://cf.shopee.tw/file/tw-11134207-23030-g8baoapz29nv0d_tn")</f>
        <v/>
      </c>
    </row>
    <row r="4268">
      <c r="A4268" t="inlineStr">
        <is>
          <t>23829346116</t>
        </is>
      </c>
      <c r="B4268" t="inlineStr">
        <is>
          <t>隔日到貨🔥 iPhone 手機殼 14 13 12 11 XS XR SE3 8 pro 保護殼 軟殼 手機殼 蘋果</t>
        </is>
      </c>
      <c r="C4268">
        <f>IMAGE("https://cf.shopee.tw/file/tw-11134207-23030-grveo41x29nv6b_tn")</f>
        <v/>
      </c>
      <c r="D4268" t="inlineStr">
        <is>
          <t>滿屏蝴蝶,X/XS</t>
        </is>
      </c>
      <c r="E4268" t="inlineStr"/>
      <c r="F4268">
        <f>IMAGE("https://cf.shopee.tw/file/tw-11134207-23030-g8baoapz29nv0d_tn")</f>
        <v/>
      </c>
    </row>
    <row r="4269">
      <c r="A4269" t="inlineStr">
        <is>
          <t>23829346116</t>
        </is>
      </c>
      <c r="B4269" t="inlineStr">
        <is>
          <t>隔日到貨🔥 iPhone 手機殼 14 13 12 11 XS XR SE3 8 pro 保護殼 軟殼 手機殼 蘋果</t>
        </is>
      </c>
      <c r="C4269">
        <f>IMAGE("https://cf.shopee.tw/file/tw-11134207-23030-grveo41x29nv6b_tn")</f>
        <v/>
      </c>
      <c r="D4269" t="inlineStr">
        <is>
          <t>滿屏蝴蝶,XS Max</t>
        </is>
      </c>
      <c r="E4269" t="inlineStr">
        <is>
          <t>183980384440</t>
        </is>
      </c>
      <c r="F4269">
        <f>IMAGE("https://cf.shopee.tw/file/tw-11134207-23030-g8baoapz29nv0d_tn")</f>
        <v/>
      </c>
    </row>
    <row r="4270">
      <c r="A4270" t="inlineStr">
        <is>
          <t>23829346116</t>
        </is>
      </c>
      <c r="B4270" t="inlineStr">
        <is>
          <t>隔日到貨🔥 iPhone 手機殼 14 13 12 11 XS XR SE3 8 pro 保護殼 軟殼 手機殼 蘋果</t>
        </is>
      </c>
      <c r="C4270">
        <f>IMAGE("https://cf.shopee.tw/file/tw-11134207-23030-grveo41x29nv6b_tn")</f>
        <v/>
      </c>
      <c r="D4270" t="inlineStr">
        <is>
          <t>滿屏蝴蝶,11 pro</t>
        </is>
      </c>
      <c r="E4270" t="inlineStr"/>
      <c r="F4270">
        <f>IMAGE("https://cf.shopee.tw/file/tw-11134207-23030-g8baoapz29nv0d_tn")</f>
        <v/>
      </c>
    </row>
    <row r="4271">
      <c r="A4271" t="inlineStr">
        <is>
          <t>23829346116</t>
        </is>
      </c>
      <c r="B4271" t="inlineStr">
        <is>
          <t>隔日到貨🔥 iPhone 手機殼 14 13 12 11 XS XR SE3 8 pro 保護殼 軟殼 手機殼 蘋果</t>
        </is>
      </c>
      <c r="C4271">
        <f>IMAGE("https://cf.shopee.tw/file/tw-11134207-23030-grveo41x29nv6b_tn")</f>
        <v/>
      </c>
      <c r="D4271" t="inlineStr">
        <is>
          <t>滿屏蝴蝶,11 pro Max</t>
        </is>
      </c>
      <c r="E4271" t="inlineStr"/>
      <c r="F4271">
        <f>IMAGE("https://cf.shopee.tw/file/tw-11134207-23030-g8baoapz29nv0d_tn")</f>
        <v/>
      </c>
    </row>
    <row r="4272">
      <c r="A4272" t="inlineStr">
        <is>
          <t>23829346116</t>
        </is>
      </c>
      <c r="B4272" t="inlineStr">
        <is>
          <t>隔日到貨🔥 iPhone 手機殼 14 13 12 11 XS XR SE3 8 pro 保護殼 軟殼 手機殼 蘋果</t>
        </is>
      </c>
      <c r="C4272">
        <f>IMAGE("https://cf.shopee.tw/file/tw-11134207-23030-grveo41x29nv6b_tn")</f>
        <v/>
      </c>
      <c r="D4272" t="inlineStr">
        <is>
          <t>滿屏蝴蝶,12</t>
        </is>
      </c>
      <c r="E4272" t="inlineStr"/>
      <c r="F4272">
        <f>IMAGE("https://cf.shopee.tw/file/tw-11134207-23030-g8baoapz29nv0d_tn")</f>
        <v/>
      </c>
    </row>
    <row r="4273">
      <c r="A4273" t="inlineStr">
        <is>
          <t>23829346116</t>
        </is>
      </c>
      <c r="B4273" t="inlineStr">
        <is>
          <t>隔日到貨🔥 iPhone 手機殼 14 13 12 11 XS XR SE3 8 pro 保護殼 軟殼 手機殼 蘋果</t>
        </is>
      </c>
      <c r="C4273">
        <f>IMAGE("https://cf.shopee.tw/file/tw-11134207-23030-grveo41x29nv6b_tn")</f>
        <v/>
      </c>
      <c r="D4273" t="inlineStr">
        <is>
          <t>滿屏蝴蝶,12 pro</t>
        </is>
      </c>
      <c r="E4273" t="inlineStr"/>
      <c r="F4273">
        <f>IMAGE("https://cf.shopee.tw/file/tw-11134207-23030-g8baoapz29nv0d_tn")</f>
        <v/>
      </c>
    </row>
    <row r="4274">
      <c r="A4274" t="inlineStr">
        <is>
          <t>23829346116</t>
        </is>
      </c>
      <c r="B4274" t="inlineStr">
        <is>
          <t>隔日到貨🔥 iPhone 手機殼 14 13 12 11 XS XR SE3 8 pro 保護殼 軟殼 手機殼 蘋果</t>
        </is>
      </c>
      <c r="C4274">
        <f>IMAGE("https://cf.shopee.tw/file/tw-11134207-23030-grveo41x29nv6b_tn")</f>
        <v/>
      </c>
      <c r="D4274" t="inlineStr">
        <is>
          <t>滿屏蝴蝶,13</t>
        </is>
      </c>
      <c r="E4274" t="inlineStr"/>
      <c r="F4274">
        <f>IMAGE("https://cf.shopee.tw/file/tw-11134207-23030-g8baoapz29nv0d_tn")</f>
        <v/>
      </c>
    </row>
    <row r="4275">
      <c r="A4275" t="inlineStr">
        <is>
          <t>23829346116</t>
        </is>
      </c>
      <c r="B4275" t="inlineStr">
        <is>
          <t>隔日到貨🔥 iPhone 手機殼 14 13 12 11 XS XR SE3 8 pro 保護殼 軟殼 手機殼 蘋果</t>
        </is>
      </c>
      <c r="C4275">
        <f>IMAGE("https://cf.shopee.tw/file/tw-11134207-23030-grveo41x29nv6b_tn")</f>
        <v/>
      </c>
      <c r="D4275" t="inlineStr">
        <is>
          <t>滿屏蝴蝶,13 pro</t>
        </is>
      </c>
      <c r="E4275" t="inlineStr"/>
      <c r="F4275">
        <f>IMAGE("https://cf.shopee.tw/file/tw-11134207-23030-g8baoapz29nv0d_tn")</f>
        <v/>
      </c>
    </row>
    <row r="4276">
      <c r="A4276" t="inlineStr">
        <is>
          <t>23829346116</t>
        </is>
      </c>
      <c r="B4276" t="inlineStr">
        <is>
          <t>隔日到貨🔥 iPhone 手機殼 14 13 12 11 XS XR SE3 8 pro 保護殼 軟殼 手機殼 蘋果</t>
        </is>
      </c>
      <c r="C4276">
        <f>IMAGE("https://cf.shopee.tw/file/tw-11134207-23030-grveo41x29nv6b_tn")</f>
        <v/>
      </c>
      <c r="D4276" t="inlineStr">
        <is>
          <t>滿屏蝴蝶,14</t>
        </is>
      </c>
      <c r="E4276" t="inlineStr"/>
      <c r="F4276">
        <f>IMAGE("https://cf.shopee.tw/file/tw-11134207-23030-g8baoapz29nv0d_tn")</f>
        <v/>
      </c>
    </row>
    <row r="4277">
      <c r="A4277" t="inlineStr">
        <is>
          <t>23829346116</t>
        </is>
      </c>
      <c r="B4277" t="inlineStr">
        <is>
          <t>隔日到貨🔥 iPhone 手機殼 14 13 12 11 XS XR SE3 8 pro 保護殼 軟殼 手機殼 蘋果</t>
        </is>
      </c>
      <c r="C4277">
        <f>IMAGE("https://cf.shopee.tw/file/tw-11134207-23030-grveo41x29nv6b_tn")</f>
        <v/>
      </c>
      <c r="D4277" t="inlineStr">
        <is>
          <t>滿屏蝴蝶,14 Plus</t>
        </is>
      </c>
      <c r="E4277" t="inlineStr">
        <is>
          <t>183980384437</t>
        </is>
      </c>
      <c r="F4277">
        <f>IMAGE("https://cf.shopee.tw/file/tw-11134207-23030-g8baoapz29nv0d_tn")</f>
        <v/>
      </c>
    </row>
    <row r="4278">
      <c r="A4278" t="inlineStr">
        <is>
          <t>23829346116</t>
        </is>
      </c>
      <c r="B4278" t="inlineStr">
        <is>
          <t>隔日到貨🔥 iPhone 手機殼 14 13 12 11 XS XR SE3 8 pro 保護殼 軟殼 手機殼 蘋果</t>
        </is>
      </c>
      <c r="C4278">
        <f>IMAGE("https://cf.shopee.tw/file/tw-11134207-23030-grveo41x29nv6b_tn")</f>
        <v/>
      </c>
      <c r="D4278" t="inlineStr">
        <is>
          <t>滿屏蝴蝶,14 pro</t>
        </is>
      </c>
      <c r="E4278" t="inlineStr">
        <is>
          <t>183980384444</t>
        </is>
      </c>
      <c r="F4278">
        <f>IMAGE("https://cf.shopee.tw/file/tw-11134207-23030-g8baoapz29nv0d_tn")</f>
        <v/>
      </c>
    </row>
    <row r="4279">
      <c r="A4279" t="inlineStr">
        <is>
          <t>9136204087</t>
        </is>
      </c>
      <c r="B4279" t="inlineStr">
        <is>
          <t>隔日到貨🔥 Challenge刺繡老帽 百搭 鴨舌帽 棒球帽 潮帽 帽子 遮陽帽 好看帽 百搭帽 潮流帽</t>
        </is>
      </c>
      <c r="C4279">
        <f>IMAGE("https://cf.shopee.tw/file/e3a7e22867f84e08be520dc43d2f1422_tn")</f>
        <v/>
      </c>
      <c r="D4279" t="inlineStr">
        <is>
          <t>橘粉色</t>
        </is>
      </c>
      <c r="E4279" t="inlineStr"/>
      <c r="F4279">
        <f>IMAGE("https://cf.shopee.tw/file/d9043107e4430c836a097ecad0928723_tn")</f>
        <v/>
      </c>
    </row>
    <row r="4280">
      <c r="A4280" t="inlineStr">
        <is>
          <t>9136204087</t>
        </is>
      </c>
      <c r="B4280" t="inlineStr">
        <is>
          <t>隔日到貨🔥 Challenge刺繡老帽 百搭 鴨舌帽 棒球帽 潮帽 帽子 遮陽帽 好看帽 百搭帽 潮流帽</t>
        </is>
      </c>
      <c r="C4280">
        <f>IMAGE("https://cf.shopee.tw/file/e3a7e22867f84e08be520dc43d2f1422_tn")</f>
        <v/>
      </c>
      <c r="D4280" t="inlineStr">
        <is>
          <t>灰色</t>
        </is>
      </c>
      <c r="E4280" t="inlineStr"/>
      <c r="F4280">
        <f>IMAGE("https://cf.shopee.tw/file/646e424bf4e648e4203b0f14d65a30a4_tn")</f>
        <v/>
      </c>
    </row>
    <row r="4281">
      <c r="A4281" t="inlineStr">
        <is>
          <t>9136204087</t>
        </is>
      </c>
      <c r="B4281" t="inlineStr">
        <is>
          <t>隔日到貨🔥 Challenge刺繡老帽 百搭 鴨舌帽 棒球帽 潮帽 帽子 遮陽帽 好看帽 百搭帽 潮流帽</t>
        </is>
      </c>
      <c r="C4281">
        <f>IMAGE("https://cf.shopee.tw/file/e3a7e22867f84e08be520dc43d2f1422_tn")</f>
        <v/>
      </c>
      <c r="D4281" t="inlineStr">
        <is>
          <t>白色</t>
        </is>
      </c>
      <c r="E4281" t="inlineStr">
        <is>
          <t>54590278915</t>
        </is>
      </c>
      <c r="F4281">
        <f>IMAGE("https://cf.shopee.tw/file/2941e5492653eee3911cfb4e83145c30_tn")</f>
        <v/>
      </c>
    </row>
    <row r="4282">
      <c r="A4282" t="inlineStr">
        <is>
          <t>9136204087</t>
        </is>
      </c>
      <c r="B4282" t="inlineStr">
        <is>
          <t>隔日到貨🔥 Challenge刺繡老帽 百搭 鴨舌帽 棒球帽 潮帽 帽子 遮陽帽 好看帽 百搭帽 潮流帽</t>
        </is>
      </c>
      <c r="C4282">
        <f>IMAGE("https://cf.shopee.tw/file/e3a7e22867f84e08be520dc43d2f1422_tn")</f>
        <v/>
      </c>
      <c r="D4282" t="inlineStr">
        <is>
          <t>黑色</t>
        </is>
      </c>
      <c r="E4282" t="inlineStr"/>
      <c r="F4282">
        <f>IMAGE("https://cf.shopee.tw/file/b4c9154310a92244fff9238490bbf4df_tn")</f>
        <v/>
      </c>
    </row>
    <row r="4283">
      <c r="A4283" t="inlineStr">
        <is>
          <t>9136204087</t>
        </is>
      </c>
      <c r="B4283" t="inlineStr">
        <is>
          <t>隔日到貨🔥 Challenge刺繡老帽 百搭 鴨舌帽 棒球帽 潮帽 帽子 遮陽帽 好看帽 百搭帽 潮流帽</t>
        </is>
      </c>
      <c r="C4283">
        <f>IMAGE("https://cf.shopee.tw/file/e3a7e22867f84e08be520dc43d2f1422_tn")</f>
        <v/>
      </c>
      <c r="D4283" t="inlineStr">
        <is>
          <t>米白色</t>
        </is>
      </c>
      <c r="E4283" t="inlineStr"/>
      <c r="F4283">
        <f>IMAGE("https://cf.shopee.tw/file/21e4668a4814ce1562febbc0c9df2ea6_tn")</f>
        <v/>
      </c>
    </row>
    <row r="4284">
      <c r="A4284" t="inlineStr">
        <is>
          <t>9136204087</t>
        </is>
      </c>
      <c r="B4284" t="inlineStr">
        <is>
          <t>隔日到貨🔥 Challenge刺繡老帽 百搭 鴨舌帽 棒球帽 潮帽 帽子 遮陽帽 好看帽 百搭帽 潮流帽</t>
        </is>
      </c>
      <c r="C4284">
        <f>IMAGE("https://cf.shopee.tw/file/e3a7e22867f84e08be520dc43d2f1422_tn")</f>
        <v/>
      </c>
      <c r="D4284" t="inlineStr">
        <is>
          <t>卡其色</t>
        </is>
      </c>
      <c r="E4284" t="inlineStr">
        <is>
          <t>35437967120</t>
        </is>
      </c>
      <c r="F4284">
        <f>IMAGE("https://cf.shopee.tw/file/e30a89964f8fbac7ca2b4dabe665a53e_tn")</f>
        <v/>
      </c>
    </row>
    <row r="4285">
      <c r="A4285" t="inlineStr">
        <is>
          <t>17987268070</t>
        </is>
      </c>
      <c r="B4285" t="inlineStr">
        <is>
          <t>隔日到貨🔥 iPhone 手機殼 15 14 pro 13 12 11 XS XR SE X 保護殼 軟殼 蘋果</t>
        </is>
      </c>
      <c r="C4285">
        <f>IMAGE("https://cf.shopee.tw/file/2d8a419c14904970e2babdf1d45c3b44_tn")</f>
        <v/>
      </c>
      <c r="D4285" t="inlineStr">
        <is>
          <t>黃框潛水鴨,7 / 8 / SE2 / SE3</t>
        </is>
      </c>
      <c r="E4285" t="inlineStr">
        <is>
          <t>126898728073</t>
        </is>
      </c>
      <c r="F4285">
        <f>IMAGE("https://cf.shopee.tw/file/300b6511d888caae6d3d76264af0c8b9_tn")</f>
        <v/>
      </c>
    </row>
    <row r="4286">
      <c r="A4286" t="inlineStr">
        <is>
          <t>17987268070</t>
        </is>
      </c>
      <c r="B4286" t="inlineStr">
        <is>
          <t>隔日到貨🔥 iPhone 手機殼 15 14 pro 13 12 11 XS XR SE X 保護殼 軟殼 蘋果</t>
        </is>
      </c>
      <c r="C4286">
        <f>IMAGE("https://cf.shopee.tw/file/2d8a419c14904970e2babdf1d45c3b44_tn")</f>
        <v/>
      </c>
      <c r="D4286" t="inlineStr">
        <is>
          <t>黃框潛水鴨,7Plus / 8Plus</t>
        </is>
      </c>
      <c r="E4286" t="inlineStr">
        <is>
          <t>202676808705</t>
        </is>
      </c>
      <c r="F4286">
        <f>IMAGE("https://cf.shopee.tw/file/300b6511d888caae6d3d76264af0c8b9_tn")</f>
        <v/>
      </c>
    </row>
    <row r="4287">
      <c r="A4287" t="inlineStr">
        <is>
          <t>17987268070</t>
        </is>
      </c>
      <c r="B4287" t="inlineStr">
        <is>
          <t>隔日到貨🔥 iPhone 手機殼 15 14 pro 13 12 11 XS XR SE X 保護殼 軟殼 蘋果</t>
        </is>
      </c>
      <c r="C4287">
        <f>IMAGE("https://cf.shopee.tw/file/2d8a419c14904970e2babdf1d45c3b44_tn")</f>
        <v/>
      </c>
      <c r="D4287" t="inlineStr">
        <is>
          <t>黃框潛水鴨,X / XS</t>
        </is>
      </c>
      <c r="E4287" t="inlineStr">
        <is>
          <t>202676808709</t>
        </is>
      </c>
      <c r="F4287">
        <f>IMAGE("https://cf.shopee.tw/file/300b6511d888caae6d3d76264af0c8b9_tn")</f>
        <v/>
      </c>
    </row>
    <row r="4288">
      <c r="A4288" t="inlineStr">
        <is>
          <t>17987268070</t>
        </is>
      </c>
      <c r="B4288" t="inlineStr">
        <is>
          <t>隔日到貨🔥 iPhone 手機殼 15 14 pro 13 12 11 XS XR SE X 保護殼 軟殼 蘋果</t>
        </is>
      </c>
      <c r="C4288">
        <f>IMAGE("https://cf.shopee.tw/file/2d8a419c14904970e2babdf1d45c3b44_tn")</f>
        <v/>
      </c>
      <c r="D4288" t="inlineStr">
        <is>
          <t>黃框潛水鴨,XR</t>
        </is>
      </c>
      <c r="E4288" t="inlineStr"/>
      <c r="F4288">
        <f>IMAGE("https://cf.shopee.tw/file/300b6511d888caae6d3d76264af0c8b9_tn")</f>
        <v/>
      </c>
    </row>
    <row r="4289">
      <c r="A4289" t="inlineStr">
        <is>
          <t>17987268070</t>
        </is>
      </c>
      <c r="B4289" t="inlineStr">
        <is>
          <t>隔日到貨🔥 iPhone 手機殼 15 14 pro 13 12 11 XS XR SE X 保護殼 軟殼 蘋果</t>
        </is>
      </c>
      <c r="C4289">
        <f>IMAGE("https://cf.shopee.tw/file/2d8a419c14904970e2babdf1d45c3b44_tn")</f>
        <v/>
      </c>
      <c r="D4289" t="inlineStr">
        <is>
          <t>黃框潛水鴨,XS Max</t>
        </is>
      </c>
      <c r="E4289" t="inlineStr">
        <is>
          <t>202676808711</t>
        </is>
      </c>
      <c r="F4289">
        <f>IMAGE("https://cf.shopee.tw/file/300b6511d888caae6d3d76264af0c8b9_tn")</f>
        <v/>
      </c>
    </row>
    <row r="4290">
      <c r="A4290" t="inlineStr">
        <is>
          <t>17987268070</t>
        </is>
      </c>
      <c r="B4290" t="inlineStr">
        <is>
          <t>隔日到貨🔥 iPhone 手機殼 15 14 pro 13 12 11 XS XR SE X 保護殼 軟殼 蘋果</t>
        </is>
      </c>
      <c r="C4290">
        <f>IMAGE("https://cf.shopee.tw/file/2d8a419c14904970e2babdf1d45c3b44_tn")</f>
        <v/>
      </c>
      <c r="D4290" t="inlineStr">
        <is>
          <t>黃框潛水鴨,11</t>
        </is>
      </c>
      <c r="E4290" t="inlineStr"/>
      <c r="F4290">
        <f>IMAGE("https://cf.shopee.tw/file/300b6511d888caae6d3d76264af0c8b9_tn")</f>
        <v/>
      </c>
    </row>
    <row r="4291">
      <c r="A4291" t="inlineStr">
        <is>
          <t>17987268070</t>
        </is>
      </c>
      <c r="B4291" t="inlineStr">
        <is>
          <t>隔日到貨🔥 iPhone 手機殼 15 14 pro 13 12 11 XS XR SE X 保護殼 軟殼 蘋果</t>
        </is>
      </c>
      <c r="C4291">
        <f>IMAGE("https://cf.shopee.tw/file/2d8a419c14904970e2babdf1d45c3b44_tn")</f>
        <v/>
      </c>
      <c r="D4291" t="inlineStr">
        <is>
          <t>黃框潛水鴨,11 pro</t>
        </is>
      </c>
      <c r="E4291" t="inlineStr">
        <is>
          <t>202676808712</t>
        </is>
      </c>
      <c r="F4291">
        <f>IMAGE("https://cf.shopee.tw/file/300b6511d888caae6d3d76264af0c8b9_tn")</f>
        <v/>
      </c>
    </row>
    <row r="4292">
      <c r="A4292" t="inlineStr">
        <is>
          <t>17987268070</t>
        </is>
      </c>
      <c r="B4292" t="inlineStr">
        <is>
          <t>隔日到貨🔥 iPhone 手機殼 15 14 pro 13 12 11 XS XR SE X 保護殼 軟殼 蘋果</t>
        </is>
      </c>
      <c r="C4292">
        <f>IMAGE("https://cf.shopee.tw/file/2d8a419c14904970e2babdf1d45c3b44_tn")</f>
        <v/>
      </c>
      <c r="D4292" t="inlineStr">
        <is>
          <t>黃框潛水鴨,11 pro Max</t>
        </is>
      </c>
      <c r="E4292" t="inlineStr"/>
      <c r="F4292">
        <f>IMAGE("https://cf.shopee.tw/file/300b6511d888caae6d3d76264af0c8b9_tn")</f>
        <v/>
      </c>
    </row>
    <row r="4293">
      <c r="A4293" t="inlineStr">
        <is>
          <t>17987268070</t>
        </is>
      </c>
      <c r="B4293" t="inlineStr">
        <is>
          <t>隔日到貨🔥 iPhone 手機殼 15 14 pro 13 12 11 XS XR SE X 保護殼 軟殼 蘋果</t>
        </is>
      </c>
      <c r="C4293">
        <f>IMAGE("https://cf.shopee.tw/file/2d8a419c14904970e2babdf1d45c3b44_tn")</f>
        <v/>
      </c>
      <c r="D4293" t="inlineStr">
        <is>
          <t>黃框潛水鴨,12</t>
        </is>
      </c>
      <c r="E4293" t="inlineStr"/>
      <c r="F4293">
        <f>IMAGE("https://cf.shopee.tw/file/300b6511d888caae6d3d76264af0c8b9_tn")</f>
        <v/>
      </c>
    </row>
    <row r="4294">
      <c r="A4294" t="inlineStr">
        <is>
          <t>17987268070</t>
        </is>
      </c>
      <c r="B4294" t="inlineStr">
        <is>
          <t>隔日到貨🔥 iPhone 手機殼 15 14 pro 13 12 11 XS XR SE X 保護殼 軟殼 蘋果</t>
        </is>
      </c>
      <c r="C4294">
        <f>IMAGE("https://cf.shopee.tw/file/2d8a419c14904970e2babdf1d45c3b44_tn")</f>
        <v/>
      </c>
      <c r="D4294" t="inlineStr">
        <is>
          <t>黃框潛水鴨,12 pro</t>
        </is>
      </c>
      <c r="E4294" t="inlineStr">
        <is>
          <t>202676808702</t>
        </is>
      </c>
      <c r="F4294">
        <f>IMAGE("https://cf.shopee.tw/file/300b6511d888caae6d3d76264af0c8b9_tn")</f>
        <v/>
      </c>
    </row>
    <row r="4295">
      <c r="A4295" t="inlineStr">
        <is>
          <t>17987268070</t>
        </is>
      </c>
      <c r="B4295" t="inlineStr">
        <is>
          <t>隔日到貨🔥 iPhone 手機殼 15 14 pro 13 12 11 XS XR SE X 保護殼 軟殼 蘋果</t>
        </is>
      </c>
      <c r="C4295">
        <f>IMAGE("https://cf.shopee.tw/file/2d8a419c14904970e2babdf1d45c3b44_tn")</f>
        <v/>
      </c>
      <c r="D4295" t="inlineStr">
        <is>
          <t>黃框潛水鴨,12 pro Max</t>
        </is>
      </c>
      <c r="E4295" t="inlineStr">
        <is>
          <t>202676808703</t>
        </is>
      </c>
      <c r="F4295">
        <f>IMAGE("https://cf.shopee.tw/file/300b6511d888caae6d3d76264af0c8b9_tn")</f>
        <v/>
      </c>
    </row>
    <row r="4296">
      <c r="A4296" t="inlineStr">
        <is>
          <t>17987268070</t>
        </is>
      </c>
      <c r="B4296" t="inlineStr">
        <is>
          <t>隔日到貨🔥 iPhone 手機殼 15 14 pro 13 12 11 XS XR SE X 保護殼 軟殼 蘋果</t>
        </is>
      </c>
      <c r="C4296">
        <f>IMAGE("https://cf.shopee.tw/file/2d8a419c14904970e2babdf1d45c3b44_tn")</f>
        <v/>
      </c>
      <c r="D4296" t="inlineStr">
        <is>
          <t>黃框潛水鴨,13</t>
        </is>
      </c>
      <c r="E4296" t="inlineStr">
        <is>
          <t>202676808698</t>
        </is>
      </c>
      <c r="F4296">
        <f>IMAGE("https://cf.shopee.tw/file/300b6511d888caae6d3d76264af0c8b9_tn")</f>
        <v/>
      </c>
    </row>
    <row r="4297">
      <c r="A4297" t="inlineStr">
        <is>
          <t>17987268070</t>
        </is>
      </c>
      <c r="B4297" t="inlineStr">
        <is>
          <t>隔日到貨🔥 iPhone 手機殼 15 14 pro 13 12 11 XS XR SE X 保護殼 軟殼 蘋果</t>
        </is>
      </c>
      <c r="C4297">
        <f>IMAGE("https://cf.shopee.tw/file/2d8a419c14904970e2babdf1d45c3b44_tn")</f>
        <v/>
      </c>
      <c r="D4297" t="inlineStr">
        <is>
          <t>黃框潛水鴨,13 pro</t>
        </is>
      </c>
      <c r="E4297" t="inlineStr">
        <is>
          <t>202676808713</t>
        </is>
      </c>
      <c r="F4297">
        <f>IMAGE("https://cf.shopee.tw/file/300b6511d888caae6d3d76264af0c8b9_tn")</f>
        <v/>
      </c>
    </row>
    <row r="4298">
      <c r="A4298" t="inlineStr">
        <is>
          <t>17987268070</t>
        </is>
      </c>
      <c r="B4298" t="inlineStr">
        <is>
          <t>隔日到貨🔥 iPhone 手機殼 15 14 pro 13 12 11 XS XR SE X 保護殼 軟殼 蘋果</t>
        </is>
      </c>
      <c r="C4298">
        <f>IMAGE("https://cf.shopee.tw/file/2d8a419c14904970e2babdf1d45c3b44_tn")</f>
        <v/>
      </c>
      <c r="D4298" t="inlineStr">
        <is>
          <t>黃框潛水鴨,13 pro Max</t>
        </is>
      </c>
      <c r="E4298" t="inlineStr"/>
      <c r="F4298">
        <f>IMAGE("https://cf.shopee.tw/file/300b6511d888caae6d3d76264af0c8b9_tn")</f>
        <v/>
      </c>
    </row>
    <row r="4299">
      <c r="A4299" t="inlineStr">
        <is>
          <t>17987268070</t>
        </is>
      </c>
      <c r="B4299" t="inlineStr">
        <is>
          <t>隔日到貨🔥 iPhone 手機殼 15 14 pro 13 12 11 XS XR SE X 保護殼 軟殼 蘋果</t>
        </is>
      </c>
      <c r="C4299">
        <f>IMAGE("https://cf.shopee.tw/file/2d8a419c14904970e2babdf1d45c3b44_tn")</f>
        <v/>
      </c>
      <c r="D4299" t="inlineStr">
        <is>
          <t>黃框潛水鴨,13 mini</t>
        </is>
      </c>
      <c r="E4299" t="inlineStr"/>
      <c r="F4299">
        <f>IMAGE("https://cf.shopee.tw/file/300b6511d888caae6d3d76264af0c8b9_tn")</f>
        <v/>
      </c>
    </row>
    <row r="4300">
      <c r="A4300" t="inlineStr">
        <is>
          <t>17987268070</t>
        </is>
      </c>
      <c r="B4300" t="inlineStr">
        <is>
          <t>隔日到貨🔥 iPhone 手機殼 15 14 pro 13 12 11 XS XR SE X 保護殼 軟殼 蘋果</t>
        </is>
      </c>
      <c r="C4300">
        <f>IMAGE("https://cf.shopee.tw/file/2d8a419c14904970e2babdf1d45c3b44_tn")</f>
        <v/>
      </c>
      <c r="D4300" t="inlineStr">
        <is>
          <t>黃框潛水鴨,14</t>
        </is>
      </c>
      <c r="E4300" t="inlineStr">
        <is>
          <t>202676808706</t>
        </is>
      </c>
      <c r="F4300">
        <f>IMAGE("https://cf.shopee.tw/file/300b6511d888caae6d3d76264af0c8b9_tn")</f>
        <v/>
      </c>
    </row>
    <row r="4301">
      <c r="A4301" t="inlineStr">
        <is>
          <t>17987268070</t>
        </is>
      </c>
      <c r="B4301" t="inlineStr">
        <is>
          <t>隔日到貨🔥 iPhone 手機殼 15 14 pro 13 12 11 XS XR SE X 保護殼 軟殼 蘋果</t>
        </is>
      </c>
      <c r="C4301">
        <f>IMAGE("https://cf.shopee.tw/file/2d8a419c14904970e2babdf1d45c3b44_tn")</f>
        <v/>
      </c>
      <c r="D4301" t="inlineStr">
        <is>
          <t>黃框潛水鴨,14 Plus</t>
        </is>
      </c>
      <c r="E4301" t="inlineStr"/>
      <c r="F4301">
        <f>IMAGE("https://cf.shopee.tw/file/300b6511d888caae6d3d76264af0c8b9_tn")</f>
        <v/>
      </c>
    </row>
    <row r="4302">
      <c r="A4302" t="inlineStr">
        <is>
          <t>17987268070</t>
        </is>
      </c>
      <c r="B4302" t="inlineStr">
        <is>
          <t>隔日到貨🔥 iPhone 手機殼 15 14 pro 13 12 11 XS XR SE X 保護殼 軟殼 蘋果</t>
        </is>
      </c>
      <c r="C4302">
        <f>IMAGE("https://cf.shopee.tw/file/2d8a419c14904970e2babdf1d45c3b44_tn")</f>
        <v/>
      </c>
      <c r="D4302" t="inlineStr">
        <is>
          <t>黃框潛水鴨,14 pro</t>
        </is>
      </c>
      <c r="E4302" t="inlineStr"/>
      <c r="F4302">
        <f>IMAGE("https://cf.shopee.tw/file/300b6511d888caae6d3d76264af0c8b9_tn")</f>
        <v/>
      </c>
    </row>
    <row r="4303">
      <c r="A4303" t="inlineStr">
        <is>
          <t>17987268070</t>
        </is>
      </c>
      <c r="B4303" t="inlineStr">
        <is>
          <t>隔日到貨🔥 iPhone 手機殼 15 14 pro 13 12 11 XS XR SE X 保護殼 軟殼 蘋果</t>
        </is>
      </c>
      <c r="C4303">
        <f>IMAGE("https://cf.shopee.tw/file/2d8a419c14904970e2babdf1d45c3b44_tn")</f>
        <v/>
      </c>
      <c r="D4303" t="inlineStr">
        <is>
          <t>黃框潛水鴨,14 pro Max</t>
        </is>
      </c>
      <c r="E4303" t="inlineStr"/>
      <c r="F4303">
        <f>IMAGE("https://cf.shopee.tw/file/300b6511d888caae6d3d76264af0c8b9_tn")</f>
        <v/>
      </c>
    </row>
    <row r="4304">
      <c r="A4304" t="inlineStr">
        <is>
          <t>17987268070</t>
        </is>
      </c>
      <c r="B4304" t="inlineStr">
        <is>
          <t>隔日到貨🔥 iPhone 手機殼 15 14 pro 13 12 11 XS XR SE X 保護殼 軟殼 蘋果</t>
        </is>
      </c>
      <c r="C4304">
        <f>IMAGE("https://cf.shopee.tw/file/2d8a419c14904970e2babdf1d45c3b44_tn")</f>
        <v/>
      </c>
      <c r="D4304" t="inlineStr">
        <is>
          <t>黃框潛水鴨,15</t>
        </is>
      </c>
      <c r="E4304" t="inlineStr"/>
      <c r="F4304">
        <f>IMAGE("https://cf.shopee.tw/file/300b6511d888caae6d3d76264af0c8b9_tn")</f>
        <v/>
      </c>
    </row>
    <row r="4305">
      <c r="A4305" t="inlineStr">
        <is>
          <t>17987268070</t>
        </is>
      </c>
      <c r="B4305" t="inlineStr">
        <is>
          <t>隔日到貨🔥 iPhone 手機殼 15 14 pro 13 12 11 XS XR SE X 保護殼 軟殼 蘋果</t>
        </is>
      </c>
      <c r="C4305">
        <f>IMAGE("https://cf.shopee.tw/file/2d8a419c14904970e2babdf1d45c3b44_tn")</f>
        <v/>
      </c>
      <c r="D4305" t="inlineStr">
        <is>
          <t>黃框潛水鴨,15 Plus</t>
        </is>
      </c>
      <c r="E4305" t="inlineStr">
        <is>
          <t>184585330124</t>
        </is>
      </c>
      <c r="F4305">
        <f>IMAGE("https://cf.shopee.tw/file/300b6511d888caae6d3d76264af0c8b9_tn")</f>
        <v/>
      </c>
    </row>
    <row r="4306">
      <c r="A4306" t="inlineStr">
        <is>
          <t>17987268070</t>
        </is>
      </c>
      <c r="B4306" t="inlineStr">
        <is>
          <t>隔日到貨🔥 iPhone 手機殼 15 14 pro 13 12 11 XS XR SE X 保護殼 軟殼 蘋果</t>
        </is>
      </c>
      <c r="C4306">
        <f>IMAGE("https://cf.shopee.tw/file/2d8a419c14904970e2babdf1d45c3b44_tn")</f>
        <v/>
      </c>
      <c r="D4306" t="inlineStr">
        <is>
          <t>黃框潛水鴨,15 pro</t>
        </is>
      </c>
      <c r="E4306" t="inlineStr">
        <is>
          <t>184585330122</t>
        </is>
      </c>
      <c r="F4306">
        <f>IMAGE("https://cf.shopee.tw/file/300b6511d888caae6d3d76264af0c8b9_tn")</f>
        <v/>
      </c>
    </row>
    <row r="4307">
      <c r="A4307" t="inlineStr">
        <is>
          <t>17987268070</t>
        </is>
      </c>
      <c r="B4307" t="inlineStr">
        <is>
          <t>隔日到貨🔥 iPhone 手機殼 15 14 pro 13 12 11 XS XR SE X 保護殼 軟殼 蘋果</t>
        </is>
      </c>
      <c r="C4307">
        <f>IMAGE("https://cf.shopee.tw/file/2d8a419c14904970e2babdf1d45c3b44_tn")</f>
        <v/>
      </c>
      <c r="D4307" t="inlineStr">
        <is>
          <t>黃框潛水鴨,15 pro Max</t>
        </is>
      </c>
      <c r="E4307" t="inlineStr"/>
      <c r="F4307">
        <f>IMAGE("https://cf.shopee.tw/file/300b6511d888caae6d3d76264af0c8b9_tn")</f>
        <v/>
      </c>
    </row>
    <row r="4308">
      <c r="A4308" t="inlineStr">
        <is>
          <t>8743346211</t>
        </is>
      </c>
      <c r="B4308" t="inlineStr">
        <is>
          <t>隔日到貨🔥 iPhone 手機殼 15 14 13 12 11 pro Max XS XR SE 保護殼 軟殼</t>
        </is>
      </c>
      <c r="C4308">
        <f>IMAGE("https://cf.shopee.tw/file/e20d89407aa81b798adc74c74099b087_tn")</f>
        <v/>
      </c>
      <c r="D4308" t="inlineStr">
        <is>
          <t>7 / 8 / SE2 / SE3</t>
        </is>
      </c>
      <c r="E4308" t="inlineStr"/>
      <c r="F4308">
        <f>IMAGE("https://deo.shopeemobile.com/shopee/shopee-seller-live-sg/mmf_portal_seller_root_dir/static/modules/product-list/image/default-item-model-image.2601159.png")</f>
        <v/>
      </c>
    </row>
    <row r="4309">
      <c r="A4309" t="inlineStr">
        <is>
          <t>8743346211</t>
        </is>
      </c>
      <c r="B4309" t="inlineStr">
        <is>
          <t>隔日到貨🔥 iPhone 手機殼 15 14 13 12 11 pro Max XS XR SE 保護殼 軟殼</t>
        </is>
      </c>
      <c r="C4309">
        <f>IMAGE("https://cf.shopee.tw/file/e20d89407aa81b798adc74c74099b087_tn")</f>
        <v/>
      </c>
      <c r="D4309" t="inlineStr">
        <is>
          <t>13 mini</t>
        </is>
      </c>
      <c r="E4309" t="inlineStr">
        <is>
          <t>204250472974</t>
        </is>
      </c>
      <c r="F4309">
        <f>IMAGE("https://deo.shopeemobile.com/shopee/shopee-seller-live-sg/mmf_portal_seller_root_dir/static/modules/product-list/image/default-item-model-image.2601159.png")</f>
        <v/>
      </c>
    </row>
    <row r="4310">
      <c r="A4310" t="inlineStr">
        <is>
          <t>8743346211</t>
        </is>
      </c>
      <c r="B4310" t="inlineStr">
        <is>
          <t>隔日到貨🔥 iPhone 手機殼 15 14 13 12 11 pro Max XS XR SE 保護殼 軟殼</t>
        </is>
      </c>
      <c r="C4310">
        <f>IMAGE("https://cf.shopee.tw/file/e20d89407aa81b798adc74c74099b087_tn")</f>
        <v/>
      </c>
      <c r="D4310" t="inlineStr">
        <is>
          <t>7plus /8plus</t>
        </is>
      </c>
      <c r="E4310" t="inlineStr"/>
      <c r="F4310">
        <f>IMAGE("https://deo.shopeemobile.com/shopee/shopee-seller-live-sg/mmf_portal_seller_root_dir/static/modules/product-list/image/default-item-model-image.2601159.png")</f>
        <v/>
      </c>
    </row>
    <row r="4311">
      <c r="A4311" t="inlineStr">
        <is>
          <t>8743346211</t>
        </is>
      </c>
      <c r="B4311" t="inlineStr">
        <is>
          <t>隔日到貨🔥 iPhone 手機殼 15 14 13 12 11 pro Max XS XR SE 保護殼 軟殼</t>
        </is>
      </c>
      <c r="C4311">
        <f>IMAGE("https://cf.shopee.tw/file/e20d89407aa81b798adc74c74099b087_tn")</f>
        <v/>
      </c>
      <c r="D4311" t="inlineStr">
        <is>
          <t>X / XS</t>
        </is>
      </c>
      <c r="E4311" t="inlineStr"/>
      <c r="F4311">
        <f>IMAGE("https://deo.shopeemobile.com/shopee/shopee-seller-live-sg/mmf_portal_seller_root_dir/static/modules/product-list/image/default-item-model-image.2601159.png")</f>
        <v/>
      </c>
    </row>
    <row r="4312">
      <c r="A4312" t="inlineStr">
        <is>
          <t>8743346211</t>
        </is>
      </c>
      <c r="B4312" t="inlineStr">
        <is>
          <t>隔日到貨🔥 iPhone 手機殼 15 14 13 12 11 pro Max XS XR SE 保護殼 軟殼</t>
        </is>
      </c>
      <c r="C4312">
        <f>IMAGE("https://cf.shopee.tw/file/e20d89407aa81b798adc74c74099b087_tn")</f>
        <v/>
      </c>
      <c r="D4312" t="inlineStr">
        <is>
          <t>XR</t>
        </is>
      </c>
      <c r="E4312" t="inlineStr"/>
      <c r="F4312">
        <f>IMAGE("https://deo.shopeemobile.com/shopee/shopee-seller-live-sg/mmf_portal_seller_root_dir/static/modules/product-list/image/default-item-model-image.2601159.png")</f>
        <v/>
      </c>
    </row>
    <row r="4313">
      <c r="A4313" t="inlineStr">
        <is>
          <t>8743346211</t>
        </is>
      </c>
      <c r="B4313" t="inlineStr">
        <is>
          <t>隔日到貨🔥 iPhone 手機殼 15 14 13 12 11 pro Max XS XR SE 保護殼 軟殼</t>
        </is>
      </c>
      <c r="C4313">
        <f>IMAGE("https://cf.shopee.tw/file/e20d89407aa81b798adc74c74099b087_tn")</f>
        <v/>
      </c>
      <c r="D4313" t="inlineStr">
        <is>
          <t>XS Max</t>
        </is>
      </c>
      <c r="E4313" t="inlineStr">
        <is>
          <t>64914252590</t>
        </is>
      </c>
      <c r="F4313">
        <f>IMAGE("https://deo.shopeemobile.com/shopee/shopee-seller-live-sg/mmf_portal_seller_root_dir/static/modules/product-list/image/default-item-model-image.2601159.png")</f>
        <v/>
      </c>
    </row>
    <row r="4314">
      <c r="A4314" t="inlineStr">
        <is>
          <t>8743346211</t>
        </is>
      </c>
      <c r="B4314" t="inlineStr">
        <is>
          <t>隔日到貨🔥 iPhone 手機殼 15 14 13 12 11 pro Max XS XR SE 保護殼 軟殼</t>
        </is>
      </c>
      <c r="C4314">
        <f>IMAGE("https://cf.shopee.tw/file/e20d89407aa81b798adc74c74099b087_tn")</f>
        <v/>
      </c>
      <c r="D4314" t="inlineStr">
        <is>
          <t>11</t>
        </is>
      </c>
      <c r="E4314" t="inlineStr"/>
      <c r="F4314">
        <f>IMAGE("https://deo.shopeemobile.com/shopee/shopee-seller-live-sg/mmf_portal_seller_root_dir/static/modules/product-list/image/default-item-model-image.2601159.png")</f>
        <v/>
      </c>
    </row>
    <row r="4315">
      <c r="A4315" t="inlineStr">
        <is>
          <t>8743346211</t>
        </is>
      </c>
      <c r="B4315" t="inlineStr">
        <is>
          <t>隔日到貨🔥 iPhone 手機殼 15 14 13 12 11 pro Max XS XR SE 保護殼 軟殼</t>
        </is>
      </c>
      <c r="C4315">
        <f>IMAGE("https://cf.shopee.tw/file/e20d89407aa81b798adc74c74099b087_tn")</f>
        <v/>
      </c>
      <c r="D4315" t="inlineStr">
        <is>
          <t>11 pro</t>
        </is>
      </c>
      <c r="E4315" t="inlineStr"/>
      <c r="F4315">
        <f>IMAGE("https://deo.shopeemobile.com/shopee/shopee-seller-live-sg/mmf_portal_seller_root_dir/static/modules/product-list/image/default-item-model-image.2601159.png")</f>
        <v/>
      </c>
    </row>
    <row r="4316">
      <c r="A4316" t="inlineStr">
        <is>
          <t>8743346211</t>
        </is>
      </c>
      <c r="B4316" t="inlineStr">
        <is>
          <t>隔日到貨🔥 iPhone 手機殼 15 14 13 12 11 pro Max XS XR SE 保護殼 軟殼</t>
        </is>
      </c>
      <c r="C4316">
        <f>IMAGE("https://cf.shopee.tw/file/e20d89407aa81b798adc74c74099b087_tn")</f>
        <v/>
      </c>
      <c r="D4316" t="inlineStr">
        <is>
          <t>11 pro Max</t>
        </is>
      </c>
      <c r="E4316" t="inlineStr"/>
      <c r="F4316">
        <f>IMAGE("https://deo.shopeemobile.com/shopee/shopee-seller-live-sg/mmf_portal_seller_root_dir/static/modules/product-list/image/default-item-model-image.2601159.png")</f>
        <v/>
      </c>
    </row>
    <row r="4317">
      <c r="A4317" t="inlineStr">
        <is>
          <t>8743346211</t>
        </is>
      </c>
      <c r="B4317" t="inlineStr">
        <is>
          <t>隔日到貨🔥 iPhone 手機殼 15 14 13 12 11 pro Max XS XR SE 保護殼 軟殼</t>
        </is>
      </c>
      <c r="C4317">
        <f>IMAGE("https://cf.shopee.tw/file/e20d89407aa81b798adc74c74099b087_tn")</f>
        <v/>
      </c>
      <c r="D4317" t="inlineStr">
        <is>
          <t>12</t>
        </is>
      </c>
      <c r="E4317" t="inlineStr">
        <is>
          <t>64914252593</t>
        </is>
      </c>
      <c r="F4317">
        <f>IMAGE("https://deo.shopeemobile.com/shopee/shopee-seller-live-sg/mmf_portal_seller_root_dir/static/modules/product-list/image/default-item-model-image.2601159.png")</f>
        <v/>
      </c>
    </row>
    <row r="4318">
      <c r="A4318" t="inlineStr">
        <is>
          <t>8743346211</t>
        </is>
      </c>
      <c r="B4318" t="inlineStr">
        <is>
          <t>隔日到貨🔥 iPhone 手機殼 15 14 13 12 11 pro Max XS XR SE 保護殼 軟殼</t>
        </is>
      </c>
      <c r="C4318">
        <f>IMAGE("https://cf.shopee.tw/file/e20d89407aa81b798adc74c74099b087_tn")</f>
        <v/>
      </c>
      <c r="D4318" t="inlineStr">
        <is>
          <t>12 pro</t>
        </is>
      </c>
      <c r="E4318" t="inlineStr"/>
      <c r="F4318">
        <f>IMAGE("https://deo.shopeemobile.com/shopee/shopee-seller-live-sg/mmf_portal_seller_root_dir/static/modules/product-list/image/default-item-model-image.2601159.png")</f>
        <v/>
      </c>
    </row>
    <row r="4319">
      <c r="A4319" t="inlineStr">
        <is>
          <t>8743346211</t>
        </is>
      </c>
      <c r="B4319" t="inlineStr">
        <is>
          <t>隔日到貨🔥 iPhone 手機殼 15 14 13 12 11 pro Max XS XR SE 保護殼 軟殼</t>
        </is>
      </c>
      <c r="C4319">
        <f>IMAGE("https://cf.shopee.tw/file/e20d89407aa81b798adc74c74099b087_tn")</f>
        <v/>
      </c>
      <c r="D4319" t="inlineStr">
        <is>
          <t>12 mini</t>
        </is>
      </c>
      <c r="E4319" t="inlineStr">
        <is>
          <t>83863531699</t>
        </is>
      </c>
      <c r="F4319">
        <f>IMAGE("https://deo.shopeemobile.com/shopee/shopee-seller-live-sg/mmf_portal_seller_root_dir/static/modules/product-list/image/default-item-model-image.2601159.png")</f>
        <v/>
      </c>
    </row>
    <row r="4320">
      <c r="A4320" t="inlineStr">
        <is>
          <t>8743346211</t>
        </is>
      </c>
      <c r="B4320" t="inlineStr">
        <is>
          <t>隔日到貨🔥 iPhone 手機殼 15 14 13 12 11 pro Max XS XR SE 保護殼 軟殼</t>
        </is>
      </c>
      <c r="C4320">
        <f>IMAGE("https://cf.shopee.tw/file/e20d89407aa81b798adc74c74099b087_tn")</f>
        <v/>
      </c>
      <c r="D4320" t="inlineStr">
        <is>
          <t>12 pro Max</t>
        </is>
      </c>
      <c r="E4320" t="inlineStr">
        <is>
          <t>64914252597</t>
        </is>
      </c>
      <c r="F4320">
        <f>IMAGE("https://deo.shopeemobile.com/shopee/shopee-seller-live-sg/mmf_portal_seller_root_dir/static/modules/product-list/image/default-item-model-image.2601159.png")</f>
        <v/>
      </c>
    </row>
    <row r="4321">
      <c r="A4321" t="inlineStr">
        <is>
          <t>8743346211</t>
        </is>
      </c>
      <c r="B4321" t="inlineStr">
        <is>
          <t>隔日到貨🔥 iPhone 手機殼 15 14 13 12 11 pro Max XS XR SE 保護殼 軟殼</t>
        </is>
      </c>
      <c r="C4321">
        <f>IMAGE("https://cf.shopee.tw/file/e20d89407aa81b798adc74c74099b087_tn")</f>
        <v/>
      </c>
      <c r="D4321" t="inlineStr">
        <is>
          <t>13</t>
        </is>
      </c>
      <c r="E4321" t="inlineStr"/>
      <c r="F4321">
        <f>IMAGE("https://deo.shopeemobile.com/shopee/shopee-seller-live-sg/mmf_portal_seller_root_dir/static/modules/product-list/image/default-item-model-image.2601159.png")</f>
        <v/>
      </c>
    </row>
    <row r="4322">
      <c r="A4322" t="inlineStr">
        <is>
          <t>8743346211</t>
        </is>
      </c>
      <c r="B4322" t="inlineStr">
        <is>
          <t>隔日到貨🔥 iPhone 手機殼 15 14 13 12 11 pro Max XS XR SE 保護殼 軟殼</t>
        </is>
      </c>
      <c r="C4322">
        <f>IMAGE("https://cf.shopee.tw/file/e20d89407aa81b798adc74c74099b087_tn")</f>
        <v/>
      </c>
      <c r="D4322" t="inlineStr">
        <is>
          <t>13 pro</t>
        </is>
      </c>
      <c r="E4322" t="inlineStr">
        <is>
          <t>112842883239</t>
        </is>
      </c>
      <c r="F4322">
        <f>IMAGE("https://deo.shopeemobile.com/shopee/shopee-seller-live-sg/mmf_portal_seller_root_dir/static/modules/product-list/image/default-item-model-image.2601159.png")</f>
        <v/>
      </c>
    </row>
    <row r="4323">
      <c r="A4323" t="inlineStr">
        <is>
          <t>8743346211</t>
        </is>
      </c>
      <c r="B4323" t="inlineStr">
        <is>
          <t>隔日到貨🔥 iPhone 手機殼 15 14 13 12 11 pro Max XS XR SE 保護殼 軟殼</t>
        </is>
      </c>
      <c r="C4323">
        <f>IMAGE("https://cf.shopee.tw/file/e20d89407aa81b798adc74c74099b087_tn")</f>
        <v/>
      </c>
      <c r="D4323" t="inlineStr">
        <is>
          <t>13 pro Max</t>
        </is>
      </c>
      <c r="E4323" t="inlineStr"/>
      <c r="F4323">
        <f>IMAGE("https://deo.shopeemobile.com/shopee/shopee-seller-live-sg/mmf_portal_seller_root_dir/static/modules/product-list/image/default-item-model-image.2601159.png")</f>
        <v/>
      </c>
    </row>
    <row r="4324">
      <c r="A4324" t="inlineStr">
        <is>
          <t>8743346211</t>
        </is>
      </c>
      <c r="B4324" t="inlineStr">
        <is>
          <t>隔日到貨🔥 iPhone 手機殼 15 14 13 12 11 pro Max XS XR SE 保護殼 軟殼</t>
        </is>
      </c>
      <c r="C4324">
        <f>IMAGE("https://cf.shopee.tw/file/e20d89407aa81b798adc74c74099b087_tn")</f>
        <v/>
      </c>
      <c r="D4324" t="inlineStr">
        <is>
          <t>14</t>
        </is>
      </c>
      <c r="E4324" t="inlineStr">
        <is>
          <t>98271861851</t>
        </is>
      </c>
      <c r="F4324">
        <f>IMAGE("https://deo.shopeemobile.com/shopee/shopee-seller-live-sg/mmf_portal_seller_root_dir/static/modules/product-list/image/default-item-model-image.2601159.png")</f>
        <v/>
      </c>
    </row>
    <row r="4325">
      <c r="A4325" t="inlineStr">
        <is>
          <t>8743346211</t>
        </is>
      </c>
      <c r="B4325" t="inlineStr">
        <is>
          <t>隔日到貨🔥 iPhone 手機殼 15 14 13 12 11 pro Max XS XR SE 保護殼 軟殼</t>
        </is>
      </c>
      <c r="C4325">
        <f>IMAGE("https://cf.shopee.tw/file/e20d89407aa81b798adc74c74099b087_tn")</f>
        <v/>
      </c>
      <c r="D4325" t="inlineStr">
        <is>
          <t>14 Plus</t>
        </is>
      </c>
      <c r="E4325" t="inlineStr">
        <is>
          <t>98271861852</t>
        </is>
      </c>
      <c r="F4325">
        <f>IMAGE("https://deo.shopeemobile.com/shopee/shopee-seller-live-sg/mmf_portal_seller_root_dir/static/modules/product-list/image/default-item-model-image.2601159.png")</f>
        <v/>
      </c>
    </row>
    <row r="4326">
      <c r="A4326" t="inlineStr">
        <is>
          <t>8743346211</t>
        </is>
      </c>
      <c r="B4326" t="inlineStr">
        <is>
          <t>隔日到貨🔥 iPhone 手機殼 15 14 13 12 11 pro Max XS XR SE 保護殼 軟殼</t>
        </is>
      </c>
      <c r="C4326">
        <f>IMAGE("https://cf.shopee.tw/file/e20d89407aa81b798adc74c74099b087_tn")</f>
        <v/>
      </c>
      <c r="D4326" t="inlineStr">
        <is>
          <t>14 pro</t>
        </is>
      </c>
      <c r="E4326" t="inlineStr"/>
      <c r="F4326">
        <f>IMAGE("https://deo.shopeemobile.com/shopee/shopee-seller-live-sg/mmf_portal_seller_root_dir/static/modules/product-list/image/default-item-model-image.2601159.png")</f>
        <v/>
      </c>
    </row>
    <row r="4327">
      <c r="A4327" t="inlineStr">
        <is>
          <t>8743346211</t>
        </is>
      </c>
      <c r="B4327" t="inlineStr">
        <is>
          <t>隔日到貨🔥 iPhone 手機殼 15 14 13 12 11 pro Max XS XR SE 保護殼 軟殼</t>
        </is>
      </c>
      <c r="C4327">
        <f>IMAGE("https://cf.shopee.tw/file/e20d89407aa81b798adc74c74099b087_tn")</f>
        <v/>
      </c>
      <c r="D4327" t="inlineStr">
        <is>
          <t>14 pro Max</t>
        </is>
      </c>
      <c r="E4327" t="inlineStr">
        <is>
          <t>98271861853</t>
        </is>
      </c>
      <c r="F4327">
        <f>IMAGE("https://deo.shopeemobile.com/shopee/shopee-seller-live-sg/mmf_portal_seller_root_dir/static/modules/product-list/image/default-item-model-image.2601159.png")</f>
        <v/>
      </c>
    </row>
    <row r="4328">
      <c r="A4328" t="inlineStr">
        <is>
          <t>8743346211</t>
        </is>
      </c>
      <c r="B4328" t="inlineStr">
        <is>
          <t>隔日到貨🔥 iPhone 手機殼 15 14 13 12 11 pro Max XS XR SE 保護殼 軟殼</t>
        </is>
      </c>
      <c r="C4328">
        <f>IMAGE("https://cf.shopee.tw/file/e20d89407aa81b798adc74c74099b087_tn")</f>
        <v/>
      </c>
      <c r="D4328" t="inlineStr">
        <is>
          <t>15</t>
        </is>
      </c>
      <c r="E4328" t="inlineStr">
        <is>
          <t>184585498742</t>
        </is>
      </c>
      <c r="F4328">
        <f>IMAGE("https://deo.shopeemobile.com/shopee/shopee-seller-live-sg/mmf_portal_seller_root_dir/static/modules/product-list/image/default-item-model-image.2601159.png")</f>
        <v/>
      </c>
    </row>
    <row r="4329">
      <c r="A4329" t="inlineStr">
        <is>
          <t>8743346211</t>
        </is>
      </c>
      <c r="B4329" t="inlineStr">
        <is>
          <t>隔日到貨🔥 iPhone 手機殼 15 14 13 12 11 pro Max XS XR SE 保護殼 軟殼</t>
        </is>
      </c>
      <c r="C4329">
        <f>IMAGE("https://cf.shopee.tw/file/e20d89407aa81b798adc74c74099b087_tn")</f>
        <v/>
      </c>
      <c r="D4329" t="inlineStr">
        <is>
          <t>15 Plus</t>
        </is>
      </c>
      <c r="E4329" t="inlineStr"/>
      <c r="F4329">
        <f>IMAGE("https://deo.shopeemobile.com/shopee/shopee-seller-live-sg/mmf_portal_seller_root_dir/static/modules/product-list/image/default-item-model-image.2601159.png")</f>
        <v/>
      </c>
    </row>
    <row r="4330">
      <c r="A4330" t="inlineStr">
        <is>
          <t>8743346211</t>
        </is>
      </c>
      <c r="B4330" t="inlineStr">
        <is>
          <t>隔日到貨🔥 iPhone 手機殼 15 14 13 12 11 pro Max XS XR SE 保護殼 軟殼</t>
        </is>
      </c>
      <c r="C4330">
        <f>IMAGE("https://cf.shopee.tw/file/e20d89407aa81b798adc74c74099b087_tn")</f>
        <v/>
      </c>
      <c r="D4330" t="inlineStr">
        <is>
          <t>15 pro</t>
        </is>
      </c>
      <c r="E4330" t="inlineStr"/>
      <c r="F4330">
        <f>IMAGE("https://deo.shopeemobile.com/shopee/shopee-seller-live-sg/mmf_portal_seller_root_dir/static/modules/product-list/image/default-item-model-image.2601159.png")</f>
        <v/>
      </c>
    </row>
    <row r="4331">
      <c r="A4331" t="inlineStr">
        <is>
          <t>8743346211</t>
        </is>
      </c>
      <c r="B4331" t="inlineStr">
        <is>
          <t>隔日到貨🔥 iPhone 手機殼 15 14 13 12 11 pro Max XS XR SE 保護殼 軟殼</t>
        </is>
      </c>
      <c r="C4331">
        <f>IMAGE("https://cf.shopee.tw/file/e20d89407aa81b798adc74c74099b087_tn")</f>
        <v/>
      </c>
      <c r="D4331" t="inlineStr">
        <is>
          <t>15 pro Max</t>
        </is>
      </c>
      <c r="E4331" t="inlineStr"/>
      <c r="F4331">
        <f>IMAGE("https://deo.shopeemobile.com/shopee/shopee-seller-live-sg/mmf_portal_seller_root_dir/static/modules/product-list/image/default-item-model-image.2601159.png")</f>
        <v/>
      </c>
    </row>
    <row r="4332">
      <c r="A4332" t="inlineStr">
        <is>
          <t>6448815216</t>
        </is>
      </c>
      <c r="B4332" t="inlineStr">
        <is>
          <t>隔日到貨🔥 韓版 ins 🍒 慵懶帆布包 斜背包 B22 學院風 側背包 肩背包 帆布 郵差包 原宿 單肩包 休閒</t>
        </is>
      </c>
      <c r="C4332">
        <f>IMAGE("https://cf.shopee.tw/file/a0cd4f96163023cc552382829fdaebe9_tn")</f>
        <v/>
      </c>
      <c r="D4332" t="inlineStr">
        <is>
          <t>黑色</t>
        </is>
      </c>
      <c r="E4332" t="inlineStr"/>
      <c r="F4332">
        <f>IMAGE("https://cf.shopee.tw/file/7979ac57382d12b55619c0bb5a51fb56_tn")</f>
        <v/>
      </c>
    </row>
    <row r="4333">
      <c r="A4333" t="inlineStr">
        <is>
          <t>6448815216</t>
        </is>
      </c>
      <c r="B4333" t="inlineStr">
        <is>
          <t>隔日到貨🔥 韓版 ins 🍒 慵懶帆布包 斜背包 B22 學院風 側背包 肩背包 帆布 郵差包 原宿 單肩包 休閒</t>
        </is>
      </c>
      <c r="C4333">
        <f>IMAGE("https://cf.shopee.tw/file/a0cd4f96163023cc552382829fdaebe9_tn")</f>
        <v/>
      </c>
      <c r="D4333" t="inlineStr">
        <is>
          <t>白色</t>
        </is>
      </c>
      <c r="E4333" t="inlineStr">
        <is>
          <t>70758055780</t>
        </is>
      </c>
      <c r="F4333">
        <f>IMAGE("https://cf.shopee.tw/file/8846ef73430c8eba18f248dd42535ae6_tn")</f>
        <v/>
      </c>
    </row>
    <row r="4334">
      <c r="A4334" t="inlineStr">
        <is>
          <t>22072450190</t>
        </is>
      </c>
      <c r="B4334" t="inlineStr">
        <is>
          <t>隔日到貨🔥 搞怪便便毛絨吊飾 吊飾 鑰匙扣 鑰匙圈 汽車鑰匙 公仔 掛飾 吊墜 掛鉤 吊環 墜飾 可愛</t>
        </is>
      </c>
      <c r="C4334">
        <f>IMAGE("https://cf.shopee.tw/file/tw-11134207-7qul9-lioscddbuts21e_tn")</f>
        <v/>
      </c>
      <c r="D4334" t="inlineStr">
        <is>
          <t>彩色</t>
        </is>
      </c>
      <c r="E4334" t="inlineStr"/>
      <c r="F4334">
        <f>IMAGE("https://cf.shopee.tw/file/tw-11134207-7qul4-lioscddbz1he37_tn")</f>
        <v/>
      </c>
    </row>
    <row r="4335">
      <c r="A4335" t="inlineStr">
        <is>
          <t>22072450190</t>
        </is>
      </c>
      <c r="B4335" t="inlineStr">
        <is>
          <t>隔日到貨🔥 搞怪便便毛絨吊飾 吊飾 鑰匙扣 鑰匙圈 汽車鑰匙 公仔 掛飾 吊墜 掛鉤 吊環 墜飾 可愛</t>
        </is>
      </c>
      <c r="C4335">
        <f>IMAGE("https://cf.shopee.tw/file/tw-11134207-7qul9-lioscddbuts21e_tn")</f>
        <v/>
      </c>
      <c r="D4335" t="inlineStr">
        <is>
          <t>棕色</t>
        </is>
      </c>
      <c r="E4335" t="inlineStr">
        <is>
          <t>214400948463</t>
        </is>
      </c>
      <c r="F4335">
        <f>IMAGE("https://cf.shopee.tw/file/tw-11134207-7qul4-lioscddbqm2qe9_tn")</f>
        <v/>
      </c>
    </row>
    <row r="4336">
      <c r="A4336" t="inlineStr">
        <is>
          <t>22072450190</t>
        </is>
      </c>
      <c r="B4336" t="inlineStr">
        <is>
          <t>隔日到貨🔥 搞怪便便毛絨吊飾 吊飾 鑰匙扣 鑰匙圈 汽車鑰匙 公仔 掛飾 吊墜 掛鉤 吊環 墜飾 可愛</t>
        </is>
      </c>
      <c r="C4336">
        <f>IMAGE("https://cf.shopee.tw/file/tw-11134207-7qul9-lioscddbuts21e_tn")</f>
        <v/>
      </c>
      <c r="D4336" t="inlineStr">
        <is>
          <t>綠色</t>
        </is>
      </c>
      <c r="E4336" t="inlineStr"/>
      <c r="F4336">
        <f>IMAGE("https://cf.shopee.tw/file/tw-11134207-7qula-lioscddbqm5w17_tn")</f>
        <v/>
      </c>
    </row>
    <row r="4337">
      <c r="A4337" t="inlineStr">
        <is>
          <t>22072450190</t>
        </is>
      </c>
      <c r="B4337" t="inlineStr">
        <is>
          <t>隔日到貨🔥 搞怪便便毛絨吊飾 吊飾 鑰匙扣 鑰匙圈 汽車鑰匙 公仔 掛飾 吊墜 掛鉤 吊環 墜飾 可愛</t>
        </is>
      </c>
      <c r="C4337">
        <f>IMAGE("https://cf.shopee.tw/file/tw-11134207-7qul9-lioscddbuts21e_tn")</f>
        <v/>
      </c>
      <c r="D4337" t="inlineStr">
        <is>
          <t>粉色</t>
        </is>
      </c>
      <c r="E4337" t="inlineStr"/>
      <c r="F4337">
        <f>IMAGE("https://cf.shopee.tw/file/tw-11134207-7qul0-lioscddc4nuc06_tn")</f>
        <v/>
      </c>
    </row>
    <row r="4338">
      <c r="A4338" t="inlineStr">
        <is>
          <t>6751170163</t>
        </is>
      </c>
      <c r="B4338" t="inlineStr">
        <is>
          <t>隔日到貨🔥 日系原宿 土星單肩包 B10 韓版 復古 斜背包 熱銷款 側背包 肩背包 帆布包 Ins</t>
        </is>
      </c>
      <c r="C4338">
        <f>IMAGE("https://cf.shopee.tw/file/33c0641608c8518b81d012a07400eac8_tn")</f>
        <v/>
      </c>
      <c r="D4338" t="inlineStr">
        <is>
          <t>黑色(沒有附青蛙掛飾)</t>
        </is>
      </c>
      <c r="E4338" t="inlineStr"/>
      <c r="F4338">
        <f>IMAGE("https://cf.shopee.tw/file/184ffd7e87ef967ea11ae9b51d8c1074_tn")</f>
        <v/>
      </c>
    </row>
    <row r="4339">
      <c r="A4339" t="inlineStr">
        <is>
          <t>6751170163</t>
        </is>
      </c>
      <c r="B4339" t="inlineStr">
        <is>
          <t>隔日到貨🔥 日系原宿 土星單肩包 B10 韓版 復古 斜背包 熱銷款 側背包 肩背包 帆布包 Ins</t>
        </is>
      </c>
      <c r="C4339">
        <f>IMAGE("https://cf.shopee.tw/file/33c0641608c8518b81d012a07400eac8_tn")</f>
        <v/>
      </c>
      <c r="D4339" t="inlineStr">
        <is>
          <t>白色(沒有附青蛙掛飾)</t>
        </is>
      </c>
      <c r="E4339" t="inlineStr">
        <is>
          <t>50911805623</t>
        </is>
      </c>
      <c r="F4339">
        <f>IMAGE("https://cf.shopee.tw/file/e70730957b47497be8c0584e2478f88d_tn")</f>
        <v/>
      </c>
    </row>
    <row r="4340">
      <c r="A4340" t="inlineStr">
        <is>
          <t>21858454873</t>
        </is>
      </c>
      <c r="B4340" t="inlineStr">
        <is>
          <t>隔日到貨🔥 AirTag 皮革保護套 鑰匙圈 吊牌 吊飾 掛飾 防走失 AirTag 保護套 防撞</t>
        </is>
      </c>
      <c r="C4340">
        <f>IMAGE("https://cf.shopee.tw/file/sg-11134201-22100-4v2vtn3sj8iv4d_tn")</f>
        <v/>
      </c>
      <c r="D4340" t="inlineStr">
        <is>
          <t>黃色,雙孔</t>
        </is>
      </c>
      <c r="E4340" t="inlineStr">
        <is>
          <t>202971943254</t>
        </is>
      </c>
      <c r="F4340">
        <f>IMAGE("https://cf.shopee.tw/file/sg-11134201-22100-zwvonvquj8iv24_tn")</f>
        <v/>
      </c>
    </row>
    <row r="4341">
      <c r="A4341" t="inlineStr">
        <is>
          <t>21858454873</t>
        </is>
      </c>
      <c r="B4341" t="inlineStr">
        <is>
          <t>隔日到貨🔥 AirTag 皮革保護套 鑰匙圈 吊牌 吊飾 掛飾 防走失 AirTag 保護套 防撞</t>
        </is>
      </c>
      <c r="C4341">
        <f>IMAGE("https://cf.shopee.tw/file/sg-11134201-22100-4v2vtn3sj8iv4d_tn")</f>
        <v/>
      </c>
      <c r="D4341" t="inlineStr">
        <is>
          <t>紅色,雙孔</t>
        </is>
      </c>
      <c r="E4341" t="inlineStr">
        <is>
          <t>202971943255</t>
        </is>
      </c>
      <c r="F4341">
        <f>IMAGE("https://cf.shopee.tw/file/sg-11134201-22100-bqu5tuyuj8ivd3_tn")</f>
        <v/>
      </c>
    </row>
    <row r="4342">
      <c r="A4342" t="inlineStr">
        <is>
          <t>21858454873</t>
        </is>
      </c>
      <c r="B4342" t="inlineStr">
        <is>
          <t>隔日到貨🔥 AirTag 皮革保護套 鑰匙圈 吊牌 吊飾 掛飾 防走失 AirTag 保護套 防撞</t>
        </is>
      </c>
      <c r="C4342">
        <f>IMAGE("https://cf.shopee.tw/file/sg-11134201-22100-4v2vtn3sj8iv4d_tn")</f>
        <v/>
      </c>
      <c r="D4342" t="inlineStr">
        <is>
          <t>綠色,雙孔</t>
        </is>
      </c>
      <c r="E4342" t="inlineStr">
        <is>
          <t>202971943256</t>
        </is>
      </c>
      <c r="F4342">
        <f>IMAGE("https://cf.shopee.tw/file/sg-11134201-22100-zgfx7p4uj8ivb2_tn")</f>
        <v/>
      </c>
    </row>
    <row r="4343">
      <c r="A4343" t="inlineStr">
        <is>
          <t>21858454873</t>
        </is>
      </c>
      <c r="B4343" t="inlineStr">
        <is>
          <t>隔日到貨🔥 AirTag 皮革保護套 鑰匙圈 吊牌 吊飾 掛飾 防走失 AirTag 保護套 防撞</t>
        </is>
      </c>
      <c r="C4343">
        <f>IMAGE("https://cf.shopee.tw/file/sg-11134201-22100-4v2vtn3sj8iv4d_tn")</f>
        <v/>
      </c>
      <c r="D4343" t="inlineStr">
        <is>
          <t>棕色,雙孔</t>
        </is>
      </c>
      <c r="E4343" t="inlineStr">
        <is>
          <t>202971943257</t>
        </is>
      </c>
      <c r="F4343">
        <f>IMAGE("https://cf.shopee.tw/file/sg-11134201-22100-o4kr4s6uj8iv12_tn")</f>
        <v/>
      </c>
    </row>
    <row r="4344">
      <c r="A4344" t="inlineStr">
        <is>
          <t>21858454873</t>
        </is>
      </c>
      <c r="B4344" t="inlineStr">
        <is>
          <t>隔日到貨🔥 AirTag 皮革保護套 鑰匙圈 吊牌 吊飾 掛飾 防走失 AirTag 保護套 防撞</t>
        </is>
      </c>
      <c r="C4344">
        <f>IMAGE("https://cf.shopee.tw/file/sg-11134201-22100-4v2vtn3sj8iv4d_tn")</f>
        <v/>
      </c>
      <c r="D4344" t="inlineStr">
        <is>
          <t>黑色,雙孔</t>
        </is>
      </c>
      <c r="E4344" t="inlineStr">
        <is>
          <t>202971943258</t>
        </is>
      </c>
      <c r="F4344">
        <f>IMAGE("https://cf.shopee.tw/file/sg-11134201-22100-uhpuu99uj8iv85_tn")</f>
        <v/>
      </c>
    </row>
    <row r="4345">
      <c r="A4345" t="inlineStr">
        <is>
          <t>21858454873</t>
        </is>
      </c>
      <c r="B4345" t="inlineStr">
        <is>
          <t>隔日到貨🔥 AirTag 皮革保護套 鑰匙圈 吊牌 吊飾 掛飾 防走失 AirTag 保護套 防撞</t>
        </is>
      </c>
      <c r="C4345">
        <f>IMAGE("https://cf.shopee.tw/file/sg-11134201-22100-4v2vtn3sj8iv4d_tn")</f>
        <v/>
      </c>
      <c r="D4345" t="inlineStr">
        <is>
          <t>藍色,雙孔</t>
        </is>
      </c>
      <c r="E4345" t="inlineStr">
        <is>
          <t>202971943259</t>
        </is>
      </c>
      <c r="F4345">
        <f>IMAGE("https://cf.shopee.tw/file/sg-11134201-22100-y1yl39bvj8iv90_tn")</f>
        <v/>
      </c>
    </row>
    <row r="4346">
      <c r="A4346" t="inlineStr">
        <is>
          <t>12839420725</t>
        </is>
      </c>
      <c r="B4346" t="inlineStr">
        <is>
          <t>隔日到貨🔥 iPhone手機殼 15 14 13 12 11 pro XS XR SE3 X 保護殼 軟殼 蘋果</t>
        </is>
      </c>
      <c r="C4346">
        <f>IMAGE("https://cf.shopee.tw/file/4bf310334d84cd3724ea112f30cdf598_tn")</f>
        <v/>
      </c>
      <c r="D4346" t="inlineStr">
        <is>
          <t>7 / 8 / SE2 / SE3</t>
        </is>
      </c>
      <c r="E4346" t="inlineStr"/>
      <c r="F4346">
        <f>IMAGE("https://deo.shopeemobile.com/shopee/shopee-seller-live-sg/mmf_portal_seller_root_dir/static/modules/product-list/image/default-item-model-image.2601159.png")</f>
        <v/>
      </c>
    </row>
    <row r="4347">
      <c r="A4347" t="inlineStr">
        <is>
          <t>12839420725</t>
        </is>
      </c>
      <c r="B4347" t="inlineStr">
        <is>
          <t>隔日到貨🔥 iPhone手機殼 15 14 13 12 11 pro XS XR SE3 X 保護殼 軟殼 蘋果</t>
        </is>
      </c>
      <c r="C4347">
        <f>IMAGE("https://cf.shopee.tw/file/4bf310334d84cd3724ea112f30cdf598_tn")</f>
        <v/>
      </c>
      <c r="D4347" t="inlineStr">
        <is>
          <t>XR</t>
        </is>
      </c>
      <c r="E4347" t="inlineStr"/>
      <c r="F4347">
        <f>IMAGE("https://deo.shopeemobile.com/shopee/shopee-seller-live-sg/mmf_portal_seller_root_dir/static/modules/product-list/image/default-item-model-image.2601159.png")</f>
        <v/>
      </c>
    </row>
    <row r="4348">
      <c r="A4348" t="inlineStr">
        <is>
          <t>12839420725</t>
        </is>
      </c>
      <c r="B4348" t="inlineStr">
        <is>
          <t>隔日到貨🔥 iPhone手機殼 15 14 13 12 11 pro XS XR SE3 X 保護殼 軟殼 蘋果</t>
        </is>
      </c>
      <c r="C4348">
        <f>IMAGE("https://cf.shopee.tw/file/4bf310334d84cd3724ea112f30cdf598_tn")</f>
        <v/>
      </c>
      <c r="D4348" t="inlineStr">
        <is>
          <t>12</t>
        </is>
      </c>
      <c r="E4348" t="inlineStr"/>
      <c r="F4348">
        <f>IMAGE("https://deo.shopeemobile.com/shopee/shopee-seller-live-sg/mmf_portal_seller_root_dir/static/modules/product-list/image/default-item-model-image.2601159.png")</f>
        <v/>
      </c>
    </row>
    <row r="4349">
      <c r="A4349" t="inlineStr">
        <is>
          <t>12839420725</t>
        </is>
      </c>
      <c r="B4349" t="inlineStr">
        <is>
          <t>隔日到貨🔥 iPhone手機殼 15 14 13 12 11 pro XS XR SE3 X 保護殼 軟殼 蘋果</t>
        </is>
      </c>
      <c r="C4349">
        <f>IMAGE("https://cf.shopee.tw/file/4bf310334d84cd3724ea112f30cdf598_tn")</f>
        <v/>
      </c>
      <c r="D4349" t="inlineStr">
        <is>
          <t>12 pro</t>
        </is>
      </c>
      <c r="E4349" t="inlineStr"/>
      <c r="F4349">
        <f>IMAGE("https://deo.shopeemobile.com/shopee/shopee-seller-live-sg/mmf_portal_seller_root_dir/static/modules/product-list/image/default-item-model-image.2601159.png")</f>
        <v/>
      </c>
    </row>
    <row r="4350">
      <c r="A4350" t="inlineStr">
        <is>
          <t>12839420725</t>
        </is>
      </c>
      <c r="B4350" t="inlineStr">
        <is>
          <t>隔日到貨🔥 iPhone手機殼 15 14 13 12 11 pro XS XR SE3 X 保護殼 軟殼 蘋果</t>
        </is>
      </c>
      <c r="C4350">
        <f>IMAGE("https://cf.shopee.tw/file/4bf310334d84cd3724ea112f30cdf598_tn")</f>
        <v/>
      </c>
      <c r="D4350" t="inlineStr">
        <is>
          <t>15</t>
        </is>
      </c>
      <c r="E4350" t="inlineStr"/>
      <c r="F4350">
        <f>IMAGE("https://deo.shopeemobile.com/shopee/shopee-seller-live-sg/mmf_portal_seller_root_dir/static/modules/product-list/image/default-item-model-image.2601159.png")</f>
        <v/>
      </c>
    </row>
    <row r="4351">
      <c r="A4351" t="inlineStr">
        <is>
          <t>12839420725</t>
        </is>
      </c>
      <c r="B4351" t="inlineStr">
        <is>
          <t>隔日到貨🔥 iPhone手機殼 15 14 13 12 11 pro XS XR SE3 X 保護殼 軟殼 蘋果</t>
        </is>
      </c>
      <c r="C4351">
        <f>IMAGE("https://cf.shopee.tw/file/4bf310334d84cd3724ea112f30cdf598_tn")</f>
        <v/>
      </c>
      <c r="D4351" t="inlineStr">
        <is>
          <t>7 Plus / 8 Plus</t>
        </is>
      </c>
      <c r="E4351" t="inlineStr"/>
      <c r="F4351">
        <f>IMAGE("https://deo.shopeemobile.com/shopee/shopee-seller-live-sg/mmf_portal_seller_root_dir/static/modules/product-list/image/default-item-model-image.2601159.png")</f>
        <v/>
      </c>
    </row>
    <row r="4352">
      <c r="A4352" t="inlineStr">
        <is>
          <t>12839420725</t>
        </is>
      </c>
      <c r="B4352" t="inlineStr">
        <is>
          <t>隔日到貨🔥 iPhone手機殼 15 14 13 12 11 pro XS XR SE3 X 保護殼 軟殼 蘋果</t>
        </is>
      </c>
      <c r="C4352">
        <f>IMAGE("https://cf.shopee.tw/file/4bf310334d84cd3724ea112f30cdf598_tn")</f>
        <v/>
      </c>
      <c r="D4352" t="inlineStr">
        <is>
          <t>X / XS</t>
        </is>
      </c>
      <c r="E4352" t="inlineStr"/>
      <c r="F4352">
        <f>IMAGE("https://deo.shopeemobile.com/shopee/shopee-seller-live-sg/mmf_portal_seller_root_dir/static/modules/product-list/image/default-item-model-image.2601159.png")</f>
        <v/>
      </c>
    </row>
    <row r="4353">
      <c r="A4353" t="inlineStr">
        <is>
          <t>12839420725</t>
        </is>
      </c>
      <c r="B4353" t="inlineStr">
        <is>
          <t>隔日到貨🔥 iPhone手機殼 15 14 13 12 11 pro XS XR SE3 X 保護殼 軟殼 蘋果</t>
        </is>
      </c>
      <c r="C4353">
        <f>IMAGE("https://cf.shopee.tw/file/4bf310334d84cd3724ea112f30cdf598_tn")</f>
        <v/>
      </c>
      <c r="D4353" t="inlineStr">
        <is>
          <t>XS Max</t>
        </is>
      </c>
      <c r="E4353" t="inlineStr">
        <is>
          <t>113507914553</t>
        </is>
      </c>
      <c r="F4353">
        <f>IMAGE("https://deo.shopeemobile.com/shopee/shopee-seller-live-sg/mmf_portal_seller_root_dir/static/modules/product-list/image/default-item-model-image.2601159.png")</f>
        <v/>
      </c>
    </row>
    <row r="4354">
      <c r="A4354" t="inlineStr">
        <is>
          <t>12839420725</t>
        </is>
      </c>
      <c r="B4354" t="inlineStr">
        <is>
          <t>隔日到貨🔥 iPhone手機殼 15 14 13 12 11 pro XS XR SE3 X 保護殼 軟殼 蘋果</t>
        </is>
      </c>
      <c r="C4354">
        <f>IMAGE("https://cf.shopee.tw/file/4bf310334d84cd3724ea112f30cdf598_tn")</f>
        <v/>
      </c>
      <c r="D4354" t="inlineStr">
        <is>
          <t>11</t>
        </is>
      </c>
      <c r="E4354" t="inlineStr"/>
      <c r="F4354">
        <f>IMAGE("https://deo.shopeemobile.com/shopee/shopee-seller-live-sg/mmf_portal_seller_root_dir/static/modules/product-list/image/default-item-model-image.2601159.png")</f>
        <v/>
      </c>
    </row>
    <row r="4355">
      <c r="A4355" t="inlineStr">
        <is>
          <t>12839420725</t>
        </is>
      </c>
      <c r="B4355" t="inlineStr">
        <is>
          <t>隔日到貨🔥 iPhone手機殼 15 14 13 12 11 pro XS XR SE3 X 保護殼 軟殼 蘋果</t>
        </is>
      </c>
      <c r="C4355">
        <f>IMAGE("https://cf.shopee.tw/file/4bf310334d84cd3724ea112f30cdf598_tn")</f>
        <v/>
      </c>
      <c r="D4355" t="inlineStr">
        <is>
          <t>12 pro Max</t>
        </is>
      </c>
      <c r="E4355" t="inlineStr"/>
      <c r="F4355">
        <f>IMAGE("https://deo.shopeemobile.com/shopee/shopee-seller-live-sg/mmf_portal_seller_root_dir/static/modules/product-list/image/default-item-model-image.2601159.png")</f>
        <v/>
      </c>
    </row>
    <row r="4356">
      <c r="A4356" t="inlineStr">
        <is>
          <t>12839420725</t>
        </is>
      </c>
      <c r="B4356" t="inlineStr">
        <is>
          <t>隔日到貨🔥 iPhone手機殼 15 14 13 12 11 pro XS XR SE3 X 保護殼 軟殼 蘋果</t>
        </is>
      </c>
      <c r="C4356">
        <f>IMAGE("https://cf.shopee.tw/file/4bf310334d84cd3724ea112f30cdf598_tn")</f>
        <v/>
      </c>
      <c r="D4356" t="inlineStr">
        <is>
          <t>13</t>
        </is>
      </c>
      <c r="E4356" t="inlineStr">
        <is>
          <t>113507914550</t>
        </is>
      </c>
      <c r="F4356">
        <f>IMAGE("https://deo.shopeemobile.com/shopee/shopee-seller-live-sg/mmf_portal_seller_root_dir/static/modules/product-list/image/default-item-model-image.2601159.png")</f>
        <v/>
      </c>
    </row>
    <row r="4357">
      <c r="A4357" t="inlineStr">
        <is>
          <t>12839420725</t>
        </is>
      </c>
      <c r="B4357" t="inlineStr">
        <is>
          <t>隔日到貨🔥 iPhone手機殼 15 14 13 12 11 pro XS XR SE3 X 保護殼 軟殼 蘋果</t>
        </is>
      </c>
      <c r="C4357">
        <f>IMAGE("https://cf.shopee.tw/file/4bf310334d84cd3724ea112f30cdf598_tn")</f>
        <v/>
      </c>
      <c r="D4357" t="inlineStr">
        <is>
          <t>13 pro</t>
        </is>
      </c>
      <c r="E4357" t="inlineStr">
        <is>
          <t>113507914551</t>
        </is>
      </c>
      <c r="F4357">
        <f>IMAGE("https://deo.shopeemobile.com/shopee/shopee-seller-live-sg/mmf_portal_seller_root_dir/static/modules/product-list/image/default-item-model-image.2601159.png")</f>
        <v/>
      </c>
    </row>
    <row r="4358">
      <c r="A4358" t="inlineStr">
        <is>
          <t>12839420725</t>
        </is>
      </c>
      <c r="B4358" t="inlineStr">
        <is>
          <t>隔日到貨🔥 iPhone手機殼 15 14 13 12 11 pro XS XR SE3 X 保護殼 軟殼 蘋果</t>
        </is>
      </c>
      <c r="C4358">
        <f>IMAGE("https://cf.shopee.tw/file/4bf310334d84cd3724ea112f30cdf598_tn")</f>
        <v/>
      </c>
      <c r="D4358" t="inlineStr">
        <is>
          <t>13 pro Max</t>
        </is>
      </c>
      <c r="E4358" t="inlineStr"/>
      <c r="F4358">
        <f>IMAGE("https://deo.shopeemobile.com/shopee/shopee-seller-live-sg/mmf_portal_seller_root_dir/static/modules/product-list/image/default-item-model-image.2601159.png")</f>
        <v/>
      </c>
    </row>
    <row r="4359">
      <c r="A4359" t="inlineStr">
        <is>
          <t>12839420725</t>
        </is>
      </c>
      <c r="B4359" t="inlineStr">
        <is>
          <t>隔日到貨🔥 iPhone手機殼 15 14 13 12 11 pro XS XR SE3 X 保護殼 軟殼 蘋果</t>
        </is>
      </c>
      <c r="C4359">
        <f>IMAGE("https://cf.shopee.tw/file/4bf310334d84cd3724ea112f30cdf598_tn")</f>
        <v/>
      </c>
      <c r="D4359" t="inlineStr">
        <is>
          <t>14</t>
        </is>
      </c>
      <c r="E4359" t="inlineStr">
        <is>
          <t>202364951239</t>
        </is>
      </c>
      <c r="F4359">
        <f>IMAGE("https://deo.shopeemobile.com/shopee/shopee-seller-live-sg/mmf_portal_seller_root_dir/static/modules/product-list/image/default-item-model-image.2601159.png")</f>
        <v/>
      </c>
    </row>
    <row r="4360">
      <c r="A4360" t="inlineStr">
        <is>
          <t>12839420725</t>
        </is>
      </c>
      <c r="B4360" t="inlineStr">
        <is>
          <t>隔日到貨🔥 iPhone手機殼 15 14 13 12 11 pro XS XR SE3 X 保護殼 軟殼 蘋果</t>
        </is>
      </c>
      <c r="C4360">
        <f>IMAGE("https://cf.shopee.tw/file/4bf310334d84cd3724ea112f30cdf598_tn")</f>
        <v/>
      </c>
      <c r="D4360" t="inlineStr">
        <is>
          <t>14 Plus</t>
        </is>
      </c>
      <c r="E4360" t="inlineStr"/>
      <c r="F4360">
        <f>IMAGE("https://deo.shopeemobile.com/shopee/shopee-seller-live-sg/mmf_portal_seller_root_dir/static/modules/product-list/image/default-item-model-image.2601159.png")</f>
        <v/>
      </c>
    </row>
    <row r="4361">
      <c r="A4361" t="inlineStr">
        <is>
          <t>12839420725</t>
        </is>
      </c>
      <c r="B4361" t="inlineStr">
        <is>
          <t>隔日到貨🔥 iPhone手機殼 15 14 13 12 11 pro XS XR SE3 X 保護殼 軟殼 蘋果</t>
        </is>
      </c>
      <c r="C4361">
        <f>IMAGE("https://cf.shopee.tw/file/4bf310334d84cd3724ea112f30cdf598_tn")</f>
        <v/>
      </c>
      <c r="D4361" t="inlineStr">
        <is>
          <t>14 pro</t>
        </is>
      </c>
      <c r="E4361" t="inlineStr">
        <is>
          <t>202364951240</t>
        </is>
      </c>
      <c r="F4361">
        <f>IMAGE("https://deo.shopeemobile.com/shopee/shopee-seller-live-sg/mmf_portal_seller_root_dir/static/modules/product-list/image/default-item-model-image.2601159.png")</f>
        <v/>
      </c>
    </row>
    <row r="4362">
      <c r="A4362" t="inlineStr">
        <is>
          <t>12839420725</t>
        </is>
      </c>
      <c r="B4362" t="inlineStr">
        <is>
          <t>隔日到貨🔥 iPhone手機殼 15 14 13 12 11 pro XS XR SE3 X 保護殼 軟殼 蘋果</t>
        </is>
      </c>
      <c r="C4362">
        <f>IMAGE("https://cf.shopee.tw/file/4bf310334d84cd3724ea112f30cdf598_tn")</f>
        <v/>
      </c>
      <c r="D4362" t="inlineStr">
        <is>
          <t>14 pro Max</t>
        </is>
      </c>
      <c r="E4362" t="inlineStr"/>
      <c r="F4362">
        <f>IMAGE("https://deo.shopeemobile.com/shopee/shopee-seller-live-sg/mmf_portal_seller_root_dir/static/modules/product-list/image/default-item-model-image.2601159.png")</f>
        <v/>
      </c>
    </row>
    <row r="4363">
      <c r="A4363" t="inlineStr">
        <is>
          <t>12839420725</t>
        </is>
      </c>
      <c r="B4363" t="inlineStr">
        <is>
          <t>隔日到貨🔥 iPhone手機殼 15 14 13 12 11 pro XS XR SE3 X 保護殼 軟殼 蘋果</t>
        </is>
      </c>
      <c r="C4363">
        <f>IMAGE("https://cf.shopee.tw/file/4bf310334d84cd3724ea112f30cdf598_tn")</f>
        <v/>
      </c>
      <c r="D4363" t="inlineStr">
        <is>
          <t>15 Plus</t>
        </is>
      </c>
      <c r="E4363" t="inlineStr">
        <is>
          <t>214585509667</t>
        </is>
      </c>
      <c r="F4363">
        <f>IMAGE("https://deo.shopeemobile.com/shopee/shopee-seller-live-sg/mmf_portal_seller_root_dir/static/modules/product-list/image/default-item-model-image.2601159.png")</f>
        <v/>
      </c>
    </row>
    <row r="4364">
      <c r="A4364" t="inlineStr">
        <is>
          <t>12839420725</t>
        </is>
      </c>
      <c r="B4364" t="inlineStr">
        <is>
          <t>隔日到貨🔥 iPhone手機殼 15 14 13 12 11 pro XS XR SE3 X 保護殼 軟殼 蘋果</t>
        </is>
      </c>
      <c r="C4364">
        <f>IMAGE("https://cf.shopee.tw/file/4bf310334d84cd3724ea112f30cdf598_tn")</f>
        <v/>
      </c>
      <c r="D4364" t="inlineStr">
        <is>
          <t>15 pro</t>
        </is>
      </c>
      <c r="E4364" t="inlineStr"/>
      <c r="F4364">
        <f>IMAGE("https://deo.shopeemobile.com/shopee/shopee-seller-live-sg/mmf_portal_seller_root_dir/static/modules/product-list/image/default-item-model-image.2601159.png")</f>
        <v/>
      </c>
    </row>
    <row r="4365">
      <c r="A4365" t="inlineStr">
        <is>
          <t>12839420725</t>
        </is>
      </c>
      <c r="B4365" t="inlineStr">
        <is>
          <t>隔日到貨🔥 iPhone手機殼 15 14 13 12 11 pro XS XR SE3 X 保護殼 軟殼 蘋果</t>
        </is>
      </c>
      <c r="C4365">
        <f>IMAGE("https://cf.shopee.tw/file/4bf310334d84cd3724ea112f30cdf598_tn")</f>
        <v/>
      </c>
      <c r="D4365" t="inlineStr">
        <is>
          <t>15 pro Max</t>
        </is>
      </c>
      <c r="E4365" t="inlineStr"/>
      <c r="F4365">
        <f>IMAGE("https://deo.shopeemobile.com/shopee/shopee-seller-live-sg/mmf_portal_seller_root_dir/static/modules/product-list/image/default-item-model-image.2601159.png")</f>
        <v/>
      </c>
    </row>
    <row r="4366">
      <c r="A4366" t="inlineStr">
        <is>
          <t>20602531089</t>
        </is>
      </c>
      <c r="B4366" t="inlineStr">
        <is>
          <t>隔日到貨🔥 透明殼 Airpods 1代 2代 pro 3代 附掛鉤 A9 軟殼 保護殼 防摔殼 保護套 耳機殼</t>
        </is>
      </c>
      <c r="C4366">
        <f>IMAGE("https://cf.shopee.tw/file/3767ef3bd27ddc7e3297c7b8102385f0_tn")</f>
        <v/>
      </c>
      <c r="D4366" t="inlineStr">
        <is>
          <t>重疊藝術油畫,Pro1/Pro2 (通用) 附掛鉤</t>
        </is>
      </c>
      <c r="E4366" t="inlineStr"/>
      <c r="F4366">
        <f>IMAGE("https://cf.shopee.tw/file/1c87a4772c58a10add92c5d6e8a41562_tn")</f>
        <v/>
      </c>
    </row>
    <row r="4367">
      <c r="A4367" t="inlineStr">
        <is>
          <t>20602531089</t>
        </is>
      </c>
      <c r="B4367" t="inlineStr">
        <is>
          <t>隔日到貨🔥 透明殼 Airpods 1代 2代 pro 3代 附掛鉤 A9 軟殼 保護殼 防摔殼 保護套 耳機殼</t>
        </is>
      </c>
      <c r="C4367">
        <f>IMAGE("https://cf.shopee.tw/file/3767ef3bd27ddc7e3297c7b8102385f0_tn")</f>
        <v/>
      </c>
      <c r="D4367" t="inlineStr">
        <is>
          <t>音響宇航員,Pro1/Pro2 (通用) 附掛鉤</t>
        </is>
      </c>
      <c r="E4367" t="inlineStr"/>
      <c r="F4367">
        <f>IMAGE("https://cf.shopee.tw/file/a6e877b2c39bff413508726f8da01cba_tn")</f>
        <v/>
      </c>
    </row>
    <row r="4368">
      <c r="A4368" t="inlineStr">
        <is>
          <t>20602531089</t>
        </is>
      </c>
      <c r="B4368" t="inlineStr">
        <is>
          <t>隔日到貨🔥 透明殼 Airpods 1代 2代 pro 3代 附掛鉤 A9 軟殼 保護殼 防摔殼 保護套 耳機殼</t>
        </is>
      </c>
      <c r="C4368">
        <f>IMAGE("https://cf.shopee.tw/file/3767ef3bd27ddc7e3297c7b8102385f0_tn")</f>
        <v/>
      </c>
      <c r="D4368" t="inlineStr">
        <is>
          <t>音響宇航員,［3代］(2021) 附掛鉤</t>
        </is>
      </c>
      <c r="E4368" t="inlineStr"/>
      <c r="F4368">
        <f>IMAGE("https://cf.shopee.tw/file/a6e877b2c39bff413508726f8da01cba_tn")</f>
        <v/>
      </c>
    </row>
    <row r="4369">
      <c r="A4369" t="inlineStr">
        <is>
          <t>20602531089</t>
        </is>
      </c>
      <c r="B4369" t="inlineStr">
        <is>
          <t>隔日到貨🔥 透明殼 Airpods 1代 2代 pro 3代 附掛鉤 A9 軟殼 保護殼 防摔殼 保護套 耳機殼</t>
        </is>
      </c>
      <c r="C4369">
        <f>IMAGE("https://cf.shopee.tw/file/3767ef3bd27ddc7e3297c7b8102385f0_tn")</f>
        <v/>
      </c>
      <c r="D4369" t="inlineStr">
        <is>
          <t>一隻星球熊,Pro1/Pro2 (通用) 附掛鉤</t>
        </is>
      </c>
      <c r="E4369" t="inlineStr"/>
      <c r="F4369">
        <f>IMAGE("https://cf.shopee.tw/file/eecaeb82ab6d1f237dba3618fc95d238_tn")</f>
        <v/>
      </c>
    </row>
    <row r="4370">
      <c r="A4370" t="inlineStr">
        <is>
          <t>20602531089</t>
        </is>
      </c>
      <c r="B4370" t="inlineStr">
        <is>
          <t>隔日到貨🔥 透明殼 Airpods 1代 2代 pro 3代 附掛鉤 A9 軟殼 保護殼 防摔殼 保護套 耳機殼</t>
        </is>
      </c>
      <c r="C4370">
        <f>IMAGE("https://cf.shopee.tw/file/3767ef3bd27ddc7e3297c7b8102385f0_tn")</f>
        <v/>
      </c>
      <c r="D4370" t="inlineStr">
        <is>
          <t>野餐小熊,［3代］(2021) 附掛鉤</t>
        </is>
      </c>
      <c r="E4370" t="inlineStr"/>
      <c r="F4370">
        <f>IMAGE("https://cf.shopee.tw/file/38fccaf60a3044588d03be8cc34a7e22_tn")</f>
        <v/>
      </c>
    </row>
    <row r="4371">
      <c r="A4371" t="inlineStr">
        <is>
          <t>20602531089</t>
        </is>
      </c>
      <c r="B4371" t="inlineStr">
        <is>
          <t>隔日到貨🔥 透明殼 Airpods 1代 2代 pro 3代 附掛鉤 A9 軟殼 保護殼 防摔殼 保護套 耳機殼</t>
        </is>
      </c>
      <c r="C4371">
        <f>IMAGE("https://cf.shopee.tw/file/3767ef3bd27ddc7e3297c7b8102385f0_tn")</f>
        <v/>
      </c>
      <c r="D4371" t="inlineStr">
        <is>
          <t>三隻波浪狗,1代 / 2代 附掛鉤</t>
        </is>
      </c>
      <c r="E4371" t="inlineStr"/>
      <c r="F4371">
        <f>IMAGE("https://cf.shopee.tw/file/26ff1c45f667df85e626d7a8ef54aea1_tn")</f>
        <v/>
      </c>
    </row>
    <row r="4372">
      <c r="A4372" t="inlineStr">
        <is>
          <t>20602531089</t>
        </is>
      </c>
      <c r="B4372" t="inlineStr">
        <is>
          <t>隔日到貨🔥 透明殼 Airpods 1代 2代 pro 3代 附掛鉤 A9 軟殼 保護殼 防摔殼 保護套 耳機殼</t>
        </is>
      </c>
      <c r="C4372">
        <f>IMAGE("https://cf.shopee.tw/file/3767ef3bd27ddc7e3297c7b8102385f0_tn")</f>
        <v/>
      </c>
      <c r="D4372" t="inlineStr">
        <is>
          <t>火焰考拉,1代 / 2代 附掛鉤</t>
        </is>
      </c>
      <c r="E4372" t="inlineStr"/>
      <c r="F4372">
        <f>IMAGE("https://cf.shopee.tw/file/2f5ac7a5a023d5063ba3964fd6f03e40_tn")</f>
        <v/>
      </c>
    </row>
    <row r="4373">
      <c r="A4373" t="inlineStr">
        <is>
          <t>20602531089</t>
        </is>
      </c>
      <c r="B4373" t="inlineStr">
        <is>
          <t>隔日到貨🔥 透明殼 Airpods 1代 2代 pro 3代 附掛鉤 A9 軟殼 保護殼 防摔殼 保護套 耳機殼</t>
        </is>
      </c>
      <c r="C4373">
        <f>IMAGE("https://cf.shopee.tw/file/3767ef3bd27ddc7e3297c7b8102385f0_tn")</f>
        <v/>
      </c>
      <c r="D4373" t="inlineStr">
        <is>
          <t>火焰考拉,Pro1/Pro2 (通用) 附掛鉤</t>
        </is>
      </c>
      <c r="E4373" t="inlineStr"/>
      <c r="F4373">
        <f>IMAGE("https://cf.shopee.tw/file/2f5ac7a5a023d5063ba3964fd6f03e40_tn")</f>
        <v/>
      </c>
    </row>
    <row r="4374">
      <c r="A4374" t="inlineStr">
        <is>
          <t>20602531089</t>
        </is>
      </c>
      <c r="B4374" t="inlineStr">
        <is>
          <t>隔日到貨🔥 透明殼 Airpods 1代 2代 pro 3代 附掛鉤 A9 軟殼 保護殼 防摔殼 保護套 耳機殼</t>
        </is>
      </c>
      <c r="C4374">
        <f>IMAGE("https://cf.shopee.tw/file/3767ef3bd27ddc7e3297c7b8102385f0_tn")</f>
        <v/>
      </c>
      <c r="D4374" t="inlineStr">
        <is>
          <t>重疊藝術油畫,1代 / 2代 附掛鉤</t>
        </is>
      </c>
      <c r="E4374" t="inlineStr"/>
      <c r="F4374">
        <f>IMAGE("https://cf.shopee.tw/file/1c87a4772c58a10add92c5d6e8a41562_tn")</f>
        <v/>
      </c>
    </row>
    <row r="4375">
      <c r="A4375" t="inlineStr">
        <is>
          <t>20602531089</t>
        </is>
      </c>
      <c r="B4375" t="inlineStr">
        <is>
          <t>隔日到貨🔥 透明殼 Airpods 1代 2代 pro 3代 附掛鉤 A9 軟殼 保護殼 防摔殼 保護套 耳機殼</t>
        </is>
      </c>
      <c r="C4375">
        <f>IMAGE("https://cf.shopee.tw/file/3767ef3bd27ddc7e3297c7b8102385f0_tn")</f>
        <v/>
      </c>
      <c r="D4375" t="inlineStr">
        <is>
          <t>重疊藝術油畫,［3代］(2021) 附掛鉤</t>
        </is>
      </c>
      <c r="E4375" t="inlineStr"/>
      <c r="F4375">
        <f>IMAGE("https://cf.shopee.tw/file/1c87a4772c58a10add92c5d6e8a41562_tn")</f>
        <v/>
      </c>
    </row>
    <row r="4376">
      <c r="A4376" t="inlineStr">
        <is>
          <t>20602531089</t>
        </is>
      </c>
      <c r="B4376" t="inlineStr">
        <is>
          <t>隔日到貨🔥 透明殼 Airpods 1代 2代 pro 3代 附掛鉤 A9 軟殼 保護殼 防摔殼 保護套 耳機殼</t>
        </is>
      </c>
      <c r="C4376">
        <f>IMAGE("https://cf.shopee.tw/file/3767ef3bd27ddc7e3297c7b8102385f0_tn")</f>
        <v/>
      </c>
      <c r="D4376" t="inlineStr">
        <is>
          <t>音響宇航員,1代 / 2代 附掛鉤</t>
        </is>
      </c>
      <c r="E4376" t="inlineStr"/>
      <c r="F4376">
        <f>IMAGE("https://cf.shopee.tw/file/a6e877b2c39bff413508726f8da01cba_tn")</f>
        <v/>
      </c>
    </row>
    <row r="4377">
      <c r="A4377" t="inlineStr">
        <is>
          <t>20602531089</t>
        </is>
      </c>
      <c r="B4377" t="inlineStr">
        <is>
          <t>隔日到貨🔥 透明殼 Airpods 1代 2代 pro 3代 附掛鉤 A9 軟殼 保護殼 防摔殼 保護套 耳機殼</t>
        </is>
      </c>
      <c r="C4377">
        <f>IMAGE("https://cf.shopee.tw/file/3767ef3bd27ddc7e3297c7b8102385f0_tn")</f>
        <v/>
      </c>
      <c r="D4377" t="inlineStr">
        <is>
          <t>黃標墨鏡男,1代 / 2代 附掛鉤</t>
        </is>
      </c>
      <c r="E4377" t="inlineStr">
        <is>
          <t>210143548022</t>
        </is>
      </c>
      <c r="F4377">
        <f>IMAGE("https://cf.shopee.tw/file/79ee8ef957c90010fa865bdf35d81b77_tn")</f>
        <v/>
      </c>
    </row>
    <row r="4378">
      <c r="A4378" t="inlineStr">
        <is>
          <t>20602531089</t>
        </is>
      </c>
      <c r="B4378" t="inlineStr">
        <is>
          <t>隔日到貨🔥 透明殼 Airpods 1代 2代 pro 3代 附掛鉤 A9 軟殼 保護殼 防摔殼 保護套 耳機殼</t>
        </is>
      </c>
      <c r="C4378">
        <f>IMAGE("https://cf.shopee.tw/file/3767ef3bd27ddc7e3297c7b8102385f0_tn")</f>
        <v/>
      </c>
      <c r="D4378" t="inlineStr">
        <is>
          <t>黃標墨鏡男,Pro1/Pro2 (通用) 附掛鉤</t>
        </is>
      </c>
      <c r="E4378" t="inlineStr"/>
      <c r="F4378">
        <f>IMAGE("https://cf.shopee.tw/file/79ee8ef957c90010fa865bdf35d81b77_tn")</f>
        <v/>
      </c>
    </row>
    <row r="4379">
      <c r="A4379" t="inlineStr">
        <is>
          <t>20602531089</t>
        </is>
      </c>
      <c r="B4379" t="inlineStr">
        <is>
          <t>隔日到貨🔥 透明殼 Airpods 1代 2代 pro 3代 附掛鉤 A9 軟殼 保護殼 防摔殼 保護套 耳機殼</t>
        </is>
      </c>
      <c r="C4379">
        <f>IMAGE("https://cf.shopee.tw/file/3767ef3bd27ddc7e3297c7b8102385f0_tn")</f>
        <v/>
      </c>
      <c r="D4379" t="inlineStr">
        <is>
          <t>黃標墨鏡男,［3代］(2021) 附掛鉤</t>
        </is>
      </c>
      <c r="E4379" t="inlineStr"/>
      <c r="F4379">
        <f>IMAGE("https://cf.shopee.tw/file/79ee8ef957c90010fa865bdf35d81b77_tn")</f>
        <v/>
      </c>
    </row>
    <row r="4380">
      <c r="A4380" t="inlineStr">
        <is>
          <t>20602531089</t>
        </is>
      </c>
      <c r="B4380" t="inlineStr">
        <is>
          <t>隔日到貨🔥 透明殼 Airpods 1代 2代 pro 3代 附掛鉤 A9 軟殼 保護殼 防摔殼 保護套 耳機殼</t>
        </is>
      </c>
      <c r="C4380">
        <f>IMAGE("https://cf.shopee.tw/file/3767ef3bd27ddc7e3297c7b8102385f0_tn")</f>
        <v/>
      </c>
      <c r="D4380" t="inlineStr">
        <is>
          <t>親吻天使,1代 / 2代 附掛鉤</t>
        </is>
      </c>
      <c r="E4380" t="inlineStr"/>
      <c r="F4380">
        <f>IMAGE("https://cf.shopee.tw/file/cdd91fdf1f5d5dfcabd9debae75b5197_tn")</f>
        <v/>
      </c>
    </row>
    <row r="4381">
      <c r="A4381" t="inlineStr">
        <is>
          <t>20602531089</t>
        </is>
      </c>
      <c r="B4381" t="inlineStr">
        <is>
          <t>隔日到貨🔥 透明殼 Airpods 1代 2代 pro 3代 附掛鉤 A9 軟殼 保護殼 防摔殼 保護套 耳機殼</t>
        </is>
      </c>
      <c r="C4381">
        <f>IMAGE("https://cf.shopee.tw/file/3767ef3bd27ddc7e3297c7b8102385f0_tn")</f>
        <v/>
      </c>
      <c r="D4381" t="inlineStr">
        <is>
          <t>親吻天使,Pro1/Pro2 (通用) 附掛鉤</t>
        </is>
      </c>
      <c r="E4381" t="inlineStr"/>
      <c r="F4381">
        <f>IMAGE("https://cf.shopee.tw/file/cdd91fdf1f5d5dfcabd9debae75b5197_tn")</f>
        <v/>
      </c>
    </row>
    <row r="4382">
      <c r="A4382" t="inlineStr">
        <is>
          <t>20602531089</t>
        </is>
      </c>
      <c r="B4382" t="inlineStr">
        <is>
          <t>隔日到貨🔥 透明殼 Airpods 1代 2代 pro 3代 附掛鉤 A9 軟殼 保護殼 防摔殼 保護套 耳機殼</t>
        </is>
      </c>
      <c r="C4382">
        <f>IMAGE("https://cf.shopee.tw/file/3767ef3bd27ddc7e3297c7b8102385f0_tn")</f>
        <v/>
      </c>
      <c r="D4382" t="inlineStr">
        <is>
          <t>親吻天使,［3代］(2021) 附掛鉤</t>
        </is>
      </c>
      <c r="E4382" t="inlineStr"/>
      <c r="F4382">
        <f>IMAGE("https://cf.shopee.tw/file/cdd91fdf1f5d5dfcabd9debae75b5197_tn")</f>
        <v/>
      </c>
    </row>
    <row r="4383">
      <c r="A4383" t="inlineStr">
        <is>
          <t>20602531089</t>
        </is>
      </c>
      <c r="B4383" t="inlineStr">
        <is>
          <t>隔日到貨🔥 透明殼 Airpods 1代 2代 pro 3代 附掛鉤 A9 軟殼 保護殼 防摔殼 保護套 耳機殼</t>
        </is>
      </c>
      <c r="C4383">
        <f>IMAGE("https://cf.shopee.tw/file/3767ef3bd27ddc7e3297c7b8102385f0_tn")</f>
        <v/>
      </c>
      <c r="D4383" t="inlineStr">
        <is>
          <t>彩虹火箭,1代 / 2代 附掛鉤</t>
        </is>
      </c>
      <c r="E4383" t="inlineStr"/>
      <c r="F4383">
        <f>IMAGE("https://cf.shopee.tw/file/72be70d74d82a8a4abee9bf2bde1dc3f_tn")</f>
        <v/>
      </c>
    </row>
    <row r="4384">
      <c r="A4384" t="inlineStr">
        <is>
          <t>20602531089</t>
        </is>
      </c>
      <c r="B4384" t="inlineStr">
        <is>
          <t>隔日到貨🔥 透明殼 Airpods 1代 2代 pro 3代 附掛鉤 A9 軟殼 保護殼 防摔殼 保護套 耳機殼</t>
        </is>
      </c>
      <c r="C4384">
        <f>IMAGE("https://cf.shopee.tw/file/3767ef3bd27ddc7e3297c7b8102385f0_tn")</f>
        <v/>
      </c>
      <c r="D4384" t="inlineStr">
        <is>
          <t>彩虹火箭,Pro1/Pro2 (通用) 附掛鉤</t>
        </is>
      </c>
      <c r="E4384" t="inlineStr"/>
      <c r="F4384">
        <f>IMAGE("https://cf.shopee.tw/file/72be70d74d82a8a4abee9bf2bde1dc3f_tn")</f>
        <v/>
      </c>
    </row>
    <row r="4385">
      <c r="A4385" t="inlineStr">
        <is>
          <t>20602531089</t>
        </is>
      </c>
      <c r="B4385" t="inlineStr">
        <is>
          <t>隔日到貨🔥 透明殼 Airpods 1代 2代 pro 3代 附掛鉤 A9 軟殼 保護殼 防摔殼 保護套 耳機殼</t>
        </is>
      </c>
      <c r="C4385">
        <f>IMAGE("https://cf.shopee.tw/file/3767ef3bd27ddc7e3297c7b8102385f0_tn")</f>
        <v/>
      </c>
      <c r="D4385" t="inlineStr">
        <is>
          <t>彩虹火箭,［3代］(2021) 附掛鉤</t>
        </is>
      </c>
      <c r="E4385" t="inlineStr"/>
      <c r="F4385">
        <f>IMAGE("https://cf.shopee.tw/file/72be70d74d82a8a4abee9bf2bde1dc3f_tn")</f>
        <v/>
      </c>
    </row>
    <row r="4386">
      <c r="A4386" t="inlineStr">
        <is>
          <t>20602531089</t>
        </is>
      </c>
      <c r="B4386" t="inlineStr">
        <is>
          <t>隔日到貨🔥 透明殼 Airpods 1代 2代 pro 3代 附掛鉤 A9 軟殼 保護殼 防摔殼 保護套 耳機殼</t>
        </is>
      </c>
      <c r="C4386">
        <f>IMAGE("https://cf.shopee.tw/file/3767ef3bd27ddc7e3297c7b8102385f0_tn")</f>
        <v/>
      </c>
      <c r="D4386" t="inlineStr">
        <is>
          <t>一隻星球熊,1代 / 2代 附掛鉤</t>
        </is>
      </c>
      <c r="E4386" t="inlineStr">
        <is>
          <t>210143547998</t>
        </is>
      </c>
      <c r="F4386">
        <f>IMAGE("https://cf.shopee.tw/file/eecaeb82ab6d1f237dba3618fc95d238_tn")</f>
        <v/>
      </c>
    </row>
    <row r="4387">
      <c r="A4387" t="inlineStr">
        <is>
          <t>20602531089</t>
        </is>
      </c>
      <c r="B4387" t="inlineStr">
        <is>
          <t>隔日到貨🔥 透明殼 Airpods 1代 2代 pro 3代 附掛鉤 A9 軟殼 保護殼 防摔殼 保護套 耳機殼</t>
        </is>
      </c>
      <c r="C4387">
        <f>IMAGE("https://cf.shopee.tw/file/3767ef3bd27ddc7e3297c7b8102385f0_tn")</f>
        <v/>
      </c>
      <c r="D4387" t="inlineStr">
        <is>
          <t>一隻星球熊,［3代］(2021) 附掛鉤</t>
        </is>
      </c>
      <c r="E4387" t="inlineStr"/>
      <c r="F4387">
        <f>IMAGE("https://cf.shopee.tw/file/eecaeb82ab6d1f237dba3618fc95d238_tn")</f>
        <v/>
      </c>
    </row>
    <row r="4388">
      <c r="A4388" t="inlineStr">
        <is>
          <t>20602531089</t>
        </is>
      </c>
      <c r="B4388" t="inlineStr">
        <is>
          <t>隔日到貨🔥 透明殼 Airpods 1代 2代 pro 3代 附掛鉤 A9 軟殼 保護殼 防摔殼 保護套 耳機殼</t>
        </is>
      </c>
      <c r="C4388">
        <f>IMAGE("https://cf.shopee.tw/file/3767ef3bd27ddc7e3297c7b8102385f0_tn")</f>
        <v/>
      </c>
      <c r="D4388" t="inlineStr">
        <is>
          <t>多隻星球熊,1代 / 2代 附掛鉤</t>
        </is>
      </c>
      <c r="E4388" t="inlineStr"/>
      <c r="F4388">
        <f>IMAGE("https://cf.shopee.tw/file/552c0025908052e08ae714592c92cd96_tn")</f>
        <v/>
      </c>
    </row>
    <row r="4389">
      <c r="A4389" t="inlineStr">
        <is>
          <t>20602531089</t>
        </is>
      </c>
      <c r="B4389" t="inlineStr">
        <is>
          <t>隔日到貨🔥 透明殼 Airpods 1代 2代 pro 3代 附掛鉤 A9 軟殼 保護殼 防摔殼 保護套 耳機殼</t>
        </is>
      </c>
      <c r="C4389">
        <f>IMAGE("https://cf.shopee.tw/file/3767ef3bd27ddc7e3297c7b8102385f0_tn")</f>
        <v/>
      </c>
      <c r="D4389" t="inlineStr">
        <is>
          <t>多隻星球熊,Pro1/Pro2 (通用) 附掛鉤</t>
        </is>
      </c>
      <c r="E4389" t="inlineStr">
        <is>
          <t>210143548029</t>
        </is>
      </c>
      <c r="F4389">
        <f>IMAGE("https://cf.shopee.tw/file/552c0025908052e08ae714592c92cd96_tn")</f>
        <v/>
      </c>
    </row>
    <row r="4390">
      <c r="A4390" t="inlineStr">
        <is>
          <t>20602531089</t>
        </is>
      </c>
      <c r="B4390" t="inlineStr">
        <is>
          <t>隔日到貨🔥 透明殼 Airpods 1代 2代 pro 3代 附掛鉤 A9 軟殼 保護殼 防摔殼 保護套 耳機殼</t>
        </is>
      </c>
      <c r="C4390">
        <f>IMAGE("https://cf.shopee.tw/file/3767ef3bd27ddc7e3297c7b8102385f0_tn")</f>
        <v/>
      </c>
      <c r="D4390" t="inlineStr">
        <is>
          <t>多隻星球熊,［3代］(2021) 附掛鉤</t>
        </is>
      </c>
      <c r="E4390" t="inlineStr"/>
      <c r="F4390">
        <f>IMAGE("https://cf.shopee.tw/file/552c0025908052e08ae714592c92cd96_tn")</f>
        <v/>
      </c>
    </row>
    <row r="4391">
      <c r="A4391" t="inlineStr">
        <is>
          <t>20602531089</t>
        </is>
      </c>
      <c r="B4391" t="inlineStr">
        <is>
          <t>隔日到貨🔥 透明殼 Airpods 1代 2代 pro 3代 附掛鉤 A9 軟殼 保護殼 防摔殼 保護套 耳機殼</t>
        </is>
      </c>
      <c r="C4391">
        <f>IMAGE("https://cf.shopee.tw/file/3767ef3bd27ddc7e3297c7b8102385f0_tn")</f>
        <v/>
      </c>
      <c r="D4391" t="inlineStr">
        <is>
          <t>野餐小熊,1代 / 2代 附掛鉤</t>
        </is>
      </c>
      <c r="E4391" t="inlineStr"/>
      <c r="F4391">
        <f>IMAGE("https://cf.shopee.tw/file/38fccaf60a3044588d03be8cc34a7e22_tn")</f>
        <v/>
      </c>
    </row>
    <row r="4392">
      <c r="A4392" t="inlineStr">
        <is>
          <t>20602531089</t>
        </is>
      </c>
      <c r="B4392" t="inlineStr">
        <is>
          <t>隔日到貨🔥 透明殼 Airpods 1代 2代 pro 3代 附掛鉤 A9 軟殼 保護殼 防摔殼 保護套 耳機殼</t>
        </is>
      </c>
      <c r="C4392">
        <f>IMAGE("https://cf.shopee.tw/file/3767ef3bd27ddc7e3297c7b8102385f0_tn")</f>
        <v/>
      </c>
      <c r="D4392" t="inlineStr">
        <is>
          <t>野餐小熊,Pro1/Pro2 (通用) 附掛鉤</t>
        </is>
      </c>
      <c r="E4392" t="inlineStr"/>
      <c r="F4392">
        <f>IMAGE("https://cf.shopee.tw/file/38fccaf60a3044588d03be8cc34a7e22_tn")</f>
        <v/>
      </c>
    </row>
    <row r="4393">
      <c r="A4393" t="inlineStr">
        <is>
          <t>20602531089</t>
        </is>
      </c>
      <c r="B4393" t="inlineStr">
        <is>
          <t>隔日到貨🔥 透明殼 Airpods 1代 2代 pro 3代 附掛鉤 A9 軟殼 保護殼 防摔殼 保護套 耳機殼</t>
        </is>
      </c>
      <c r="C4393">
        <f>IMAGE("https://cf.shopee.tw/file/3767ef3bd27ddc7e3297c7b8102385f0_tn")</f>
        <v/>
      </c>
      <c r="D4393" t="inlineStr">
        <is>
          <t>泳圈白猴,1代 / 2代 附掛鉤</t>
        </is>
      </c>
      <c r="E4393" t="inlineStr"/>
      <c r="F4393">
        <f>IMAGE("https://cf.shopee.tw/file/10886733b0f0c63b8a7f458d80e43cbb_tn")</f>
        <v/>
      </c>
    </row>
    <row r="4394">
      <c r="A4394" t="inlineStr">
        <is>
          <t>20602531089</t>
        </is>
      </c>
      <c r="B4394" t="inlineStr">
        <is>
          <t>隔日到貨🔥 透明殼 Airpods 1代 2代 pro 3代 附掛鉤 A9 軟殼 保護殼 防摔殼 保護套 耳機殼</t>
        </is>
      </c>
      <c r="C4394">
        <f>IMAGE("https://cf.shopee.tw/file/3767ef3bd27ddc7e3297c7b8102385f0_tn")</f>
        <v/>
      </c>
      <c r="D4394" t="inlineStr">
        <is>
          <t>泳圈白猴,Pro1/Pro2 (通用) 附掛鉤</t>
        </is>
      </c>
      <c r="E4394" t="inlineStr"/>
      <c r="F4394">
        <f>IMAGE("https://cf.shopee.tw/file/10886733b0f0c63b8a7f458d80e43cbb_tn")</f>
        <v/>
      </c>
    </row>
    <row r="4395">
      <c r="A4395" t="inlineStr">
        <is>
          <t>20602531089</t>
        </is>
      </c>
      <c r="B4395" t="inlineStr">
        <is>
          <t>隔日到貨🔥 透明殼 Airpods 1代 2代 pro 3代 附掛鉤 A9 軟殼 保護殼 防摔殼 保護套 耳機殼</t>
        </is>
      </c>
      <c r="C4395">
        <f>IMAGE("https://cf.shopee.tw/file/3767ef3bd27ddc7e3297c7b8102385f0_tn")</f>
        <v/>
      </c>
      <c r="D4395" t="inlineStr">
        <is>
          <t>泳圈白猴,［3代］(2021) 附掛鉤</t>
        </is>
      </c>
      <c r="E4395" t="inlineStr"/>
      <c r="F4395">
        <f>IMAGE("https://cf.shopee.tw/file/10886733b0f0c63b8a7f458d80e43cbb_tn")</f>
        <v/>
      </c>
    </row>
    <row r="4396">
      <c r="A4396" t="inlineStr">
        <is>
          <t>20602531089</t>
        </is>
      </c>
      <c r="B4396" t="inlineStr">
        <is>
          <t>隔日到貨🔥 透明殼 Airpods 1代 2代 pro 3代 附掛鉤 A9 軟殼 保護殼 防摔殼 保護套 耳機殼</t>
        </is>
      </c>
      <c r="C4396">
        <f>IMAGE("https://cf.shopee.tw/file/3767ef3bd27ddc7e3297c7b8102385f0_tn")</f>
        <v/>
      </c>
      <c r="D4396" t="inlineStr">
        <is>
          <t>冰淇淋熊,1代 / 2代 附掛鉤</t>
        </is>
      </c>
      <c r="E4396" t="inlineStr"/>
      <c r="F4396">
        <f>IMAGE("https://cf.shopee.tw/file/1ed060a678e900656f5ff5168d09cbcd_tn")</f>
        <v/>
      </c>
    </row>
    <row r="4397">
      <c r="A4397" t="inlineStr">
        <is>
          <t>20602531089</t>
        </is>
      </c>
      <c r="B4397" t="inlineStr">
        <is>
          <t>隔日到貨🔥 透明殼 Airpods 1代 2代 pro 3代 附掛鉤 A9 軟殼 保護殼 防摔殼 保護套 耳機殼</t>
        </is>
      </c>
      <c r="C4397">
        <f>IMAGE("https://cf.shopee.tw/file/3767ef3bd27ddc7e3297c7b8102385f0_tn")</f>
        <v/>
      </c>
      <c r="D4397" t="inlineStr">
        <is>
          <t>冰淇淋熊,Pro1/Pro2 (通用) 附掛鉤</t>
        </is>
      </c>
      <c r="E4397" t="inlineStr"/>
      <c r="F4397">
        <f>IMAGE("https://cf.shopee.tw/file/1ed060a678e900656f5ff5168d09cbcd_tn")</f>
        <v/>
      </c>
    </row>
    <row r="4398">
      <c r="A4398" t="inlineStr">
        <is>
          <t>20602531089</t>
        </is>
      </c>
      <c r="B4398" t="inlineStr">
        <is>
          <t>隔日到貨🔥 透明殼 Airpods 1代 2代 pro 3代 附掛鉤 A9 軟殼 保護殼 防摔殼 保護套 耳機殼</t>
        </is>
      </c>
      <c r="C4398">
        <f>IMAGE("https://cf.shopee.tw/file/3767ef3bd27ddc7e3297c7b8102385f0_tn")</f>
        <v/>
      </c>
      <c r="D4398" t="inlineStr">
        <is>
          <t>冰淇淋熊,［3代］(2021) 附掛鉤</t>
        </is>
      </c>
      <c r="E4398" t="inlineStr"/>
      <c r="F4398">
        <f>IMAGE("https://cf.shopee.tw/file/1ed060a678e900656f5ff5168d09cbcd_tn")</f>
        <v/>
      </c>
    </row>
    <row r="4399">
      <c r="A4399" t="inlineStr">
        <is>
          <t>20602531089</t>
        </is>
      </c>
      <c r="B4399" t="inlineStr">
        <is>
          <t>隔日到貨🔥 透明殼 Airpods 1代 2代 pro 3代 附掛鉤 A9 軟殼 保護殼 防摔殼 保護套 耳機殼</t>
        </is>
      </c>
      <c r="C4399">
        <f>IMAGE("https://cf.shopee.tw/file/3767ef3bd27ddc7e3297c7b8102385f0_tn")</f>
        <v/>
      </c>
      <c r="D4399" t="inlineStr">
        <is>
          <t>三隻波浪狗,Pro1/Pro2 (通用) 附掛鉤</t>
        </is>
      </c>
      <c r="E4399" t="inlineStr">
        <is>
          <t>210143548011</t>
        </is>
      </c>
      <c r="F4399">
        <f>IMAGE("https://cf.shopee.tw/file/26ff1c45f667df85e626d7a8ef54aea1_tn")</f>
        <v/>
      </c>
    </row>
    <row r="4400">
      <c r="A4400" t="inlineStr">
        <is>
          <t>20602531089</t>
        </is>
      </c>
      <c r="B4400" t="inlineStr">
        <is>
          <t>隔日到貨🔥 透明殼 Airpods 1代 2代 pro 3代 附掛鉤 A9 軟殼 保護殼 防摔殼 保護套 耳機殼</t>
        </is>
      </c>
      <c r="C4400">
        <f>IMAGE("https://cf.shopee.tw/file/3767ef3bd27ddc7e3297c7b8102385f0_tn")</f>
        <v/>
      </c>
      <c r="D4400" t="inlineStr">
        <is>
          <t>三隻波浪狗,［3代］(2021) 附掛鉤</t>
        </is>
      </c>
      <c r="E4400" t="inlineStr">
        <is>
          <t>210143548031</t>
        </is>
      </c>
      <c r="F4400">
        <f>IMAGE("https://cf.shopee.tw/file/26ff1c45f667df85e626d7a8ef54aea1_tn")</f>
        <v/>
      </c>
    </row>
    <row r="4401">
      <c r="A4401" t="inlineStr">
        <is>
          <t>20602531089</t>
        </is>
      </c>
      <c r="B4401" t="inlineStr">
        <is>
          <t>隔日到貨🔥 透明殼 Airpods 1代 2代 pro 3代 附掛鉤 A9 軟殼 保護殼 防摔殼 保護套 耳機殼</t>
        </is>
      </c>
      <c r="C4401">
        <f>IMAGE("https://cf.shopee.tw/file/3767ef3bd27ddc7e3297c7b8102385f0_tn")</f>
        <v/>
      </c>
      <c r="D4401" t="inlineStr">
        <is>
          <t>火焰考拉,［3代］(2021) 附掛鉤</t>
        </is>
      </c>
      <c r="E4401" t="inlineStr"/>
      <c r="F4401">
        <f>IMAGE("https://cf.shopee.tw/file/2f5ac7a5a023d5063ba3964fd6f03e40_tn")</f>
        <v/>
      </c>
    </row>
    <row r="4402">
      <c r="A4402" t="inlineStr">
        <is>
          <t>22078908109</t>
        </is>
      </c>
      <c r="B4402" t="inlineStr">
        <is>
          <t>隔日到貨🔥 Airpods 保護套 1代 2代 3代 A30 pro pro2 耳機套 矽膠 軟殼 保護殼 蘋果</t>
        </is>
      </c>
      <c r="C4402">
        <f>IMAGE("https://cf.shopee.tw/file/tw-11134207-7r992-ll67i8c10z8130_tn")</f>
        <v/>
      </c>
      <c r="D4402" t="inlineStr">
        <is>
          <t>4. 磨砂大樹 + 圖上掛飾,1代/2代</t>
        </is>
      </c>
      <c r="E4402" t="inlineStr"/>
      <c r="F4402">
        <f>IMAGE("https://cf.shopee.tw/file/tw-11134207-7r98y-ll67i8bzs0yp57_tn")</f>
        <v/>
      </c>
    </row>
    <row r="4403">
      <c r="A4403" t="inlineStr">
        <is>
          <t>22078908109</t>
        </is>
      </c>
      <c r="B4403" t="inlineStr">
        <is>
          <t>隔日到貨🔥 Airpods 保護套 1代 2代 3代 A30 pro pro2 耳機套 矽膠 軟殼 保護殼 蘋果</t>
        </is>
      </c>
      <c r="C4403">
        <f>IMAGE("https://cf.shopee.tw/file/tw-11134207-7r992-ll67i8c10z8130_tn")</f>
        <v/>
      </c>
      <c r="D4403" t="inlineStr">
        <is>
          <t>7. 魅影愛心熊熊 + 圖上掛飾,Pro1代/Pro2代 (通用）</t>
        </is>
      </c>
      <c r="E4403" t="inlineStr"/>
      <c r="F4403">
        <f>IMAGE("https://cf.shopee.tw/file/tw-11134207-7r990-ll6cwzrxax29ec_tn")</f>
        <v/>
      </c>
    </row>
    <row r="4404">
      <c r="A4404" t="inlineStr">
        <is>
          <t>22078908109</t>
        </is>
      </c>
      <c r="B4404" t="inlineStr">
        <is>
          <t>隔日到貨🔥 Airpods 保護套 1代 2代 3代 A30 pro pro2 耳機套 矽膠 軟殼 保護殼 蘋果</t>
        </is>
      </c>
      <c r="C4404">
        <f>IMAGE("https://cf.shopee.tw/file/tw-11134207-7r992-ll67i8c10z8130_tn")</f>
        <v/>
      </c>
      <c r="D4404" t="inlineStr">
        <is>
          <t>7. 魅影愛心熊熊 + 圖上掛飾,3代</t>
        </is>
      </c>
      <c r="E4404" t="inlineStr"/>
      <c r="F4404">
        <f>IMAGE("https://cf.shopee.tw/file/tw-11134207-7r990-ll6cwzrxax29ec_tn")</f>
        <v/>
      </c>
    </row>
    <row r="4405">
      <c r="A4405" t="inlineStr">
        <is>
          <t>22078908109</t>
        </is>
      </c>
      <c r="B4405" t="inlineStr">
        <is>
          <t>隔日到貨🔥 Airpods 保護套 1代 2代 3代 A30 pro pro2 耳機套 矽膠 軟殼 保護殼 蘋果</t>
        </is>
      </c>
      <c r="C4405">
        <f>IMAGE("https://cf.shopee.tw/file/tw-11134207-7r992-ll67i8c10z8130_tn")</f>
        <v/>
      </c>
      <c r="D4405" t="inlineStr">
        <is>
          <t>8. 白雲 + 掛鉤,3代</t>
        </is>
      </c>
      <c r="E4405" t="inlineStr"/>
      <c r="F4405">
        <f>IMAGE("https://cf.shopee.tw/file/tw-11134207-7r98y-ll6cwzrxcbmp92_tn")</f>
        <v/>
      </c>
    </row>
    <row r="4406">
      <c r="A4406" t="inlineStr">
        <is>
          <t>22078908109</t>
        </is>
      </c>
      <c r="B4406" t="inlineStr">
        <is>
          <t>隔日到貨🔥 Airpods 保護套 1代 2代 3代 A30 pro pro2 耳機套 矽膠 軟殼 保護殼 蘋果</t>
        </is>
      </c>
      <c r="C4406">
        <f>IMAGE("https://cf.shopee.tw/file/tw-11134207-7r992-ll67i8c10z8130_tn")</f>
        <v/>
      </c>
      <c r="D4406" t="inlineStr">
        <is>
          <t>1. 藍花 +掛鉤,1代/2代</t>
        </is>
      </c>
      <c r="E4406" t="inlineStr">
        <is>
          <t>225588114710</t>
        </is>
      </c>
      <c r="F4406">
        <f>IMAGE("https://cf.shopee.tw/file/tw-11134207-7r98u-ll67i8c9q7v57c_tn")</f>
        <v/>
      </c>
    </row>
    <row r="4407">
      <c r="A4407" t="inlineStr">
        <is>
          <t>22078908109</t>
        </is>
      </c>
      <c r="B4407" t="inlineStr">
        <is>
          <t>隔日到貨🔥 Airpods 保護套 1代 2代 3代 A30 pro pro2 耳機套 矽膠 軟殼 保護殼 蘋果</t>
        </is>
      </c>
      <c r="C4407">
        <f>IMAGE("https://cf.shopee.tw/file/tw-11134207-7r992-ll67i8c10z8130_tn")</f>
        <v/>
      </c>
      <c r="D4407" t="inlineStr">
        <is>
          <t>1. 藍花 +掛鉤,Pro1代/Pro2代 (通用）</t>
        </is>
      </c>
      <c r="E4407" t="inlineStr">
        <is>
          <t>235588625778</t>
        </is>
      </c>
      <c r="F4407">
        <f>IMAGE("https://cf.shopee.tw/file/tw-11134207-7r98u-ll67i8c9q7v57c_tn")</f>
        <v/>
      </c>
    </row>
    <row r="4408">
      <c r="A4408" t="inlineStr">
        <is>
          <t>22078908109</t>
        </is>
      </c>
      <c r="B4408" t="inlineStr">
        <is>
          <t>隔日到貨🔥 Airpods 保護套 1代 2代 3代 A30 pro pro2 耳機套 矽膠 軟殼 保護殼 蘋果</t>
        </is>
      </c>
      <c r="C4408">
        <f>IMAGE("https://cf.shopee.tw/file/tw-11134207-7r992-ll67i8c10z8130_tn")</f>
        <v/>
      </c>
      <c r="D4408" t="inlineStr">
        <is>
          <t>1. 藍花 +掛鉤,3代</t>
        </is>
      </c>
      <c r="E4408" t="inlineStr"/>
      <c r="F4408">
        <f>IMAGE("https://cf.shopee.tw/file/tw-11134207-7r98u-ll67i8c9q7v57c_tn")</f>
        <v/>
      </c>
    </row>
    <row r="4409">
      <c r="A4409" t="inlineStr">
        <is>
          <t>22078908109</t>
        </is>
      </c>
      <c r="B4409" t="inlineStr">
        <is>
          <t>隔日到貨🔥 Airpods 保護套 1代 2代 3代 A30 pro pro2 耳機套 矽膠 軟殼 保護殼 蘋果</t>
        </is>
      </c>
      <c r="C4409">
        <f>IMAGE("https://cf.shopee.tw/file/tw-11134207-7r992-ll67i8c10z8130_tn")</f>
        <v/>
      </c>
      <c r="D4409" t="inlineStr">
        <is>
          <t>2. 可愛動物 + 掛鉤,1代/2代</t>
        </is>
      </c>
      <c r="E4409" t="inlineStr"/>
      <c r="F4409">
        <f>IMAGE("https://cf.shopee.tw/file/tw-11134207-7r98z-ll67i8c9q7s1c2_tn")</f>
        <v/>
      </c>
    </row>
    <row r="4410">
      <c r="A4410" t="inlineStr">
        <is>
          <t>22078908109</t>
        </is>
      </c>
      <c r="B4410" t="inlineStr">
        <is>
          <t>隔日到貨🔥 Airpods 保護套 1代 2代 3代 A30 pro pro2 耳機套 矽膠 軟殼 保護殼 蘋果</t>
        </is>
      </c>
      <c r="C4410">
        <f>IMAGE("https://cf.shopee.tw/file/tw-11134207-7r992-ll67i8c10z8130_tn")</f>
        <v/>
      </c>
      <c r="D4410" t="inlineStr">
        <is>
          <t>2. 可愛動物 + 掛鉤,Pro1代/Pro2代 (通用）</t>
        </is>
      </c>
      <c r="E4410" t="inlineStr"/>
      <c r="F4410">
        <f>IMAGE("https://cf.shopee.tw/file/tw-11134207-7r98z-ll67i8c9q7s1c2_tn")</f>
        <v/>
      </c>
    </row>
    <row r="4411">
      <c r="A4411" t="inlineStr">
        <is>
          <t>22078908109</t>
        </is>
      </c>
      <c r="B4411" t="inlineStr">
        <is>
          <t>隔日到貨🔥 Airpods 保護套 1代 2代 3代 A30 pro pro2 耳機套 矽膠 軟殼 保護殼 蘋果</t>
        </is>
      </c>
      <c r="C4411">
        <f>IMAGE("https://cf.shopee.tw/file/tw-11134207-7r992-ll67i8c10z8130_tn")</f>
        <v/>
      </c>
      <c r="D4411" t="inlineStr">
        <is>
          <t>2. 可愛動物 + 掛鉤,3代</t>
        </is>
      </c>
      <c r="E4411" t="inlineStr"/>
      <c r="F4411">
        <f>IMAGE("https://cf.shopee.tw/file/tw-11134207-7r98z-ll67i8c9q7s1c2_tn")</f>
        <v/>
      </c>
    </row>
    <row r="4412">
      <c r="A4412" t="inlineStr">
        <is>
          <t>22078908109</t>
        </is>
      </c>
      <c r="B4412" t="inlineStr">
        <is>
          <t>隔日到貨🔥 Airpods 保護套 1代 2代 3代 A30 pro pro2 耳機套 矽膠 軟殼 保護殼 蘋果</t>
        </is>
      </c>
      <c r="C4412">
        <f>IMAGE("https://cf.shopee.tw/file/tw-11134207-7r992-ll67i8c10z8130_tn")</f>
        <v/>
      </c>
      <c r="D4412" t="inlineStr">
        <is>
          <t>3. 波浪墨鏡笑臉 + 圖上掛飾,1代/2代</t>
        </is>
      </c>
      <c r="E4412" t="inlineStr">
        <is>
          <t>217002278076</t>
        </is>
      </c>
      <c r="F4412">
        <f>IMAGE("https://cf.shopee.tw/file/tw-11134207-7r98o-ll67i8c07hap07_tn")</f>
        <v/>
      </c>
    </row>
    <row r="4413">
      <c r="A4413" t="inlineStr">
        <is>
          <t>22078908109</t>
        </is>
      </c>
      <c r="B4413" t="inlineStr">
        <is>
          <t>隔日到貨🔥 Airpods 保護套 1代 2代 3代 A30 pro pro2 耳機套 矽膠 軟殼 保護殼 蘋果</t>
        </is>
      </c>
      <c r="C4413">
        <f>IMAGE("https://cf.shopee.tw/file/tw-11134207-7r992-ll67i8c10z8130_tn")</f>
        <v/>
      </c>
      <c r="D4413" t="inlineStr">
        <is>
          <t>3. 波浪墨鏡笑臉 + 圖上掛飾,Pro1代/Pro2代 (通用）</t>
        </is>
      </c>
      <c r="E4413" t="inlineStr"/>
      <c r="F4413">
        <f>IMAGE("https://cf.shopee.tw/file/tw-11134207-7r98o-ll67i8c07hap07_tn")</f>
        <v/>
      </c>
    </row>
    <row r="4414">
      <c r="A4414" t="inlineStr">
        <is>
          <t>22078908109</t>
        </is>
      </c>
      <c r="B4414" t="inlineStr">
        <is>
          <t>隔日到貨🔥 Airpods 保護套 1代 2代 3代 A30 pro pro2 耳機套 矽膠 軟殼 保護殼 蘋果</t>
        </is>
      </c>
      <c r="C4414">
        <f>IMAGE("https://cf.shopee.tw/file/tw-11134207-7r992-ll67i8c10z8130_tn")</f>
        <v/>
      </c>
      <c r="D4414" t="inlineStr">
        <is>
          <t>3. 波浪墨鏡笑臉 + 圖上掛飾,3代</t>
        </is>
      </c>
      <c r="E4414" t="inlineStr"/>
      <c r="F4414">
        <f>IMAGE("https://cf.shopee.tw/file/tw-11134207-7r98o-ll67i8c07hap07_tn")</f>
        <v/>
      </c>
    </row>
    <row r="4415">
      <c r="A4415" t="inlineStr">
        <is>
          <t>22078908109</t>
        </is>
      </c>
      <c r="B4415" t="inlineStr">
        <is>
          <t>隔日到貨🔥 Airpods 保護套 1代 2代 3代 A30 pro pro2 耳機套 矽膠 軟殼 保護殼 蘋果</t>
        </is>
      </c>
      <c r="C4415">
        <f>IMAGE("https://cf.shopee.tw/file/tw-11134207-7r992-ll67i8c10z8130_tn")</f>
        <v/>
      </c>
      <c r="D4415" t="inlineStr">
        <is>
          <t>4. 磨砂大樹 + 圖上掛飾,Pro1代/Pro2代 (通用）</t>
        </is>
      </c>
      <c r="E4415" t="inlineStr"/>
      <c r="F4415">
        <f>IMAGE("https://cf.shopee.tw/file/tw-11134207-7r98y-ll67i8bzs0yp57_tn")</f>
        <v/>
      </c>
    </row>
    <row r="4416">
      <c r="A4416" t="inlineStr">
        <is>
          <t>22078908109</t>
        </is>
      </c>
      <c r="B4416" t="inlineStr">
        <is>
          <t>隔日到貨🔥 Airpods 保護套 1代 2代 3代 A30 pro pro2 耳機套 矽膠 軟殼 保護殼 蘋果</t>
        </is>
      </c>
      <c r="C4416">
        <f>IMAGE("https://cf.shopee.tw/file/tw-11134207-7r992-ll67i8c10z8130_tn")</f>
        <v/>
      </c>
      <c r="D4416" t="inlineStr">
        <is>
          <t>4. 磨砂大樹 + 圖上掛飾,3代</t>
        </is>
      </c>
      <c r="E4416" t="inlineStr"/>
      <c r="F4416">
        <f>IMAGE("https://cf.shopee.tw/file/tw-11134207-7r98y-ll67i8bzs0yp57_tn")</f>
        <v/>
      </c>
    </row>
    <row r="4417">
      <c r="A4417" t="inlineStr">
        <is>
          <t>22078908109</t>
        </is>
      </c>
      <c r="B4417" t="inlineStr">
        <is>
          <t>隔日到貨🔥 Airpods 保護套 1代 2代 3代 A30 pro pro2 耳機套 矽膠 軟殼 保護殼 蘋果</t>
        </is>
      </c>
      <c r="C4417">
        <f>IMAGE("https://cf.shopee.tw/file/tw-11134207-7r992-ll67i8c10z8130_tn")</f>
        <v/>
      </c>
      <c r="D4417" t="inlineStr">
        <is>
          <t>5. 粉色愛心 + 圖上掛飾,1代/2代</t>
        </is>
      </c>
      <c r="E4417" t="inlineStr">
        <is>
          <t>217002278078</t>
        </is>
      </c>
      <c r="F4417">
        <f>IMAGE("https://cf.shopee.tw/file/tw-11134207-7r98u-ll67i8bztfj506_tn")</f>
        <v/>
      </c>
    </row>
    <row r="4418">
      <c r="A4418" t="inlineStr">
        <is>
          <t>22078908109</t>
        </is>
      </c>
      <c r="B4418" t="inlineStr">
        <is>
          <t>隔日到貨🔥 Airpods 保護套 1代 2代 3代 A30 pro pro2 耳機套 矽膠 軟殼 保護殼 蘋果</t>
        </is>
      </c>
      <c r="C4418">
        <f>IMAGE("https://cf.shopee.tw/file/tw-11134207-7r992-ll67i8c10z8130_tn")</f>
        <v/>
      </c>
      <c r="D4418" t="inlineStr">
        <is>
          <t>5. 粉色愛心 + 圖上掛飾,Pro1代/Pro2代 (通用）</t>
        </is>
      </c>
      <c r="E4418" t="inlineStr">
        <is>
          <t>235588625785</t>
        </is>
      </c>
      <c r="F4418">
        <f>IMAGE("https://cf.shopee.tw/file/tw-11134207-7r98u-ll67i8bztfj506_tn")</f>
        <v/>
      </c>
    </row>
    <row r="4419">
      <c r="A4419" t="inlineStr">
        <is>
          <t>22078908109</t>
        </is>
      </c>
      <c r="B4419" t="inlineStr">
        <is>
          <t>隔日到貨🔥 Airpods 保護套 1代 2代 3代 A30 pro pro2 耳機套 矽膠 軟殼 保護殼 蘋果</t>
        </is>
      </c>
      <c r="C4419">
        <f>IMAGE("https://cf.shopee.tw/file/tw-11134207-7r992-ll67i8c10z8130_tn")</f>
        <v/>
      </c>
      <c r="D4419" t="inlineStr">
        <is>
          <t>5. 粉色愛心 + 圖上掛飾,3代</t>
        </is>
      </c>
      <c r="E4419" t="inlineStr">
        <is>
          <t>235588625797</t>
        </is>
      </c>
      <c r="F4419">
        <f>IMAGE("https://cf.shopee.tw/file/tw-11134207-7r98u-ll67i8bztfj506_tn")</f>
        <v/>
      </c>
    </row>
    <row r="4420">
      <c r="A4420" t="inlineStr">
        <is>
          <t>22078908109</t>
        </is>
      </c>
      <c r="B4420" t="inlineStr">
        <is>
          <t>隔日到貨🔥 Airpods 保護套 1代 2代 3代 A30 pro pro2 耳機套 矽膠 軟殼 保護殼 蘋果</t>
        </is>
      </c>
      <c r="C4420">
        <f>IMAGE("https://cf.shopee.tw/file/tw-11134207-7r992-ll67i8c10z8130_tn")</f>
        <v/>
      </c>
      <c r="D4420" t="inlineStr">
        <is>
          <t>6. 紫色愛心波浪 + 圖上掛飾,1代/2代</t>
        </is>
      </c>
      <c r="E4420" t="inlineStr"/>
      <c r="F4420">
        <f>IMAGE("https://cf.shopee.tw/file/tw-11134207-7r98s-ll67i8bzqmhd06_tn")</f>
        <v/>
      </c>
    </row>
    <row r="4421">
      <c r="A4421" t="inlineStr">
        <is>
          <t>22078908109</t>
        </is>
      </c>
      <c r="B4421" t="inlineStr">
        <is>
          <t>隔日到貨🔥 Airpods 保護套 1代 2代 3代 A30 pro pro2 耳機套 矽膠 軟殼 保護殼 蘋果</t>
        </is>
      </c>
      <c r="C4421">
        <f>IMAGE("https://cf.shopee.tw/file/tw-11134207-7r992-ll67i8c10z8130_tn")</f>
        <v/>
      </c>
      <c r="D4421" t="inlineStr">
        <is>
          <t>6. 紫色愛心波浪 + 圖上掛飾,Pro1代/Pro2代 (通用）</t>
        </is>
      </c>
      <c r="E4421" t="inlineStr">
        <is>
          <t>235588625788</t>
        </is>
      </c>
      <c r="F4421">
        <f>IMAGE("https://cf.shopee.tw/file/tw-11134207-7r98s-ll67i8bzqmhd06_tn")</f>
        <v/>
      </c>
    </row>
    <row r="4422">
      <c r="A4422" t="inlineStr">
        <is>
          <t>22078908109</t>
        </is>
      </c>
      <c r="B4422" t="inlineStr">
        <is>
          <t>隔日到貨🔥 Airpods 保護套 1代 2代 3代 A30 pro pro2 耳機套 矽膠 軟殼 保護殼 蘋果</t>
        </is>
      </c>
      <c r="C4422">
        <f>IMAGE("https://cf.shopee.tw/file/tw-11134207-7r992-ll67i8c10z8130_tn")</f>
        <v/>
      </c>
      <c r="D4422" t="inlineStr">
        <is>
          <t>6. 紫色愛心波浪 + 圖上掛飾,3代</t>
        </is>
      </c>
      <c r="E4422" t="inlineStr">
        <is>
          <t>235588625793</t>
        </is>
      </c>
      <c r="F4422">
        <f>IMAGE("https://cf.shopee.tw/file/tw-11134207-7r98s-ll67i8bzqmhd06_tn")</f>
        <v/>
      </c>
    </row>
    <row r="4423">
      <c r="A4423" t="inlineStr">
        <is>
          <t>22078908109</t>
        </is>
      </c>
      <c r="B4423" t="inlineStr">
        <is>
          <t>隔日到貨🔥 Airpods 保護套 1代 2代 3代 A30 pro pro2 耳機套 矽膠 軟殼 保護殼 蘋果</t>
        </is>
      </c>
      <c r="C4423">
        <f>IMAGE("https://cf.shopee.tw/file/tw-11134207-7r992-ll67i8c10z8130_tn")</f>
        <v/>
      </c>
      <c r="D4423" t="inlineStr">
        <is>
          <t>7. 魅影愛心熊熊 + 圖上掛飾,1代/2代</t>
        </is>
      </c>
      <c r="E4423" t="inlineStr"/>
      <c r="F4423">
        <f>IMAGE("https://cf.shopee.tw/file/tw-11134207-7r990-ll6cwzrxax29ec_tn")</f>
        <v/>
      </c>
    </row>
    <row r="4424">
      <c r="A4424" t="inlineStr">
        <is>
          <t>22078908109</t>
        </is>
      </c>
      <c r="B4424" t="inlineStr">
        <is>
          <t>隔日到貨🔥 Airpods 保護套 1代 2代 3代 A30 pro pro2 耳機套 矽膠 軟殼 保護殼 蘋果</t>
        </is>
      </c>
      <c r="C4424">
        <f>IMAGE("https://cf.shopee.tw/file/tw-11134207-7r992-ll67i8c10z8130_tn")</f>
        <v/>
      </c>
      <c r="D4424" t="inlineStr">
        <is>
          <t>8. 白雲 + 掛鉤,1代/2代</t>
        </is>
      </c>
      <c r="E4424" t="inlineStr">
        <is>
          <t>217002278072</t>
        </is>
      </c>
      <c r="F4424">
        <f>IMAGE("https://cf.shopee.tw/file/tw-11134207-7r98y-ll6cwzrxcbmp92_tn")</f>
        <v/>
      </c>
    </row>
    <row r="4425">
      <c r="A4425" t="inlineStr">
        <is>
          <t>22078908109</t>
        </is>
      </c>
      <c r="B4425" t="inlineStr">
        <is>
          <t>隔日到貨🔥 Airpods 保護套 1代 2代 3代 A30 pro pro2 耳機套 矽膠 軟殼 保護殼 蘋果</t>
        </is>
      </c>
      <c r="C4425">
        <f>IMAGE("https://cf.shopee.tw/file/tw-11134207-7r992-ll67i8c10z8130_tn")</f>
        <v/>
      </c>
      <c r="D4425" t="inlineStr">
        <is>
          <t>8. 白雲 + 掛鉤,Pro1代/Pro2代 (通用）</t>
        </is>
      </c>
      <c r="E4425" t="inlineStr"/>
      <c r="F4425">
        <f>IMAGE("https://cf.shopee.tw/file/tw-11134207-7r98y-ll6cwzrxcbmp92_tn")</f>
        <v/>
      </c>
    </row>
    <row r="4426">
      <c r="A4426" t="inlineStr">
        <is>
          <t>22078908109</t>
        </is>
      </c>
      <c r="B4426" t="inlineStr">
        <is>
          <t>隔日到貨🔥 Airpods 保護套 1代 2代 3代 A30 pro pro2 耳機套 矽膠 軟殼 保護殼 蘋果</t>
        </is>
      </c>
      <c r="C4426">
        <f>IMAGE("https://cf.shopee.tw/file/tw-11134207-7r992-ll67i8c10z8130_tn")</f>
        <v/>
      </c>
      <c r="D4426" t="inlineStr">
        <is>
          <t>9. 油畫小花 + 掛鉤,1代/2代</t>
        </is>
      </c>
      <c r="E4426" t="inlineStr"/>
      <c r="F4426">
        <f>IMAGE("https://cf.shopee.tw/file/tw-11134207-7r990-ll6cxgoyjo7l5b_tn")</f>
        <v/>
      </c>
    </row>
    <row r="4427">
      <c r="A4427" t="inlineStr">
        <is>
          <t>22078908109</t>
        </is>
      </c>
      <c r="B4427" t="inlineStr">
        <is>
          <t>隔日到貨🔥 Airpods 保護套 1代 2代 3代 A30 pro pro2 耳機套 矽膠 軟殼 保護殼 蘋果</t>
        </is>
      </c>
      <c r="C4427">
        <f>IMAGE("https://cf.shopee.tw/file/tw-11134207-7r992-ll67i8c10z8130_tn")</f>
        <v/>
      </c>
      <c r="D4427" t="inlineStr">
        <is>
          <t>9. 油畫小花 + 掛鉤,Pro1代/Pro2代 (通用）</t>
        </is>
      </c>
      <c r="E4427" t="inlineStr"/>
      <c r="F4427">
        <f>IMAGE("https://cf.shopee.tw/file/tw-11134207-7r990-ll6cxgoyjo7l5b_tn")</f>
        <v/>
      </c>
    </row>
    <row r="4428">
      <c r="A4428" t="inlineStr">
        <is>
          <t>22078908109</t>
        </is>
      </c>
      <c r="B4428" t="inlineStr">
        <is>
          <t>隔日到貨🔥 Airpods 保護套 1代 2代 3代 A30 pro pro2 耳機套 矽膠 軟殼 保護殼 蘋果</t>
        </is>
      </c>
      <c r="C4428">
        <f>IMAGE("https://cf.shopee.tw/file/tw-11134207-7r992-ll67i8c10z8130_tn")</f>
        <v/>
      </c>
      <c r="D4428" t="inlineStr">
        <is>
          <t>9. 油畫小花 + 掛鉤,3代</t>
        </is>
      </c>
      <c r="E4428" t="inlineStr"/>
      <c r="F4428">
        <f>IMAGE("https://cf.shopee.tw/file/tw-11134207-7r990-ll6cxgoyjo7l5b_tn")</f>
        <v/>
      </c>
    </row>
    <row r="4429">
      <c r="A4429" t="inlineStr">
        <is>
          <t>22078908109</t>
        </is>
      </c>
      <c r="B4429" t="inlineStr">
        <is>
          <t>隔日到貨🔥 Airpods 保護套 1代 2代 3代 A30 pro pro2 耳機套 矽膠 軟殼 保護殼 蘋果</t>
        </is>
      </c>
      <c r="C4429">
        <f>IMAGE("https://cf.shopee.tw/file/tw-11134207-7r992-ll67i8c10z8130_tn")</f>
        <v/>
      </c>
      <c r="D4429" t="inlineStr">
        <is>
          <t>10. 油畫彩虹 + 圖上掛飾,1代/2代</t>
        </is>
      </c>
      <c r="E4429" t="inlineStr"/>
      <c r="F4429">
        <f>IMAGE("https://cf.shopee.tw/file/tw-11134207-7r98p-ll6cxgoyl2s165_tn")</f>
        <v/>
      </c>
    </row>
    <row r="4430">
      <c r="A4430" t="inlineStr">
        <is>
          <t>22078908109</t>
        </is>
      </c>
      <c r="B4430" t="inlineStr">
        <is>
          <t>隔日到貨🔥 Airpods 保護套 1代 2代 3代 A30 pro pro2 耳機套 矽膠 軟殼 保護殼 蘋果</t>
        </is>
      </c>
      <c r="C4430">
        <f>IMAGE("https://cf.shopee.tw/file/tw-11134207-7r992-ll67i8c10z8130_tn")</f>
        <v/>
      </c>
      <c r="D4430" t="inlineStr">
        <is>
          <t>10. 油畫彩虹 + 圖上掛飾,Pro1代/Pro2代 (通用）</t>
        </is>
      </c>
      <c r="E4430" t="inlineStr"/>
      <c r="F4430">
        <f>IMAGE("https://cf.shopee.tw/file/tw-11134207-7r98p-ll6cxgoyl2s165_tn")</f>
        <v/>
      </c>
    </row>
    <row r="4431">
      <c r="A4431" t="inlineStr">
        <is>
          <t>22078908109</t>
        </is>
      </c>
      <c r="B4431" t="inlineStr">
        <is>
          <t>隔日到貨🔥 Airpods 保護套 1代 2代 3代 A30 pro pro2 耳機套 矽膠 軟殼 保護殼 蘋果</t>
        </is>
      </c>
      <c r="C4431">
        <f>IMAGE("https://cf.shopee.tw/file/tw-11134207-7r992-ll67i8c10z8130_tn")</f>
        <v/>
      </c>
      <c r="D4431" t="inlineStr">
        <is>
          <t>10. 油畫彩虹 + 圖上掛飾,3代</t>
        </is>
      </c>
      <c r="E4431" t="inlineStr"/>
      <c r="F4431">
        <f>IMAGE("https://cf.shopee.tw/file/tw-11134207-7r98p-ll6cxgoyl2s165_tn")</f>
        <v/>
      </c>
    </row>
    <row r="4432">
      <c r="A4432" t="inlineStr">
        <is>
          <t>7204052897</t>
        </is>
      </c>
      <c r="B4432" t="inlineStr">
        <is>
          <t>隔日到貨🔥 Airpods 1/2代 3代 pro pro2 保護套 A18 耳機殼 耳機套 保護殼airpods</t>
        </is>
      </c>
      <c r="C4432">
        <f>IMAGE("https://cf.shopee.tw/file/d52c73c07cd222f3e4c55fb197624ae4_tn")</f>
        <v/>
      </c>
      <c r="D4432" t="inlineStr">
        <is>
          <t>1.藍色,Pro1代/Pro2代 (通用）</t>
        </is>
      </c>
      <c r="E4432" t="inlineStr"/>
      <c r="F4432">
        <f>IMAGE("https://cf.shopee.tw/file/f9e92798d03946afe093dc6f9928c6e7_tn")</f>
        <v/>
      </c>
    </row>
    <row r="4433">
      <c r="A4433" t="inlineStr">
        <is>
          <t>7204052897</t>
        </is>
      </c>
      <c r="B4433" t="inlineStr">
        <is>
          <t>隔日到貨🔥 Airpods 1/2代 3代 pro pro2 保護套 A18 耳機殼 耳機套 保護殼airpods</t>
        </is>
      </c>
      <c r="C4433">
        <f>IMAGE("https://cf.shopee.tw/file/d52c73c07cd222f3e4c55fb197624ae4_tn")</f>
        <v/>
      </c>
      <c r="D4433" t="inlineStr">
        <is>
          <t>1.藍色,3代</t>
        </is>
      </c>
      <c r="E4433" t="inlineStr"/>
      <c r="F4433">
        <f>IMAGE("https://cf.shopee.tw/file/f9e92798d03946afe093dc6f9928c6e7_tn")</f>
        <v/>
      </c>
    </row>
    <row r="4434">
      <c r="A4434" t="inlineStr">
        <is>
          <t>7204052897</t>
        </is>
      </c>
      <c r="B4434" t="inlineStr">
        <is>
          <t>隔日到貨🔥 Airpods 1/2代 3代 pro pro2 保護套 A18 耳機殼 耳機套 保護殼airpods</t>
        </is>
      </c>
      <c r="C4434">
        <f>IMAGE("https://cf.shopee.tw/file/d52c73c07cd222f3e4c55fb197624ae4_tn")</f>
        <v/>
      </c>
      <c r="D4434" t="inlineStr">
        <is>
          <t>2.黃色,1代 / 2代</t>
        </is>
      </c>
      <c r="E4434" t="inlineStr"/>
      <c r="F4434">
        <f>IMAGE("https://cf.shopee.tw/file/eea1ce1504994d4a46bcd4d6d3a094b2_tn")</f>
        <v/>
      </c>
    </row>
    <row r="4435">
      <c r="A4435" t="inlineStr">
        <is>
          <t>7204052897</t>
        </is>
      </c>
      <c r="B4435" t="inlineStr">
        <is>
          <t>隔日到貨🔥 Airpods 1/2代 3代 pro pro2 保護套 A18 耳機殼 耳機套 保護殼airpods</t>
        </is>
      </c>
      <c r="C4435">
        <f>IMAGE("https://cf.shopee.tw/file/d52c73c07cd222f3e4c55fb197624ae4_tn")</f>
        <v/>
      </c>
      <c r="D4435" t="inlineStr">
        <is>
          <t>2.黃色,Pro1代/Pro2代 (通用）</t>
        </is>
      </c>
      <c r="E4435" t="inlineStr"/>
      <c r="F4435">
        <f>IMAGE("https://cf.shopee.tw/file/eea1ce1504994d4a46bcd4d6d3a094b2_tn")</f>
        <v/>
      </c>
    </row>
    <row r="4436">
      <c r="A4436" t="inlineStr">
        <is>
          <t>7204052897</t>
        </is>
      </c>
      <c r="B4436" t="inlineStr">
        <is>
          <t>隔日到貨🔥 Airpods 1/2代 3代 pro pro2 保護套 A18 耳機殼 耳機套 保護殼airpods</t>
        </is>
      </c>
      <c r="C4436">
        <f>IMAGE("https://cf.shopee.tw/file/d52c73c07cd222f3e4c55fb197624ae4_tn")</f>
        <v/>
      </c>
      <c r="D4436" t="inlineStr">
        <is>
          <t>3.紅色,Pro1代/Pro2代 (通用）</t>
        </is>
      </c>
      <c r="E4436" t="inlineStr"/>
      <c r="F4436">
        <f>IMAGE("https://cf.shopee.tw/file/a5acea620843e77788eb3102c8aa7bda_tn")</f>
        <v/>
      </c>
    </row>
    <row r="4437">
      <c r="A4437" t="inlineStr">
        <is>
          <t>7204052897</t>
        </is>
      </c>
      <c r="B4437" t="inlineStr">
        <is>
          <t>隔日到貨🔥 Airpods 1/2代 3代 pro pro2 保護套 A18 耳機殼 耳機套 保護殼airpods</t>
        </is>
      </c>
      <c r="C4437">
        <f>IMAGE("https://cf.shopee.tw/file/d52c73c07cd222f3e4c55fb197624ae4_tn")</f>
        <v/>
      </c>
      <c r="D4437" t="inlineStr">
        <is>
          <t>3.紅色,3代</t>
        </is>
      </c>
      <c r="E4437" t="inlineStr"/>
      <c r="F4437">
        <f>IMAGE("https://cf.shopee.tw/file/a5acea620843e77788eb3102c8aa7bda_tn")</f>
        <v/>
      </c>
    </row>
    <row r="4438">
      <c r="A4438" t="inlineStr">
        <is>
          <t>7204052897</t>
        </is>
      </c>
      <c r="B4438" t="inlineStr">
        <is>
          <t>隔日到貨🔥 Airpods 1/2代 3代 pro pro2 保護套 A18 耳機殼 耳機套 保護殼airpods</t>
        </is>
      </c>
      <c r="C4438">
        <f>IMAGE("https://cf.shopee.tw/file/d52c73c07cd222f3e4c55fb197624ae4_tn")</f>
        <v/>
      </c>
      <c r="D4438" t="inlineStr">
        <is>
          <t>6.哥吉拉,1代 / 2代</t>
        </is>
      </c>
      <c r="E4438" t="inlineStr"/>
      <c r="F4438">
        <f>IMAGE("https://cf.shopee.tw/file/36216f867bb44cc1d496495dfd7d10c8_tn")</f>
        <v/>
      </c>
    </row>
    <row r="4439">
      <c r="A4439" t="inlineStr">
        <is>
          <t>7204052897</t>
        </is>
      </c>
      <c r="B4439" t="inlineStr">
        <is>
          <t>隔日到貨🔥 Airpods 1/2代 3代 pro pro2 保護套 A18 耳機殼 耳機套 保護殼airpods</t>
        </is>
      </c>
      <c r="C4439">
        <f>IMAGE("https://cf.shopee.tw/file/d52c73c07cd222f3e4c55fb197624ae4_tn")</f>
        <v/>
      </c>
      <c r="D4439" t="inlineStr">
        <is>
          <t>6.哥吉拉,Pro1代/Pro2代 (通用）</t>
        </is>
      </c>
      <c r="E4439" t="inlineStr"/>
      <c r="F4439">
        <f>IMAGE("https://cf.shopee.tw/file/36216f867bb44cc1d496495dfd7d10c8_tn")</f>
        <v/>
      </c>
    </row>
    <row r="4440">
      <c r="A4440" t="inlineStr">
        <is>
          <t>7204052897</t>
        </is>
      </c>
      <c r="B4440" t="inlineStr">
        <is>
          <t>隔日到貨🔥 Airpods 1/2代 3代 pro pro2 保護套 A18 耳機殼 耳機套 保護殼airpods</t>
        </is>
      </c>
      <c r="C4440">
        <f>IMAGE("https://cf.shopee.tw/file/d52c73c07cd222f3e4c55fb197624ae4_tn")</f>
        <v/>
      </c>
      <c r="D4440" t="inlineStr">
        <is>
          <t>6.哥吉拉,3代</t>
        </is>
      </c>
      <c r="E4440" t="inlineStr"/>
      <c r="F4440">
        <f>IMAGE("https://cf.shopee.tw/file/36216f867bb44cc1d496495dfd7d10c8_tn")</f>
        <v/>
      </c>
    </row>
    <row r="4441">
      <c r="A4441" t="inlineStr">
        <is>
          <t>7204052897</t>
        </is>
      </c>
      <c r="B4441" t="inlineStr">
        <is>
          <t>隔日到貨🔥 Airpods 1/2代 3代 pro pro2 保護套 A18 耳機殼 耳機套 保護殼airpods</t>
        </is>
      </c>
      <c r="C4441">
        <f>IMAGE("https://cf.shopee.tw/file/d52c73c07cd222f3e4c55fb197624ae4_tn")</f>
        <v/>
      </c>
      <c r="D4441" t="inlineStr">
        <is>
          <t>1.藍色,1代 / 2代</t>
        </is>
      </c>
      <c r="E4441" t="inlineStr">
        <is>
          <t>91018428226</t>
        </is>
      </c>
      <c r="F4441">
        <f>IMAGE("https://cf.shopee.tw/file/f9e92798d03946afe093dc6f9928c6e7_tn")</f>
        <v/>
      </c>
    </row>
    <row r="4442">
      <c r="A4442" t="inlineStr">
        <is>
          <t>7204052897</t>
        </is>
      </c>
      <c r="B4442" t="inlineStr">
        <is>
          <t>隔日到貨🔥 Airpods 1/2代 3代 pro pro2 保護套 A18 耳機殼 耳機套 保護殼airpods</t>
        </is>
      </c>
      <c r="C4442">
        <f>IMAGE("https://cf.shopee.tw/file/d52c73c07cd222f3e4c55fb197624ae4_tn")</f>
        <v/>
      </c>
      <c r="D4442" t="inlineStr">
        <is>
          <t>2.黃色,3代</t>
        </is>
      </c>
      <c r="E4442" t="inlineStr">
        <is>
          <t>167893477377</t>
        </is>
      </c>
      <c r="F4442">
        <f>IMAGE("https://cf.shopee.tw/file/eea1ce1504994d4a46bcd4d6d3a094b2_tn")</f>
        <v/>
      </c>
    </row>
    <row r="4443">
      <c r="A4443" t="inlineStr">
        <is>
          <t>7204052897</t>
        </is>
      </c>
      <c r="B4443" t="inlineStr">
        <is>
          <t>隔日到貨🔥 Airpods 1/2代 3代 pro pro2 保護套 A18 耳機殼 耳機套 保護殼airpods</t>
        </is>
      </c>
      <c r="C4443">
        <f>IMAGE("https://cf.shopee.tw/file/d52c73c07cd222f3e4c55fb197624ae4_tn")</f>
        <v/>
      </c>
      <c r="D4443" t="inlineStr">
        <is>
          <t>3.紅色,1代 / 2代</t>
        </is>
      </c>
      <c r="E4443" t="inlineStr"/>
      <c r="F4443">
        <f>IMAGE("https://cf.shopee.tw/file/a5acea620843e77788eb3102c8aa7bda_tn")</f>
        <v/>
      </c>
    </row>
    <row r="4444">
      <c r="A4444" t="inlineStr">
        <is>
          <t>7204052897</t>
        </is>
      </c>
      <c r="B4444" t="inlineStr">
        <is>
          <t>隔日到貨🔥 Airpods 1/2代 3代 pro pro2 保護套 A18 耳機殼 耳機套 保護殼airpods</t>
        </is>
      </c>
      <c r="C4444">
        <f>IMAGE("https://cf.shopee.tw/file/d52c73c07cd222f3e4c55fb197624ae4_tn")</f>
        <v/>
      </c>
      <c r="D4444" t="inlineStr">
        <is>
          <t>4.珍奶,1代 / 2代</t>
        </is>
      </c>
      <c r="E4444" t="inlineStr">
        <is>
          <t>91018428224</t>
        </is>
      </c>
      <c r="F4444">
        <f>IMAGE("https://cf.shopee.tw/file/9d2016f1d4681bd336227fbe430e398e_tn")</f>
        <v/>
      </c>
    </row>
    <row r="4445">
      <c r="A4445" t="inlineStr">
        <is>
          <t>7204052897</t>
        </is>
      </c>
      <c r="B4445" t="inlineStr">
        <is>
          <t>隔日到貨🔥 Airpods 1/2代 3代 pro pro2 保護套 A18 耳機殼 耳機套 保護殼airpods</t>
        </is>
      </c>
      <c r="C4445">
        <f>IMAGE("https://cf.shopee.tw/file/d52c73c07cd222f3e4c55fb197624ae4_tn")</f>
        <v/>
      </c>
      <c r="D4445" t="inlineStr">
        <is>
          <t>4.珍奶,Pro1代/Pro2代 (通用）</t>
        </is>
      </c>
      <c r="E4445" t="inlineStr"/>
      <c r="F4445">
        <f>IMAGE("https://cf.shopee.tw/file/9d2016f1d4681bd336227fbe430e398e_tn")</f>
        <v/>
      </c>
    </row>
    <row r="4446">
      <c r="A4446" t="inlineStr">
        <is>
          <t>7204052897</t>
        </is>
      </c>
      <c r="B4446" t="inlineStr">
        <is>
          <t>隔日到貨🔥 Airpods 1/2代 3代 pro pro2 保護套 A18 耳機殼 耳機套 保護殼airpods</t>
        </is>
      </c>
      <c r="C4446">
        <f>IMAGE("https://cf.shopee.tw/file/d52c73c07cd222f3e4c55fb197624ae4_tn")</f>
        <v/>
      </c>
      <c r="D4446" t="inlineStr">
        <is>
          <t>4.珍奶,3代</t>
        </is>
      </c>
      <c r="E4446" t="inlineStr">
        <is>
          <t>167893477378</t>
        </is>
      </c>
      <c r="F4446">
        <f>IMAGE("https://cf.shopee.tw/file/9d2016f1d4681bd336227fbe430e398e_tn")</f>
        <v/>
      </c>
    </row>
    <row r="4447">
      <c r="A4447" t="inlineStr">
        <is>
          <t>7204052897</t>
        </is>
      </c>
      <c r="B4447" t="inlineStr">
        <is>
          <t>隔日到貨🔥 Airpods 1/2代 3代 pro pro2 保護套 A18 耳機殼 耳機套 保護殼airpods</t>
        </is>
      </c>
      <c r="C4447">
        <f>IMAGE("https://cf.shopee.tw/file/d52c73c07cd222f3e4c55fb197624ae4_tn")</f>
        <v/>
      </c>
      <c r="D4447" t="inlineStr">
        <is>
          <t>5.蜂蜜罐,1代 / 2代</t>
        </is>
      </c>
      <c r="E4447" t="inlineStr"/>
      <c r="F4447">
        <f>IMAGE("https://cf.shopee.tw/file/04263f2ce8b89983acbbf1510f670093_tn")</f>
        <v/>
      </c>
    </row>
    <row r="4448">
      <c r="A4448" t="inlineStr">
        <is>
          <t>7204052897</t>
        </is>
      </c>
      <c r="B4448" t="inlineStr">
        <is>
          <t>隔日到貨🔥 Airpods 1/2代 3代 pro pro2 保護套 A18 耳機殼 耳機套 保護殼airpods</t>
        </is>
      </c>
      <c r="C4448">
        <f>IMAGE("https://cf.shopee.tw/file/d52c73c07cd222f3e4c55fb197624ae4_tn")</f>
        <v/>
      </c>
      <c r="D4448" t="inlineStr">
        <is>
          <t>5.蜂蜜罐,Pro1代/Pro2代 (通用）</t>
        </is>
      </c>
      <c r="E4448" t="inlineStr">
        <is>
          <t>91018428233</t>
        </is>
      </c>
      <c r="F4448">
        <f>IMAGE("https://cf.shopee.tw/file/04263f2ce8b89983acbbf1510f670093_tn")</f>
        <v/>
      </c>
    </row>
    <row r="4449">
      <c r="A4449" t="inlineStr">
        <is>
          <t>7204052897</t>
        </is>
      </c>
      <c r="B4449" t="inlineStr">
        <is>
          <t>隔日到貨🔥 Airpods 1/2代 3代 pro pro2 保護套 A18 耳機殼 耳機套 保護殼airpods</t>
        </is>
      </c>
      <c r="C4449">
        <f>IMAGE("https://cf.shopee.tw/file/d52c73c07cd222f3e4c55fb197624ae4_tn")</f>
        <v/>
      </c>
      <c r="D4449" t="inlineStr">
        <is>
          <t>5.蜂蜜罐,3代</t>
        </is>
      </c>
      <c r="E4449" t="inlineStr">
        <is>
          <t>167893477382</t>
        </is>
      </c>
      <c r="F4449">
        <f>IMAGE("https://cf.shopee.tw/file/04263f2ce8b89983acbbf1510f670093_tn")</f>
        <v/>
      </c>
    </row>
    <row r="4450">
      <c r="A4450" t="inlineStr">
        <is>
          <t>19325086621</t>
        </is>
      </c>
      <c r="B4450" t="inlineStr">
        <is>
          <t>隔日到貨🔥 Airpods 保護套 1代 2代 3代 pro pro2 耳機套 A10 17 防摔 軟殼 保護殼</t>
        </is>
      </c>
      <c r="C4450">
        <f>IMAGE("https://cf.shopee.tw/file/tw-11134207-23030-n9lo2czq3jov7a_tn")</f>
        <v/>
      </c>
      <c r="D4450" t="inlineStr">
        <is>
          <t>2.魔鬼魚 (附掛鉤),1代 / 2代</t>
        </is>
      </c>
      <c r="E4450" t="inlineStr"/>
      <c r="F4450">
        <f>IMAGE("https://cf.shopee.tw/file/de2d1e04569236e541494d2d4fdba368_tn")</f>
        <v/>
      </c>
    </row>
    <row r="4451">
      <c r="A4451" t="inlineStr">
        <is>
          <t>19325086621</t>
        </is>
      </c>
      <c r="B4451" t="inlineStr">
        <is>
          <t>隔日到貨🔥 Airpods 保護套 1代 2代 3代 pro pro2 耳機套 A10 17 防摔 軟殼 保護殼</t>
        </is>
      </c>
      <c r="C4451">
        <f>IMAGE("https://cf.shopee.tw/file/tw-11134207-23030-n9lo2czq3jov7a_tn")</f>
        <v/>
      </c>
      <c r="D4451" t="inlineStr">
        <is>
          <t>5.九宮格狗(附圖上掛飾),［3代］</t>
        </is>
      </c>
      <c r="E4451" t="inlineStr"/>
      <c r="F4451">
        <f>IMAGE("https://cf.shopee.tw/file/tw-11134207-23030-mi346zjt3jov0f_tn")</f>
        <v/>
      </c>
    </row>
    <row r="4452">
      <c r="A4452" t="inlineStr">
        <is>
          <t>19325086621</t>
        </is>
      </c>
      <c r="B4452" t="inlineStr">
        <is>
          <t>隔日到貨🔥 Airpods 保護套 1代 2代 3代 pro pro2 耳機套 A10 17 防摔 軟殼 保護殼</t>
        </is>
      </c>
      <c r="C4452">
        <f>IMAGE("https://cf.shopee.tw/file/tw-11134207-23030-n9lo2czq3jov7a_tn")</f>
        <v/>
      </c>
      <c r="D4452" t="inlineStr">
        <is>
          <t>1.Boo小怪(附掛鉤),1代 / 2代</t>
        </is>
      </c>
      <c r="E4452" t="inlineStr">
        <is>
          <t>48950350206</t>
        </is>
      </c>
      <c r="F4452">
        <f>IMAGE("https://cf.shopee.tw/file/dcc03588d73a6f524f3ce4138ad64f27_tn")</f>
        <v/>
      </c>
    </row>
    <row r="4453">
      <c r="A4453" t="inlineStr">
        <is>
          <t>19325086621</t>
        </is>
      </c>
      <c r="B4453" t="inlineStr">
        <is>
          <t>隔日到貨🔥 Airpods 保護套 1代 2代 3代 pro pro2 耳機套 A10 17 防摔 軟殼 保護殼</t>
        </is>
      </c>
      <c r="C4453">
        <f>IMAGE("https://cf.shopee.tw/file/tw-11134207-23030-n9lo2czq3jov7a_tn")</f>
        <v/>
      </c>
      <c r="D4453" t="inlineStr">
        <is>
          <t>1.Boo小怪(附掛鉤),Pro1代/Pro2代 (通用）</t>
        </is>
      </c>
      <c r="E4453" t="inlineStr"/>
      <c r="F4453">
        <f>IMAGE("https://cf.shopee.tw/file/dcc03588d73a6f524f3ce4138ad64f27_tn")</f>
        <v/>
      </c>
    </row>
    <row r="4454">
      <c r="A4454" t="inlineStr">
        <is>
          <t>19325086621</t>
        </is>
      </c>
      <c r="B4454" t="inlineStr">
        <is>
          <t>隔日到貨🔥 Airpods 保護套 1代 2代 3代 pro pro2 耳機套 A10 17 防摔 軟殼 保護殼</t>
        </is>
      </c>
      <c r="C4454">
        <f>IMAGE("https://cf.shopee.tw/file/tw-11134207-23030-n9lo2czq3jov7a_tn")</f>
        <v/>
      </c>
      <c r="D4454" t="inlineStr">
        <is>
          <t>1.Boo小怪(附掛鉤),［3代］</t>
        </is>
      </c>
      <c r="E4454" t="inlineStr"/>
      <c r="F4454">
        <f>IMAGE("https://cf.shopee.tw/file/dcc03588d73a6f524f3ce4138ad64f27_tn")</f>
        <v/>
      </c>
    </row>
    <row r="4455">
      <c r="A4455" t="inlineStr">
        <is>
          <t>19325086621</t>
        </is>
      </c>
      <c r="B4455" t="inlineStr">
        <is>
          <t>隔日到貨🔥 Airpods 保護套 1代 2代 3代 pro pro2 耳機套 A10 17 防摔 軟殼 保護殼</t>
        </is>
      </c>
      <c r="C4455">
        <f>IMAGE("https://cf.shopee.tw/file/tw-11134207-23030-n9lo2czq3jov7a_tn")</f>
        <v/>
      </c>
      <c r="D4455" t="inlineStr">
        <is>
          <t>2.魔鬼魚 (附掛鉤),Pro1代/Pro2代 (通用）</t>
        </is>
      </c>
      <c r="E4455" t="inlineStr">
        <is>
          <t>48950350210</t>
        </is>
      </c>
      <c r="F4455">
        <f>IMAGE("https://cf.shopee.tw/file/de2d1e04569236e541494d2d4fdba368_tn")</f>
        <v/>
      </c>
    </row>
    <row r="4456">
      <c r="A4456" t="inlineStr">
        <is>
          <t>19325086621</t>
        </is>
      </c>
      <c r="B4456" t="inlineStr">
        <is>
          <t>隔日到貨🔥 Airpods 保護套 1代 2代 3代 pro pro2 耳機套 A10 17 防摔 軟殼 保護殼</t>
        </is>
      </c>
      <c r="C4456">
        <f>IMAGE("https://cf.shopee.tw/file/tw-11134207-23030-n9lo2czq3jov7a_tn")</f>
        <v/>
      </c>
      <c r="D4456" t="inlineStr">
        <is>
          <t>2.魔鬼魚 (附掛鉤),［3代］</t>
        </is>
      </c>
      <c r="E4456" t="inlineStr"/>
      <c r="F4456">
        <f>IMAGE("https://cf.shopee.tw/file/de2d1e04569236e541494d2d4fdba368_tn")</f>
        <v/>
      </c>
    </row>
    <row r="4457">
      <c r="A4457" t="inlineStr">
        <is>
          <t>19325086621</t>
        </is>
      </c>
      <c r="B4457" t="inlineStr">
        <is>
          <t>隔日到貨🔥 Airpods 保護套 1代 2代 3代 pro pro2 耳機套 A10 17 防摔 軟殼 保護殼</t>
        </is>
      </c>
      <c r="C4457">
        <f>IMAGE("https://cf.shopee.tw/file/tw-11134207-23030-n9lo2czq3jov7a_tn")</f>
        <v/>
      </c>
      <c r="D4457" t="inlineStr">
        <is>
          <t>3.下巴熊(附圖上吊飾),1代 / 2代</t>
        </is>
      </c>
      <c r="E4457" t="inlineStr"/>
      <c r="F4457">
        <f>IMAGE("https://cf.shopee.tw/file/81244f5bb14c30e1b047736005b87e44_tn")</f>
        <v/>
      </c>
    </row>
    <row r="4458">
      <c r="A4458" t="inlineStr">
        <is>
          <t>19325086621</t>
        </is>
      </c>
      <c r="B4458" t="inlineStr">
        <is>
          <t>隔日到貨🔥 Airpods 保護套 1代 2代 3代 pro pro2 耳機套 A10 17 防摔 軟殼 保護殼</t>
        </is>
      </c>
      <c r="C4458">
        <f>IMAGE("https://cf.shopee.tw/file/tw-11134207-23030-n9lo2czq3jov7a_tn")</f>
        <v/>
      </c>
      <c r="D4458" t="inlineStr">
        <is>
          <t>3.下巴熊(附圖上吊飾),Pro1代/Pro2代 (通用）</t>
        </is>
      </c>
      <c r="E4458" t="inlineStr"/>
      <c r="F4458">
        <f>IMAGE("https://cf.shopee.tw/file/81244f5bb14c30e1b047736005b87e44_tn")</f>
        <v/>
      </c>
    </row>
    <row r="4459">
      <c r="A4459" t="inlineStr">
        <is>
          <t>19325086621</t>
        </is>
      </c>
      <c r="B4459" t="inlineStr">
        <is>
          <t>隔日到貨🔥 Airpods 保護套 1代 2代 3代 pro pro2 耳機套 A10 17 防摔 軟殼 保護殼</t>
        </is>
      </c>
      <c r="C4459">
        <f>IMAGE("https://cf.shopee.tw/file/tw-11134207-23030-n9lo2czq3jov7a_tn")</f>
        <v/>
      </c>
      <c r="D4459" t="inlineStr">
        <is>
          <t>3.下巴熊(附圖上吊飾),［3代］</t>
        </is>
      </c>
      <c r="E4459" t="inlineStr"/>
      <c r="F4459">
        <f>IMAGE("https://cf.shopee.tw/file/81244f5bb14c30e1b047736005b87e44_tn")</f>
        <v/>
      </c>
    </row>
    <row r="4460">
      <c r="A4460" t="inlineStr">
        <is>
          <t>19325086621</t>
        </is>
      </c>
      <c r="B4460" t="inlineStr">
        <is>
          <t>隔日到貨🔥 Airpods 保護套 1代 2代 3代 pro pro2 耳機套 A10 17 防摔 軟殼 保護殼</t>
        </is>
      </c>
      <c r="C4460">
        <f>IMAGE("https://cf.shopee.tw/file/tw-11134207-23030-n9lo2czq3jov7a_tn")</f>
        <v/>
      </c>
      <c r="D4460" t="inlineStr">
        <is>
          <t>4.柴犬(附圖上吊飾),1代 / 2代</t>
        </is>
      </c>
      <c r="E4460" t="inlineStr">
        <is>
          <t>192377861876</t>
        </is>
      </c>
      <c r="F4460">
        <f>IMAGE("https://cf.shopee.tw/file/fd94df8b9e12de17df968ba0487c804f_tn")</f>
        <v/>
      </c>
    </row>
    <row r="4461">
      <c r="A4461" t="inlineStr">
        <is>
          <t>19325086621</t>
        </is>
      </c>
      <c r="B4461" t="inlineStr">
        <is>
          <t>隔日到貨🔥 Airpods 保護套 1代 2代 3代 pro pro2 耳機套 A10 17 防摔 軟殼 保護殼</t>
        </is>
      </c>
      <c r="C4461">
        <f>IMAGE("https://cf.shopee.tw/file/tw-11134207-23030-n9lo2czq3jov7a_tn")</f>
        <v/>
      </c>
      <c r="D4461" t="inlineStr">
        <is>
          <t>4.柴犬(附圖上吊飾),Pro1代/Pro2代 (通用）</t>
        </is>
      </c>
      <c r="E4461" t="inlineStr">
        <is>
          <t>192377861877</t>
        </is>
      </c>
      <c r="F4461">
        <f>IMAGE("https://cf.shopee.tw/file/fd94df8b9e12de17df968ba0487c804f_tn")</f>
        <v/>
      </c>
    </row>
    <row r="4462">
      <c r="A4462" t="inlineStr">
        <is>
          <t>19325086621</t>
        </is>
      </c>
      <c r="B4462" t="inlineStr">
        <is>
          <t>隔日到貨🔥 Airpods 保護套 1代 2代 3代 pro pro2 耳機套 A10 17 防摔 軟殼 保護殼</t>
        </is>
      </c>
      <c r="C4462">
        <f>IMAGE("https://cf.shopee.tw/file/tw-11134207-23030-n9lo2czq3jov7a_tn")</f>
        <v/>
      </c>
      <c r="D4462" t="inlineStr">
        <is>
          <t>4.柴犬(附圖上吊飾),［3代］</t>
        </is>
      </c>
      <c r="E4462" t="inlineStr"/>
      <c r="F4462">
        <f>IMAGE("https://cf.shopee.tw/file/fd94df8b9e12de17df968ba0487c804f_tn")</f>
        <v/>
      </c>
    </row>
    <row r="4463">
      <c r="A4463" t="inlineStr">
        <is>
          <t>19325086621</t>
        </is>
      </c>
      <c r="B4463" t="inlineStr">
        <is>
          <t>隔日到貨🔥 Airpods 保護套 1代 2代 3代 pro pro2 耳機套 A10 17 防摔 軟殼 保護殼</t>
        </is>
      </c>
      <c r="C4463">
        <f>IMAGE("https://cf.shopee.tw/file/tw-11134207-23030-n9lo2czq3jov7a_tn")</f>
        <v/>
      </c>
      <c r="D4463" t="inlineStr">
        <is>
          <t>5.九宮格狗(附圖上掛飾),1代 / 2代</t>
        </is>
      </c>
      <c r="E4463" t="inlineStr"/>
      <c r="F4463">
        <f>IMAGE("https://cf.shopee.tw/file/tw-11134207-23030-mi346zjt3jov0f_tn")</f>
        <v/>
      </c>
    </row>
    <row r="4464">
      <c r="A4464" t="inlineStr">
        <is>
          <t>19325086621</t>
        </is>
      </c>
      <c r="B4464" t="inlineStr">
        <is>
          <t>隔日到貨🔥 Airpods 保護套 1代 2代 3代 pro pro2 耳機套 A10 17 防摔 軟殼 保護殼</t>
        </is>
      </c>
      <c r="C4464">
        <f>IMAGE("https://cf.shopee.tw/file/tw-11134207-23030-n9lo2czq3jov7a_tn")</f>
        <v/>
      </c>
      <c r="D4464" t="inlineStr">
        <is>
          <t>5.九宮格狗(附圖上掛飾),Pro1代/Pro2代 (通用）</t>
        </is>
      </c>
      <c r="E4464" t="inlineStr"/>
      <c r="F4464">
        <f>IMAGE("https://cf.shopee.tw/file/tw-11134207-23030-mi346zjt3jov0f_tn")</f>
        <v/>
      </c>
    </row>
    <row r="4465">
      <c r="A4465" t="inlineStr">
        <is>
          <t>19325086621</t>
        </is>
      </c>
      <c r="B4465" t="inlineStr">
        <is>
          <t>隔日到貨🔥 Airpods 保護套 1代 2代 3代 pro pro2 耳機套 A10 17 防摔 軟殼 保護殼</t>
        </is>
      </c>
      <c r="C4465">
        <f>IMAGE("https://cf.shopee.tw/file/tw-11134207-23030-n9lo2czq3jov7a_tn")</f>
        <v/>
      </c>
      <c r="D4465" t="inlineStr">
        <is>
          <t>6.條紋黃花(附圖上掛飾),1代 / 2代</t>
        </is>
      </c>
      <c r="E4465" t="inlineStr">
        <is>
          <t>221213176633</t>
        </is>
      </c>
      <c r="F4465">
        <f>IMAGE("https://cf.shopee.tw/file/tw-11134207-23030-mm2t1lnt3jovf7_tn")</f>
        <v/>
      </c>
    </row>
    <row r="4466">
      <c r="A4466" t="inlineStr">
        <is>
          <t>19325086621</t>
        </is>
      </c>
      <c r="B4466" t="inlineStr">
        <is>
          <t>隔日到貨🔥 Airpods 保護套 1代 2代 3代 pro pro2 耳機套 A10 17 防摔 軟殼 保護殼</t>
        </is>
      </c>
      <c r="C4466">
        <f>IMAGE("https://cf.shopee.tw/file/tw-11134207-23030-n9lo2czq3jov7a_tn")</f>
        <v/>
      </c>
      <c r="D4466" t="inlineStr">
        <is>
          <t>6.條紋黃花(附圖上掛飾),Pro1代/Pro2代 (通用）</t>
        </is>
      </c>
      <c r="E4466" t="inlineStr">
        <is>
          <t>221213176639</t>
        </is>
      </c>
      <c r="F4466">
        <f>IMAGE("https://cf.shopee.tw/file/tw-11134207-23030-mm2t1lnt3jovf7_tn")</f>
        <v/>
      </c>
    </row>
    <row r="4467">
      <c r="A4467" t="inlineStr">
        <is>
          <t>19325086621</t>
        </is>
      </c>
      <c r="B4467" t="inlineStr">
        <is>
          <t>隔日到貨🔥 Airpods 保護套 1代 2代 3代 pro pro2 耳機套 A10 17 防摔 軟殼 保護殼</t>
        </is>
      </c>
      <c r="C4467">
        <f>IMAGE("https://cf.shopee.tw/file/tw-11134207-23030-n9lo2czq3jov7a_tn")</f>
        <v/>
      </c>
      <c r="D4467" t="inlineStr">
        <is>
          <t>6.條紋黃花(附圖上掛飾),［3代］</t>
        </is>
      </c>
      <c r="E4467" t="inlineStr"/>
      <c r="F4467">
        <f>IMAGE("https://cf.shopee.tw/file/tw-11134207-23030-mm2t1lnt3jovf7_tn")</f>
        <v/>
      </c>
    </row>
    <row r="4468">
      <c r="A4468" t="inlineStr">
        <is>
          <t>15276471498</t>
        </is>
      </c>
      <c r="B4468" t="inlineStr">
        <is>
          <t>隔日到貨🔥 iPhone 手機殼 14 13 12 11 pro Max XS XR SE 8plus 保護殼 軟殼</t>
        </is>
      </c>
      <c r="C4468">
        <f>IMAGE("https://cf.shopee.tw/file/sg-11134201-22110-u6roa45vgdkv6f_tn")</f>
        <v/>
      </c>
      <c r="D4468" t="inlineStr">
        <is>
          <t>相框古董白,7 / 8 / SE2 / SE3</t>
        </is>
      </c>
      <c r="E4468" t="inlineStr"/>
      <c r="F4468">
        <f>IMAGE("https://cf.shopee.tw/file/sg-11134201-22110-vvqyy8wugdkv7b_tn")</f>
        <v/>
      </c>
    </row>
    <row r="4469">
      <c r="A4469" t="inlineStr">
        <is>
          <t>15276471498</t>
        </is>
      </c>
      <c r="B4469" t="inlineStr">
        <is>
          <t>隔日到貨🔥 iPhone 手機殼 14 13 12 11 pro Max XS XR SE 8plus 保護殼 軟殼</t>
        </is>
      </c>
      <c r="C4469">
        <f>IMAGE("https://cf.shopee.tw/file/sg-11134201-22110-u6roa45vgdkv6f_tn")</f>
        <v/>
      </c>
      <c r="D4469" t="inlineStr">
        <is>
          <t>相框古董白,XR</t>
        </is>
      </c>
      <c r="E4469" t="inlineStr"/>
      <c r="F4469">
        <f>IMAGE("https://cf.shopee.tw/file/sg-11134201-22110-vvqyy8wugdkv7b_tn")</f>
        <v/>
      </c>
    </row>
    <row r="4470">
      <c r="A4470" t="inlineStr">
        <is>
          <t>15276471498</t>
        </is>
      </c>
      <c r="B4470" t="inlineStr">
        <is>
          <t>隔日到貨🔥 iPhone 手機殼 14 13 12 11 pro Max XS XR SE 8plus 保護殼 軟殼</t>
        </is>
      </c>
      <c r="C4470">
        <f>IMAGE("https://cf.shopee.tw/file/sg-11134201-22110-u6roa45vgdkv6f_tn")</f>
        <v/>
      </c>
      <c r="D4470" t="inlineStr">
        <is>
          <t>相框古董白,11 Pro</t>
        </is>
      </c>
      <c r="E4470" t="inlineStr"/>
      <c r="F4470">
        <f>IMAGE("https://cf.shopee.tw/file/sg-11134201-22110-vvqyy8wugdkv7b_tn")</f>
        <v/>
      </c>
    </row>
    <row r="4471">
      <c r="A4471" t="inlineStr">
        <is>
          <t>15276471498</t>
        </is>
      </c>
      <c r="B4471" t="inlineStr">
        <is>
          <t>隔日到貨🔥 iPhone 手機殼 14 13 12 11 pro Max XS XR SE 8plus 保護殼 軟殼</t>
        </is>
      </c>
      <c r="C4471">
        <f>IMAGE("https://cf.shopee.tw/file/sg-11134201-22110-u6roa45vgdkv6f_tn")</f>
        <v/>
      </c>
      <c r="D4471" t="inlineStr">
        <is>
          <t>相框古董白,12</t>
        </is>
      </c>
      <c r="E4471" t="inlineStr"/>
      <c r="F4471">
        <f>IMAGE("https://cf.shopee.tw/file/sg-11134201-22110-vvqyy8wugdkv7b_tn")</f>
        <v/>
      </c>
    </row>
    <row r="4472">
      <c r="A4472" t="inlineStr">
        <is>
          <t>15276471498</t>
        </is>
      </c>
      <c r="B4472" t="inlineStr">
        <is>
          <t>隔日到貨🔥 iPhone 手機殼 14 13 12 11 pro Max XS XR SE 8plus 保護殼 軟殼</t>
        </is>
      </c>
      <c r="C4472">
        <f>IMAGE("https://cf.shopee.tw/file/sg-11134201-22110-u6roa45vgdkv6f_tn")</f>
        <v/>
      </c>
      <c r="D4472" t="inlineStr">
        <is>
          <t>相框古董白,13 pro Max</t>
        </is>
      </c>
      <c r="E4472" t="inlineStr"/>
      <c r="F4472">
        <f>IMAGE("https://cf.shopee.tw/file/sg-11134201-22110-vvqyy8wugdkv7b_tn")</f>
        <v/>
      </c>
    </row>
    <row r="4473">
      <c r="A4473" t="inlineStr">
        <is>
          <t>15276471498</t>
        </is>
      </c>
      <c r="B4473" t="inlineStr">
        <is>
          <t>隔日到貨🔥 iPhone 手機殼 14 13 12 11 pro Max XS XR SE 8plus 保護殼 軟殼</t>
        </is>
      </c>
      <c r="C4473">
        <f>IMAGE("https://cf.shopee.tw/file/sg-11134201-22110-u6roa45vgdkv6f_tn")</f>
        <v/>
      </c>
      <c r="D4473" t="inlineStr">
        <is>
          <t>相框古董白,7Plus / 8Plus</t>
        </is>
      </c>
      <c r="E4473" t="inlineStr"/>
      <c r="F4473">
        <f>IMAGE("https://cf.shopee.tw/file/sg-11134201-22110-vvqyy8wugdkv7b_tn")</f>
        <v/>
      </c>
    </row>
    <row r="4474">
      <c r="A4474" t="inlineStr">
        <is>
          <t>15276471498</t>
        </is>
      </c>
      <c r="B4474" t="inlineStr">
        <is>
          <t>隔日到貨🔥 iPhone 手機殼 14 13 12 11 pro Max XS XR SE 8plus 保護殼 軟殼</t>
        </is>
      </c>
      <c r="C4474">
        <f>IMAGE("https://cf.shopee.tw/file/sg-11134201-22110-u6roa45vgdkv6f_tn")</f>
        <v/>
      </c>
      <c r="D4474" t="inlineStr">
        <is>
          <t>相框古董白,X / XS</t>
        </is>
      </c>
      <c r="E4474" t="inlineStr">
        <is>
          <t>125316965866</t>
        </is>
      </c>
      <c r="F4474">
        <f>IMAGE("https://cf.shopee.tw/file/sg-11134201-22110-vvqyy8wugdkv7b_tn")</f>
        <v/>
      </c>
    </row>
    <row r="4475">
      <c r="A4475" t="inlineStr">
        <is>
          <t>15276471498</t>
        </is>
      </c>
      <c r="B4475" t="inlineStr">
        <is>
          <t>隔日到貨🔥 iPhone 手機殼 14 13 12 11 pro Max XS XR SE 8plus 保護殼 軟殼</t>
        </is>
      </c>
      <c r="C4475">
        <f>IMAGE("https://cf.shopee.tw/file/sg-11134201-22110-u6roa45vgdkv6f_tn")</f>
        <v/>
      </c>
      <c r="D4475" t="inlineStr">
        <is>
          <t>相框古董白,XS Max</t>
        </is>
      </c>
      <c r="E4475" t="inlineStr"/>
      <c r="F4475">
        <f>IMAGE("https://cf.shopee.tw/file/sg-11134201-22110-vvqyy8wugdkv7b_tn")</f>
        <v/>
      </c>
    </row>
    <row r="4476">
      <c r="A4476" t="inlineStr">
        <is>
          <t>15276471498</t>
        </is>
      </c>
      <c r="B4476" t="inlineStr">
        <is>
          <t>隔日到貨🔥 iPhone 手機殼 14 13 12 11 pro Max XS XR SE 8plus 保護殼 軟殼</t>
        </is>
      </c>
      <c r="C4476">
        <f>IMAGE("https://cf.shopee.tw/file/sg-11134201-22110-u6roa45vgdkv6f_tn")</f>
        <v/>
      </c>
      <c r="D4476" t="inlineStr">
        <is>
          <t>相框古董白,11</t>
        </is>
      </c>
      <c r="E4476" t="inlineStr"/>
      <c r="F4476">
        <f>IMAGE("https://cf.shopee.tw/file/sg-11134201-22110-vvqyy8wugdkv7b_tn")</f>
        <v/>
      </c>
    </row>
    <row r="4477">
      <c r="A4477" t="inlineStr">
        <is>
          <t>15276471498</t>
        </is>
      </c>
      <c r="B4477" t="inlineStr">
        <is>
          <t>隔日到貨🔥 iPhone 手機殼 14 13 12 11 pro Max XS XR SE 8plus 保護殼 軟殼</t>
        </is>
      </c>
      <c r="C4477">
        <f>IMAGE("https://cf.shopee.tw/file/sg-11134201-22110-u6roa45vgdkv6f_tn")</f>
        <v/>
      </c>
      <c r="D4477" t="inlineStr">
        <is>
          <t>相框古董白,11 Pro Max</t>
        </is>
      </c>
      <c r="E4477" t="inlineStr">
        <is>
          <t>174949180867</t>
        </is>
      </c>
      <c r="F4477">
        <f>IMAGE("https://cf.shopee.tw/file/sg-11134201-22110-vvqyy8wugdkv7b_tn")</f>
        <v/>
      </c>
    </row>
    <row r="4478">
      <c r="A4478" t="inlineStr">
        <is>
          <t>15276471498</t>
        </is>
      </c>
      <c r="B4478" t="inlineStr">
        <is>
          <t>隔日到貨🔥 iPhone 手機殼 14 13 12 11 pro Max XS XR SE 8plus 保護殼 軟殼</t>
        </is>
      </c>
      <c r="C4478">
        <f>IMAGE("https://cf.shopee.tw/file/sg-11134201-22110-u6roa45vgdkv6f_tn")</f>
        <v/>
      </c>
      <c r="D4478" t="inlineStr">
        <is>
          <t>相框古董白,12 pro</t>
        </is>
      </c>
      <c r="E4478" t="inlineStr"/>
      <c r="F4478">
        <f>IMAGE("https://cf.shopee.tw/file/sg-11134201-22110-vvqyy8wugdkv7b_tn")</f>
        <v/>
      </c>
    </row>
    <row r="4479">
      <c r="A4479" t="inlineStr">
        <is>
          <t>15276471498</t>
        </is>
      </c>
      <c r="B4479" t="inlineStr">
        <is>
          <t>隔日到貨🔥 iPhone 手機殼 14 13 12 11 pro Max XS XR SE 8plus 保護殼 軟殼</t>
        </is>
      </c>
      <c r="C4479">
        <f>IMAGE("https://cf.shopee.tw/file/sg-11134201-22110-u6roa45vgdkv6f_tn")</f>
        <v/>
      </c>
      <c r="D4479" t="inlineStr">
        <is>
          <t>相框古董白,12 pro Max</t>
        </is>
      </c>
      <c r="E4479" t="inlineStr">
        <is>
          <t>125316965860</t>
        </is>
      </c>
      <c r="F4479">
        <f>IMAGE("https://cf.shopee.tw/file/sg-11134201-22110-vvqyy8wugdkv7b_tn")</f>
        <v/>
      </c>
    </row>
    <row r="4480">
      <c r="A4480" t="inlineStr">
        <is>
          <t>15276471498</t>
        </is>
      </c>
      <c r="B4480" t="inlineStr">
        <is>
          <t>隔日到貨🔥 iPhone 手機殼 14 13 12 11 pro Max XS XR SE 8plus 保護殼 軟殼</t>
        </is>
      </c>
      <c r="C4480">
        <f>IMAGE("https://cf.shopee.tw/file/sg-11134201-22110-u6roa45vgdkv6f_tn")</f>
        <v/>
      </c>
      <c r="D4480" t="inlineStr">
        <is>
          <t>相框古董白,13</t>
        </is>
      </c>
      <c r="E4480" t="inlineStr"/>
      <c r="F4480">
        <f>IMAGE("https://cf.shopee.tw/file/sg-11134201-22110-vvqyy8wugdkv7b_tn")</f>
        <v/>
      </c>
    </row>
    <row r="4481">
      <c r="A4481" t="inlineStr">
        <is>
          <t>15276471498</t>
        </is>
      </c>
      <c r="B4481" t="inlineStr">
        <is>
          <t>隔日到貨🔥 iPhone 手機殼 14 13 12 11 pro Max XS XR SE 8plus 保護殼 軟殼</t>
        </is>
      </c>
      <c r="C4481">
        <f>IMAGE("https://cf.shopee.tw/file/sg-11134201-22110-u6roa45vgdkv6f_tn")</f>
        <v/>
      </c>
      <c r="D4481" t="inlineStr">
        <is>
          <t>相框古董白,13 pro</t>
        </is>
      </c>
      <c r="E4481" t="inlineStr"/>
      <c r="F4481">
        <f>IMAGE("https://cf.shopee.tw/file/sg-11134201-22110-vvqyy8wugdkv7b_tn")</f>
        <v/>
      </c>
    </row>
    <row r="4482">
      <c r="A4482" t="inlineStr">
        <is>
          <t>15276471498</t>
        </is>
      </c>
      <c r="B4482" t="inlineStr">
        <is>
          <t>隔日到貨🔥 iPhone 手機殼 14 13 12 11 pro Max XS XR SE 8plus 保護殼 軟殼</t>
        </is>
      </c>
      <c r="C4482">
        <f>IMAGE("https://cf.shopee.tw/file/sg-11134201-22110-u6roa45vgdkv6f_tn")</f>
        <v/>
      </c>
      <c r="D4482" t="inlineStr">
        <is>
          <t>相框古董白,14</t>
        </is>
      </c>
      <c r="E4482" t="inlineStr"/>
      <c r="F4482">
        <f>IMAGE("https://cf.shopee.tw/file/sg-11134201-22110-vvqyy8wugdkv7b_tn")</f>
        <v/>
      </c>
    </row>
    <row r="4483">
      <c r="A4483" t="inlineStr">
        <is>
          <t>15276471498</t>
        </is>
      </c>
      <c r="B4483" t="inlineStr">
        <is>
          <t>隔日到貨🔥 iPhone 手機殼 14 13 12 11 pro Max XS XR SE 8plus 保護殼 軟殼</t>
        </is>
      </c>
      <c r="C4483">
        <f>IMAGE("https://cf.shopee.tw/file/sg-11134201-22110-u6roa45vgdkv6f_tn")</f>
        <v/>
      </c>
      <c r="D4483" t="inlineStr">
        <is>
          <t>相框古董白,14 Plus</t>
        </is>
      </c>
      <c r="E4483" t="inlineStr"/>
      <c r="F4483">
        <f>IMAGE("https://cf.shopee.tw/file/sg-11134201-22110-vvqyy8wugdkv7b_tn")</f>
        <v/>
      </c>
    </row>
    <row r="4484">
      <c r="A4484" t="inlineStr">
        <is>
          <t>15276471498</t>
        </is>
      </c>
      <c r="B4484" t="inlineStr">
        <is>
          <t>隔日到貨🔥 iPhone 手機殼 14 13 12 11 pro Max XS XR SE 8plus 保護殼 軟殼</t>
        </is>
      </c>
      <c r="C4484">
        <f>IMAGE("https://cf.shopee.tw/file/sg-11134201-22110-u6roa45vgdkv6f_tn")</f>
        <v/>
      </c>
      <c r="D4484" t="inlineStr">
        <is>
          <t>相框古董白,14 pro</t>
        </is>
      </c>
      <c r="E4484" t="inlineStr">
        <is>
          <t>202366238405</t>
        </is>
      </c>
      <c r="F4484">
        <f>IMAGE("https://cf.shopee.tw/file/sg-11134201-22110-vvqyy8wugdkv7b_tn")</f>
        <v/>
      </c>
    </row>
    <row r="4485">
      <c r="A4485" t="inlineStr">
        <is>
          <t>15276471498</t>
        </is>
      </c>
      <c r="B4485" t="inlineStr">
        <is>
          <t>隔日到貨🔥 iPhone 手機殼 14 13 12 11 pro Max XS XR SE 8plus 保護殼 軟殼</t>
        </is>
      </c>
      <c r="C4485">
        <f>IMAGE("https://cf.shopee.tw/file/sg-11134201-22110-u6roa45vgdkv6f_tn")</f>
        <v/>
      </c>
      <c r="D4485" t="inlineStr">
        <is>
          <t>相框古董白,14 pro Max</t>
        </is>
      </c>
      <c r="E4485" t="inlineStr"/>
      <c r="F4485">
        <f>IMAGE("https://cf.shopee.tw/file/sg-11134201-22110-vvqyy8wugdkv7b_tn")</f>
        <v/>
      </c>
    </row>
    <row r="4486">
      <c r="A4486" t="inlineStr">
        <is>
          <t>22404326537</t>
        </is>
      </c>
      <c r="B4486" t="inlineStr">
        <is>
          <t>隔日到貨🔥 Apple Watch 一體式錶殼 蘋果手錶殼 手錶保護殼 8代 5 6 7 SE S8 蘋果 錶殼</t>
        </is>
      </c>
      <c r="C4486">
        <f>IMAGE("https://cf.shopee.tw/file/sg-11134201-22110-15lyylji6ljv33_tn")</f>
        <v/>
      </c>
      <c r="D4486" t="inlineStr">
        <is>
          <t>黑色,44mm(4/5/SE/6代適用)</t>
        </is>
      </c>
      <c r="E4486" t="inlineStr"/>
      <c r="F4486">
        <f>IMAGE("https://cf.shopee.tw/file/sg-11134201-22110-4j5xzr0j6ljvd9_tn")</f>
        <v/>
      </c>
    </row>
    <row r="4487">
      <c r="A4487" t="inlineStr">
        <is>
          <t>22404326537</t>
        </is>
      </c>
      <c r="B4487" t="inlineStr">
        <is>
          <t>隔日到貨🔥 Apple Watch 一體式錶殼 蘋果手錶殼 手錶保護殼 8代 5 6 7 SE S8 蘋果 錶殼</t>
        </is>
      </c>
      <c r="C4487">
        <f>IMAGE("https://cf.shopee.tw/file/sg-11134201-22110-15lyylji6ljv33_tn")</f>
        <v/>
      </c>
      <c r="D4487" t="inlineStr">
        <is>
          <t>黑色,45mm(7/8代適用)</t>
        </is>
      </c>
      <c r="E4487" t="inlineStr"/>
      <c r="F4487">
        <f>IMAGE("https://cf.shopee.tw/file/sg-11134201-22110-4j5xzr0j6ljvd9_tn")</f>
        <v/>
      </c>
    </row>
    <row r="4488">
      <c r="A4488" t="inlineStr">
        <is>
          <t>22404326537</t>
        </is>
      </c>
      <c r="B4488" t="inlineStr">
        <is>
          <t>隔日到貨🔥 Apple Watch 一體式錶殼 蘋果手錶殼 手錶保護殼 8代 5 6 7 SE S8 蘋果 錶殼</t>
        </is>
      </c>
      <c r="C4488">
        <f>IMAGE("https://cf.shopee.tw/file/sg-11134201-22110-15lyylji6ljv33_tn")</f>
        <v/>
      </c>
      <c r="D4488" t="inlineStr">
        <is>
          <t>薄荷綠,44mm(4/5/SE/6代適用)</t>
        </is>
      </c>
      <c r="E4488" t="inlineStr"/>
      <c r="F4488">
        <f>IMAGE("https://cf.shopee.tw/file/sg-11134201-22110-j229veq9jnjve2_tn")</f>
        <v/>
      </c>
    </row>
    <row r="4489">
      <c r="A4489" t="inlineStr">
        <is>
          <t>22404326537</t>
        </is>
      </c>
      <c r="B4489" t="inlineStr">
        <is>
          <t>隔日到貨🔥 Apple Watch 一體式錶殼 蘋果手錶殼 手錶保護殼 8代 5 6 7 SE S8 蘋果 錶殼</t>
        </is>
      </c>
      <c r="C4489">
        <f>IMAGE("https://cf.shopee.tw/file/sg-11134201-22110-15lyylji6ljv33_tn")</f>
        <v/>
      </c>
      <c r="D4489" t="inlineStr">
        <is>
          <t>奶奶灰,40mm(4/5/SE/6代適用)</t>
        </is>
      </c>
      <c r="E4489" t="inlineStr"/>
      <c r="F4489">
        <f>IMAGE("https://cf.shopee.tw/file/sg-11134201-22110-8jss8wy9jnjvac_tn")</f>
        <v/>
      </c>
    </row>
    <row r="4490">
      <c r="A4490" t="inlineStr">
        <is>
          <t>22404326537</t>
        </is>
      </c>
      <c r="B4490" t="inlineStr">
        <is>
          <t>隔日到貨🔥 Apple Watch 一體式錶殼 蘋果手錶殼 手錶保護殼 8代 5 6 7 SE S8 蘋果 錶殼</t>
        </is>
      </c>
      <c r="C4490">
        <f>IMAGE("https://cf.shopee.tw/file/sg-11134201-22110-15lyylji6ljv33_tn")</f>
        <v/>
      </c>
      <c r="D4490" t="inlineStr">
        <is>
          <t>奶奶灰,44mm(4/5/SE/6代適用)</t>
        </is>
      </c>
      <c r="E4490" t="inlineStr"/>
      <c r="F4490">
        <f>IMAGE("https://cf.shopee.tw/file/sg-11134201-22110-8jss8wy9jnjvac_tn")</f>
        <v/>
      </c>
    </row>
    <row r="4491">
      <c r="A4491" t="inlineStr">
        <is>
          <t>22404326537</t>
        </is>
      </c>
      <c r="B4491" t="inlineStr">
        <is>
          <t>隔日到貨🔥 Apple Watch 一體式錶殼 蘋果手錶殼 手錶保護殼 8代 5 6 7 SE S8 蘋果 錶殼</t>
        </is>
      </c>
      <c r="C4491">
        <f>IMAGE("https://cf.shopee.tw/file/sg-11134201-22110-15lyylji6ljv33_tn")</f>
        <v/>
      </c>
      <c r="D4491" t="inlineStr">
        <is>
          <t>奶奶灰,45mm(7/8代適用)</t>
        </is>
      </c>
      <c r="E4491" t="inlineStr"/>
      <c r="F4491">
        <f>IMAGE("https://cf.shopee.tw/file/sg-11134201-22110-8jss8wy9jnjvac_tn")</f>
        <v/>
      </c>
    </row>
    <row r="4492">
      <c r="A4492" t="inlineStr">
        <is>
          <t>22404326537</t>
        </is>
      </c>
      <c r="B4492" t="inlineStr">
        <is>
          <t>隔日到貨🔥 Apple Watch 一體式錶殼 蘋果手錶殼 手錶保護殼 8代 5 6 7 SE S8 蘋果 錶殼</t>
        </is>
      </c>
      <c r="C4492">
        <f>IMAGE("https://cf.shopee.tw/file/sg-11134201-22110-15lyylji6ljv33_tn")</f>
        <v/>
      </c>
      <c r="D4492" t="inlineStr">
        <is>
          <t>淡雅紫,41mm(7/8代適用)</t>
        </is>
      </c>
      <c r="E4492" t="inlineStr"/>
      <c r="F4492">
        <f>IMAGE("https://cf.shopee.tw/file/sg-11134201-22110-12ornbb0jnjvf3_tn")</f>
        <v/>
      </c>
    </row>
    <row r="4493">
      <c r="A4493" t="inlineStr">
        <is>
          <t>22404326537</t>
        </is>
      </c>
      <c r="B4493" t="inlineStr">
        <is>
          <t>隔日到貨🔥 Apple Watch 一體式錶殼 蘋果手錶殼 手錶保護殼 8代 5 6 7 SE S8 蘋果 錶殼</t>
        </is>
      </c>
      <c r="C4493">
        <f>IMAGE("https://cf.shopee.tw/file/sg-11134201-22110-15lyylji6ljv33_tn")</f>
        <v/>
      </c>
      <c r="D4493" t="inlineStr">
        <is>
          <t>淡雅紫,44mm(4/5/SE/6代適用)</t>
        </is>
      </c>
      <c r="E4493" t="inlineStr"/>
      <c r="F4493">
        <f>IMAGE("https://cf.shopee.tw/file/sg-11134201-22110-12ornbb0jnjvf3_tn")</f>
        <v/>
      </c>
    </row>
    <row r="4494">
      <c r="A4494" t="inlineStr">
        <is>
          <t>22404326537</t>
        </is>
      </c>
      <c r="B4494" t="inlineStr">
        <is>
          <t>隔日到貨🔥 Apple Watch 一體式錶殼 蘋果手錶殼 手錶保護殼 8代 5 6 7 SE S8 蘋果 錶殼</t>
        </is>
      </c>
      <c r="C4494">
        <f>IMAGE("https://cf.shopee.tw/file/sg-11134201-22110-15lyylji6ljv33_tn")</f>
        <v/>
      </c>
      <c r="D4494" t="inlineStr">
        <is>
          <t>淡雅紫,45mm(7/8代適用)</t>
        </is>
      </c>
      <c r="E4494" t="inlineStr"/>
      <c r="F4494">
        <f>IMAGE("https://cf.shopee.tw/file/sg-11134201-22110-12ornbb0jnjvf3_tn")</f>
        <v/>
      </c>
    </row>
    <row r="4495">
      <c r="A4495" t="inlineStr">
        <is>
          <t>22404326537</t>
        </is>
      </c>
      <c r="B4495" t="inlineStr">
        <is>
          <t>隔日到貨🔥 Apple Watch 一體式錶殼 蘋果手錶殼 手錶保護殼 8代 5 6 7 SE S8 蘋果 錶殼</t>
        </is>
      </c>
      <c r="C4495">
        <f>IMAGE("https://cf.shopee.tw/file/sg-11134201-22110-15lyylji6ljv33_tn")</f>
        <v/>
      </c>
      <c r="D4495" t="inlineStr">
        <is>
          <t>白色,40mm(4/5/SE/6代適用)</t>
        </is>
      </c>
      <c r="E4495" t="inlineStr"/>
      <c r="F4495">
        <f>IMAGE("https://cf.shopee.tw/file/sg-11134201-22110-8i3yj9t0jnjv2a_tn")</f>
        <v/>
      </c>
    </row>
    <row r="4496">
      <c r="A4496" t="inlineStr">
        <is>
          <t>22404326537</t>
        </is>
      </c>
      <c r="B4496" t="inlineStr">
        <is>
          <t>隔日到貨🔥 Apple Watch 一體式錶殼 蘋果手錶殼 手錶保護殼 8代 5 6 7 SE S8 蘋果 錶殼</t>
        </is>
      </c>
      <c r="C4496">
        <f>IMAGE("https://cf.shopee.tw/file/sg-11134201-22110-15lyylji6ljv33_tn")</f>
        <v/>
      </c>
      <c r="D4496" t="inlineStr">
        <is>
          <t>高清透明,41mm(7/8代適用)</t>
        </is>
      </c>
      <c r="E4496" t="inlineStr"/>
      <c r="F4496">
        <f>IMAGE("https://cf.shopee.tw/file/sg-11134201-22110-gepkdc20jnjv55_tn")</f>
        <v/>
      </c>
    </row>
    <row r="4497">
      <c r="A4497" t="inlineStr">
        <is>
          <t>22404326537</t>
        </is>
      </c>
      <c r="B4497" t="inlineStr">
        <is>
          <t>隔日到貨🔥 Apple Watch 一體式錶殼 蘋果手錶殼 手錶保護殼 8代 5 6 7 SE S8 蘋果 錶殼</t>
        </is>
      </c>
      <c r="C4497">
        <f>IMAGE("https://cf.shopee.tw/file/sg-11134201-22110-15lyylji6ljv33_tn")</f>
        <v/>
      </c>
      <c r="D4497" t="inlineStr">
        <is>
          <t>高清透明,44mm(4/5/SE/6代適用)</t>
        </is>
      </c>
      <c r="E4497" t="inlineStr"/>
      <c r="F4497">
        <f>IMAGE("https://cf.shopee.tw/file/sg-11134201-22110-gepkdc20jnjv55_tn")</f>
        <v/>
      </c>
    </row>
    <row r="4498">
      <c r="A4498" t="inlineStr">
        <is>
          <t>22404326537</t>
        </is>
      </c>
      <c r="B4498" t="inlineStr">
        <is>
          <t>隔日到貨🔥 Apple Watch 一體式錶殼 蘋果手錶殼 手錶保護殼 8代 5 6 7 SE S8 蘋果 錶殼</t>
        </is>
      </c>
      <c r="C4498">
        <f>IMAGE("https://cf.shopee.tw/file/sg-11134201-22110-15lyylji6ljv33_tn")</f>
        <v/>
      </c>
      <c r="D4498" t="inlineStr">
        <is>
          <t>高清透明,45mm(7/8代適用)</t>
        </is>
      </c>
      <c r="E4498" t="inlineStr"/>
      <c r="F4498">
        <f>IMAGE("https://cf.shopee.tw/file/sg-11134201-22110-gepkdc20jnjv55_tn")</f>
        <v/>
      </c>
    </row>
    <row r="4499">
      <c r="A4499" t="inlineStr">
        <is>
          <t>22404326537</t>
        </is>
      </c>
      <c r="B4499" t="inlineStr">
        <is>
          <t>隔日到貨🔥 Apple Watch 一體式錶殼 蘋果手錶殼 手錶保護殼 8代 5 6 7 SE S8 蘋果 錶殼</t>
        </is>
      </c>
      <c r="C4499">
        <f>IMAGE("https://cf.shopee.tw/file/sg-11134201-22110-15lyylji6ljv33_tn")</f>
        <v/>
      </c>
      <c r="D4499" t="inlineStr">
        <is>
          <t>玫瑰金,40mm(4/5/SE/6代適用)</t>
        </is>
      </c>
      <c r="E4499" t="inlineStr"/>
      <c r="F4499">
        <f>IMAGE("https://cf.shopee.tw/file/sg-11134201-22110-16f4hpeaknjvea_tn")</f>
        <v/>
      </c>
    </row>
    <row r="4500">
      <c r="A4500" t="inlineStr">
        <is>
          <t>22404326537</t>
        </is>
      </c>
      <c r="B4500" t="inlineStr">
        <is>
          <t>隔日到貨🔥 Apple Watch 一體式錶殼 蘋果手錶殼 手錶保護殼 8代 5 6 7 SE S8 蘋果 錶殼</t>
        </is>
      </c>
      <c r="C4500">
        <f>IMAGE("https://cf.shopee.tw/file/sg-11134201-22110-15lyylji6ljv33_tn")</f>
        <v/>
      </c>
      <c r="D4500" t="inlineStr">
        <is>
          <t>玫瑰金,41mm(7/8代適用)</t>
        </is>
      </c>
      <c r="E4500" t="inlineStr"/>
      <c r="F4500">
        <f>IMAGE("https://cf.shopee.tw/file/sg-11134201-22110-16f4hpeaknjvea_tn")</f>
        <v/>
      </c>
    </row>
    <row r="4501">
      <c r="A4501" t="inlineStr">
        <is>
          <t>22404326537</t>
        </is>
      </c>
      <c r="B4501" t="inlineStr">
        <is>
          <t>隔日到貨🔥 Apple Watch 一體式錶殼 蘋果手錶殼 手錶保護殼 8代 5 6 7 SE S8 蘋果 錶殼</t>
        </is>
      </c>
      <c r="C4501">
        <f>IMAGE("https://cf.shopee.tw/file/sg-11134201-22110-15lyylji6ljv33_tn")</f>
        <v/>
      </c>
      <c r="D4501" t="inlineStr">
        <is>
          <t>玫瑰金,44mm(4/5/SE/6代適用)</t>
        </is>
      </c>
      <c r="E4501" t="inlineStr"/>
      <c r="F4501">
        <f>IMAGE("https://cf.shopee.tw/file/sg-11134201-22110-16f4hpeaknjvea_tn")</f>
        <v/>
      </c>
    </row>
    <row r="4502">
      <c r="A4502" t="inlineStr">
        <is>
          <t>22404326537</t>
        </is>
      </c>
      <c r="B4502" t="inlineStr">
        <is>
          <t>隔日到貨🔥 Apple Watch 一體式錶殼 蘋果手錶殼 手錶保護殼 8代 5 6 7 SE S8 蘋果 錶殼</t>
        </is>
      </c>
      <c r="C4502">
        <f>IMAGE("https://cf.shopee.tw/file/sg-11134201-22110-15lyylji6ljv33_tn")</f>
        <v/>
      </c>
      <c r="D4502" t="inlineStr">
        <is>
          <t>玫瑰金,45mm(7/8代適用)</t>
        </is>
      </c>
      <c r="E4502" t="inlineStr"/>
      <c r="F4502">
        <f>IMAGE("https://cf.shopee.tw/file/sg-11134201-22110-16f4hpeaknjvea_tn")</f>
        <v/>
      </c>
    </row>
    <row r="4503">
      <c r="A4503" t="inlineStr">
        <is>
          <t>22404326537</t>
        </is>
      </c>
      <c r="B4503" t="inlineStr">
        <is>
          <t>隔日到貨🔥 Apple Watch 一體式錶殼 蘋果手錶殼 手錶保護殼 8代 5 6 7 SE S8 蘋果 錶殼</t>
        </is>
      </c>
      <c r="C4503">
        <f>IMAGE("https://cf.shopee.tw/file/sg-11134201-22110-15lyylji6ljv33_tn")</f>
        <v/>
      </c>
      <c r="D4503" t="inlineStr">
        <is>
          <t>黑色,38mm(1/2/3代適用)</t>
        </is>
      </c>
      <c r="E4503" t="inlineStr"/>
      <c r="F4503">
        <f>IMAGE("https://cf.shopee.tw/file/sg-11134201-22110-4j5xzr0j6ljvd9_tn")</f>
        <v/>
      </c>
    </row>
    <row r="4504">
      <c r="A4504" t="inlineStr">
        <is>
          <t>22404326537</t>
        </is>
      </c>
      <c r="B4504" t="inlineStr">
        <is>
          <t>隔日到貨🔥 Apple Watch 一體式錶殼 蘋果手錶殼 手錶保護殼 8代 5 6 7 SE S8 蘋果 錶殼</t>
        </is>
      </c>
      <c r="C4504">
        <f>IMAGE("https://cf.shopee.tw/file/sg-11134201-22110-15lyylji6ljv33_tn")</f>
        <v/>
      </c>
      <c r="D4504" t="inlineStr">
        <is>
          <t>黑色,40mm(4/5/SE/6代適用)</t>
        </is>
      </c>
      <c r="E4504" t="inlineStr"/>
      <c r="F4504">
        <f>IMAGE("https://cf.shopee.tw/file/sg-11134201-22110-4j5xzr0j6ljvd9_tn")</f>
        <v/>
      </c>
    </row>
    <row r="4505">
      <c r="A4505" t="inlineStr">
        <is>
          <t>22404326537</t>
        </is>
      </c>
      <c r="B4505" t="inlineStr">
        <is>
          <t>隔日到貨🔥 Apple Watch 一體式錶殼 蘋果手錶殼 手錶保護殼 8代 5 6 7 SE S8 蘋果 錶殼</t>
        </is>
      </c>
      <c r="C4505">
        <f>IMAGE("https://cf.shopee.tw/file/sg-11134201-22110-15lyylji6ljv33_tn")</f>
        <v/>
      </c>
      <c r="D4505" t="inlineStr">
        <is>
          <t>黑色,41mm(7/8代適用)</t>
        </is>
      </c>
      <c r="E4505" t="inlineStr"/>
      <c r="F4505">
        <f>IMAGE("https://cf.shopee.tw/file/sg-11134201-22110-4j5xzr0j6ljvd9_tn")</f>
        <v/>
      </c>
    </row>
    <row r="4506">
      <c r="A4506" t="inlineStr">
        <is>
          <t>22404326537</t>
        </is>
      </c>
      <c r="B4506" t="inlineStr">
        <is>
          <t>隔日到貨🔥 Apple Watch 一體式錶殼 蘋果手錶殼 手錶保護殼 8代 5 6 7 SE S8 蘋果 錶殼</t>
        </is>
      </c>
      <c r="C4506">
        <f>IMAGE("https://cf.shopee.tw/file/sg-11134201-22110-15lyylji6ljv33_tn")</f>
        <v/>
      </c>
      <c r="D4506" t="inlineStr">
        <is>
          <t>黑色,42mm(1/2/3代適用)</t>
        </is>
      </c>
      <c r="E4506" t="inlineStr"/>
      <c r="F4506">
        <f>IMAGE("https://cf.shopee.tw/file/sg-11134201-22110-4j5xzr0j6ljvd9_tn")</f>
        <v/>
      </c>
    </row>
    <row r="4507">
      <c r="A4507" t="inlineStr">
        <is>
          <t>22404326537</t>
        </is>
      </c>
      <c r="B4507" t="inlineStr">
        <is>
          <t>隔日到貨🔥 Apple Watch 一體式錶殼 蘋果手錶殼 手錶保護殼 8代 5 6 7 SE S8 蘋果 錶殼</t>
        </is>
      </c>
      <c r="C4507">
        <f>IMAGE("https://cf.shopee.tw/file/sg-11134201-22110-15lyylji6ljv33_tn")</f>
        <v/>
      </c>
      <c r="D4507" t="inlineStr">
        <is>
          <t>薄荷綠,38mm(1/2/3代適用)</t>
        </is>
      </c>
      <c r="E4507" t="inlineStr"/>
      <c r="F4507">
        <f>IMAGE("https://cf.shopee.tw/file/sg-11134201-22110-j229veq9jnjve2_tn")</f>
        <v/>
      </c>
    </row>
    <row r="4508">
      <c r="A4508" t="inlineStr">
        <is>
          <t>22404326537</t>
        </is>
      </c>
      <c r="B4508" t="inlineStr">
        <is>
          <t>隔日到貨🔥 Apple Watch 一體式錶殼 蘋果手錶殼 手錶保護殼 8代 5 6 7 SE S8 蘋果 錶殼</t>
        </is>
      </c>
      <c r="C4508">
        <f>IMAGE("https://cf.shopee.tw/file/sg-11134201-22110-15lyylji6ljv33_tn")</f>
        <v/>
      </c>
      <c r="D4508" t="inlineStr">
        <is>
          <t>薄荷綠,40mm(4/5/SE/6代適用)</t>
        </is>
      </c>
      <c r="E4508" t="inlineStr">
        <is>
          <t>165041995344</t>
        </is>
      </c>
      <c r="F4508">
        <f>IMAGE("https://cf.shopee.tw/file/sg-11134201-22110-j229veq9jnjve2_tn")</f>
        <v/>
      </c>
    </row>
    <row r="4509">
      <c r="A4509" t="inlineStr">
        <is>
          <t>22404326537</t>
        </is>
      </c>
      <c r="B4509" t="inlineStr">
        <is>
          <t>隔日到貨🔥 Apple Watch 一體式錶殼 蘋果手錶殼 手錶保護殼 8代 5 6 7 SE S8 蘋果 錶殼</t>
        </is>
      </c>
      <c r="C4509">
        <f>IMAGE("https://cf.shopee.tw/file/sg-11134201-22110-15lyylji6ljv33_tn")</f>
        <v/>
      </c>
      <c r="D4509" t="inlineStr">
        <is>
          <t>薄荷綠,41mm(7/8代適用)</t>
        </is>
      </c>
      <c r="E4509" t="inlineStr"/>
      <c r="F4509">
        <f>IMAGE("https://cf.shopee.tw/file/sg-11134201-22110-j229veq9jnjve2_tn")</f>
        <v/>
      </c>
    </row>
    <row r="4510">
      <c r="A4510" t="inlineStr">
        <is>
          <t>22404326537</t>
        </is>
      </c>
      <c r="B4510" t="inlineStr">
        <is>
          <t>隔日到貨🔥 Apple Watch 一體式錶殼 蘋果手錶殼 手錶保護殼 8代 5 6 7 SE S8 蘋果 錶殼</t>
        </is>
      </c>
      <c r="C4510">
        <f>IMAGE("https://cf.shopee.tw/file/sg-11134201-22110-15lyylji6ljv33_tn")</f>
        <v/>
      </c>
      <c r="D4510" t="inlineStr">
        <is>
          <t>薄荷綠,42mm(1/2/3代適用)</t>
        </is>
      </c>
      <c r="E4510" t="inlineStr"/>
      <c r="F4510">
        <f>IMAGE("https://cf.shopee.tw/file/sg-11134201-22110-j229veq9jnjve2_tn")</f>
        <v/>
      </c>
    </row>
    <row r="4511">
      <c r="A4511" t="inlineStr">
        <is>
          <t>22404326537</t>
        </is>
      </c>
      <c r="B4511" t="inlineStr">
        <is>
          <t>隔日到貨🔥 Apple Watch 一體式錶殼 蘋果手錶殼 手錶保護殼 8代 5 6 7 SE S8 蘋果 錶殼</t>
        </is>
      </c>
      <c r="C4511">
        <f>IMAGE("https://cf.shopee.tw/file/sg-11134201-22110-15lyylji6ljv33_tn")</f>
        <v/>
      </c>
      <c r="D4511" t="inlineStr">
        <is>
          <t>薄荷綠,45mm(7/8代適用)</t>
        </is>
      </c>
      <c r="E4511" t="inlineStr"/>
      <c r="F4511">
        <f>IMAGE("https://cf.shopee.tw/file/sg-11134201-22110-j229veq9jnjve2_tn")</f>
        <v/>
      </c>
    </row>
    <row r="4512">
      <c r="A4512" t="inlineStr">
        <is>
          <t>22404326537</t>
        </is>
      </c>
      <c r="B4512" t="inlineStr">
        <is>
          <t>隔日到貨🔥 Apple Watch 一體式錶殼 蘋果手錶殼 手錶保護殼 8代 5 6 7 SE S8 蘋果 錶殼</t>
        </is>
      </c>
      <c r="C4512">
        <f>IMAGE("https://cf.shopee.tw/file/sg-11134201-22110-15lyylji6ljv33_tn")</f>
        <v/>
      </c>
      <c r="D4512" t="inlineStr">
        <is>
          <t>奶奶灰,38mm(1/2/3代適用)</t>
        </is>
      </c>
      <c r="E4512" t="inlineStr"/>
      <c r="F4512">
        <f>IMAGE("https://cf.shopee.tw/file/sg-11134201-22110-8jss8wy9jnjvac_tn")</f>
        <v/>
      </c>
    </row>
    <row r="4513">
      <c r="A4513" t="inlineStr">
        <is>
          <t>22404326537</t>
        </is>
      </c>
      <c r="B4513" t="inlineStr">
        <is>
          <t>隔日到貨🔥 Apple Watch 一體式錶殼 蘋果手錶殼 手錶保護殼 8代 5 6 7 SE S8 蘋果 錶殼</t>
        </is>
      </c>
      <c r="C4513">
        <f>IMAGE("https://cf.shopee.tw/file/sg-11134201-22110-15lyylji6ljv33_tn")</f>
        <v/>
      </c>
      <c r="D4513" t="inlineStr">
        <is>
          <t>奶奶灰,41mm(7/8代適用)</t>
        </is>
      </c>
      <c r="E4513" t="inlineStr"/>
      <c r="F4513">
        <f>IMAGE("https://cf.shopee.tw/file/sg-11134201-22110-8jss8wy9jnjvac_tn")</f>
        <v/>
      </c>
    </row>
    <row r="4514">
      <c r="A4514" t="inlineStr">
        <is>
          <t>22404326537</t>
        </is>
      </c>
      <c r="B4514" t="inlineStr">
        <is>
          <t>隔日到貨🔥 Apple Watch 一體式錶殼 蘋果手錶殼 手錶保護殼 8代 5 6 7 SE S8 蘋果 錶殼</t>
        </is>
      </c>
      <c r="C4514">
        <f>IMAGE("https://cf.shopee.tw/file/sg-11134201-22110-15lyylji6ljv33_tn")</f>
        <v/>
      </c>
      <c r="D4514" t="inlineStr">
        <is>
          <t>奶奶灰,42mm(1/2/3代適用)</t>
        </is>
      </c>
      <c r="E4514" t="inlineStr"/>
      <c r="F4514">
        <f>IMAGE("https://cf.shopee.tw/file/sg-11134201-22110-8jss8wy9jnjvac_tn")</f>
        <v/>
      </c>
    </row>
    <row r="4515">
      <c r="A4515" t="inlineStr">
        <is>
          <t>22404326537</t>
        </is>
      </c>
      <c r="B4515" t="inlineStr">
        <is>
          <t>隔日到貨🔥 Apple Watch 一體式錶殼 蘋果手錶殼 手錶保護殼 8代 5 6 7 SE S8 蘋果 錶殼</t>
        </is>
      </c>
      <c r="C4515">
        <f>IMAGE("https://cf.shopee.tw/file/sg-11134201-22110-15lyylji6ljv33_tn")</f>
        <v/>
      </c>
      <c r="D4515" t="inlineStr">
        <is>
          <t>天空藍,38mm(1/2/3代適用)</t>
        </is>
      </c>
      <c r="E4515" t="inlineStr"/>
      <c r="F4515">
        <f>IMAGE("https://cf.shopee.tw/file/sg-11134201-22110-9bu9yj89jnjva6_tn")</f>
        <v/>
      </c>
    </row>
    <row r="4516">
      <c r="A4516" t="inlineStr">
        <is>
          <t>22404326537</t>
        </is>
      </c>
      <c r="B4516" t="inlineStr">
        <is>
          <t>隔日到貨🔥 Apple Watch 一體式錶殼 蘋果手錶殼 手錶保護殼 8代 5 6 7 SE S8 蘋果 錶殼</t>
        </is>
      </c>
      <c r="C4516">
        <f>IMAGE("https://cf.shopee.tw/file/sg-11134201-22110-15lyylji6ljv33_tn")</f>
        <v/>
      </c>
      <c r="D4516" t="inlineStr">
        <is>
          <t>天空藍,40mm(4/5/SE/6代適用)</t>
        </is>
      </c>
      <c r="E4516" t="inlineStr"/>
      <c r="F4516">
        <f>IMAGE("https://cf.shopee.tw/file/sg-11134201-22110-9bu9yj89jnjva6_tn")</f>
        <v/>
      </c>
    </row>
    <row r="4517">
      <c r="A4517" t="inlineStr">
        <is>
          <t>22404326537</t>
        </is>
      </c>
      <c r="B4517" t="inlineStr">
        <is>
          <t>隔日到貨🔥 Apple Watch 一體式錶殼 蘋果手錶殼 手錶保護殼 8代 5 6 7 SE S8 蘋果 錶殼</t>
        </is>
      </c>
      <c r="C4517">
        <f>IMAGE("https://cf.shopee.tw/file/sg-11134201-22110-15lyylji6ljv33_tn")</f>
        <v/>
      </c>
      <c r="D4517" t="inlineStr">
        <is>
          <t>天空藍,41mm(7/8代適用)</t>
        </is>
      </c>
      <c r="E4517" t="inlineStr"/>
      <c r="F4517">
        <f>IMAGE("https://cf.shopee.tw/file/sg-11134201-22110-9bu9yj89jnjva6_tn")</f>
        <v/>
      </c>
    </row>
    <row r="4518">
      <c r="A4518" t="inlineStr">
        <is>
          <t>22404326537</t>
        </is>
      </c>
      <c r="B4518" t="inlineStr">
        <is>
          <t>隔日到貨🔥 Apple Watch 一體式錶殼 蘋果手錶殼 手錶保護殼 8代 5 6 7 SE S8 蘋果 錶殼</t>
        </is>
      </c>
      <c r="C4518">
        <f>IMAGE("https://cf.shopee.tw/file/sg-11134201-22110-15lyylji6ljv33_tn")</f>
        <v/>
      </c>
      <c r="D4518" t="inlineStr">
        <is>
          <t>天空藍,42mm(1/2/3代適用)</t>
        </is>
      </c>
      <c r="E4518" t="inlineStr"/>
      <c r="F4518">
        <f>IMAGE("https://cf.shopee.tw/file/sg-11134201-22110-9bu9yj89jnjva6_tn")</f>
        <v/>
      </c>
    </row>
    <row r="4519">
      <c r="A4519" t="inlineStr">
        <is>
          <t>22404326537</t>
        </is>
      </c>
      <c r="B4519" t="inlineStr">
        <is>
          <t>隔日到貨🔥 Apple Watch 一體式錶殼 蘋果手錶殼 手錶保護殼 8代 5 6 7 SE S8 蘋果 錶殼</t>
        </is>
      </c>
      <c r="C4519">
        <f>IMAGE("https://cf.shopee.tw/file/sg-11134201-22110-15lyylji6ljv33_tn")</f>
        <v/>
      </c>
      <c r="D4519" t="inlineStr">
        <is>
          <t>天空藍,44mm(4/5/SE/6代適用)</t>
        </is>
      </c>
      <c r="E4519" t="inlineStr"/>
      <c r="F4519">
        <f>IMAGE("https://cf.shopee.tw/file/sg-11134201-22110-9bu9yj89jnjva6_tn")</f>
        <v/>
      </c>
    </row>
    <row r="4520">
      <c r="A4520" t="inlineStr">
        <is>
          <t>22404326537</t>
        </is>
      </c>
      <c r="B4520" t="inlineStr">
        <is>
          <t>隔日到貨🔥 Apple Watch 一體式錶殼 蘋果手錶殼 手錶保護殼 8代 5 6 7 SE S8 蘋果 錶殼</t>
        </is>
      </c>
      <c r="C4520">
        <f>IMAGE("https://cf.shopee.tw/file/sg-11134201-22110-15lyylji6ljv33_tn")</f>
        <v/>
      </c>
      <c r="D4520" t="inlineStr">
        <is>
          <t>天空藍,45mm(7/8代適用)</t>
        </is>
      </c>
      <c r="E4520" t="inlineStr"/>
      <c r="F4520">
        <f>IMAGE("https://cf.shopee.tw/file/sg-11134201-22110-9bu9yj89jnjva6_tn")</f>
        <v/>
      </c>
    </row>
    <row r="4521">
      <c r="A4521" t="inlineStr">
        <is>
          <t>22404326537</t>
        </is>
      </c>
      <c r="B4521" t="inlineStr">
        <is>
          <t>隔日到貨🔥 Apple Watch 一體式錶殼 蘋果手錶殼 手錶保護殼 8代 5 6 7 SE S8 蘋果 錶殼</t>
        </is>
      </c>
      <c r="C4521">
        <f>IMAGE("https://cf.shopee.tw/file/sg-11134201-22110-15lyylji6ljv33_tn")</f>
        <v/>
      </c>
      <c r="D4521" t="inlineStr">
        <is>
          <t>淡雅紫,38mm(1/2/3代適用)</t>
        </is>
      </c>
      <c r="E4521" t="inlineStr"/>
      <c r="F4521">
        <f>IMAGE("https://cf.shopee.tw/file/sg-11134201-22110-12ornbb0jnjvf3_tn")</f>
        <v/>
      </c>
    </row>
    <row r="4522">
      <c r="A4522" t="inlineStr">
        <is>
          <t>22404326537</t>
        </is>
      </c>
      <c r="B4522" t="inlineStr">
        <is>
          <t>隔日到貨🔥 Apple Watch 一體式錶殼 蘋果手錶殼 手錶保護殼 8代 5 6 7 SE S8 蘋果 錶殼</t>
        </is>
      </c>
      <c r="C4522">
        <f>IMAGE("https://cf.shopee.tw/file/sg-11134201-22110-15lyylji6ljv33_tn")</f>
        <v/>
      </c>
      <c r="D4522" t="inlineStr">
        <is>
          <t>淡雅紫,40mm(4/5/SE/6代適用)</t>
        </is>
      </c>
      <c r="E4522" t="inlineStr"/>
      <c r="F4522">
        <f>IMAGE("https://cf.shopee.tw/file/sg-11134201-22110-12ornbb0jnjvf3_tn")</f>
        <v/>
      </c>
    </row>
    <row r="4523">
      <c r="A4523" t="inlineStr">
        <is>
          <t>22404326537</t>
        </is>
      </c>
      <c r="B4523" t="inlineStr">
        <is>
          <t>隔日到貨🔥 Apple Watch 一體式錶殼 蘋果手錶殼 手錶保護殼 8代 5 6 7 SE S8 蘋果 錶殼</t>
        </is>
      </c>
      <c r="C4523">
        <f>IMAGE("https://cf.shopee.tw/file/sg-11134201-22110-15lyylji6ljv33_tn")</f>
        <v/>
      </c>
      <c r="D4523" t="inlineStr">
        <is>
          <t>淡雅紫,42mm(1/2/3代適用)</t>
        </is>
      </c>
      <c r="E4523" t="inlineStr"/>
      <c r="F4523">
        <f>IMAGE("https://cf.shopee.tw/file/sg-11134201-22110-12ornbb0jnjvf3_tn")</f>
        <v/>
      </c>
    </row>
    <row r="4524">
      <c r="A4524" t="inlineStr">
        <is>
          <t>22404326537</t>
        </is>
      </c>
      <c r="B4524" t="inlineStr">
        <is>
          <t>隔日到貨🔥 Apple Watch 一體式錶殼 蘋果手錶殼 手錶保護殼 8代 5 6 7 SE S8 蘋果 錶殼</t>
        </is>
      </c>
      <c r="C4524">
        <f>IMAGE("https://cf.shopee.tw/file/sg-11134201-22110-15lyylji6ljv33_tn")</f>
        <v/>
      </c>
      <c r="D4524" t="inlineStr">
        <is>
          <t>白色,38mm(1/2/3代適用)</t>
        </is>
      </c>
      <c r="E4524" t="inlineStr"/>
      <c r="F4524">
        <f>IMAGE("https://cf.shopee.tw/file/sg-11134201-22110-8i3yj9t0jnjv2a_tn")</f>
        <v/>
      </c>
    </row>
    <row r="4525">
      <c r="A4525" t="inlineStr">
        <is>
          <t>22404326537</t>
        </is>
      </c>
      <c r="B4525" t="inlineStr">
        <is>
          <t>隔日到貨🔥 Apple Watch 一體式錶殼 蘋果手錶殼 手錶保護殼 8代 5 6 7 SE S8 蘋果 錶殼</t>
        </is>
      </c>
      <c r="C4525">
        <f>IMAGE("https://cf.shopee.tw/file/sg-11134201-22110-15lyylji6ljv33_tn")</f>
        <v/>
      </c>
      <c r="D4525" t="inlineStr">
        <is>
          <t>白色,41mm(7/8代適用)</t>
        </is>
      </c>
      <c r="E4525" t="inlineStr">
        <is>
          <t>165041995330</t>
        </is>
      </c>
      <c r="F4525">
        <f>IMAGE("https://cf.shopee.tw/file/sg-11134201-22110-8i3yj9t0jnjv2a_tn")</f>
        <v/>
      </c>
    </row>
    <row r="4526">
      <c r="A4526" t="inlineStr">
        <is>
          <t>22404326537</t>
        </is>
      </c>
      <c r="B4526" t="inlineStr">
        <is>
          <t>隔日到貨🔥 Apple Watch 一體式錶殼 蘋果手錶殼 手錶保護殼 8代 5 6 7 SE S8 蘋果 錶殼</t>
        </is>
      </c>
      <c r="C4526">
        <f>IMAGE("https://cf.shopee.tw/file/sg-11134201-22110-15lyylji6ljv33_tn")</f>
        <v/>
      </c>
      <c r="D4526" t="inlineStr">
        <is>
          <t>白色,42mm(1/2/3代適用)</t>
        </is>
      </c>
      <c r="E4526" t="inlineStr"/>
      <c r="F4526">
        <f>IMAGE("https://cf.shopee.tw/file/sg-11134201-22110-8i3yj9t0jnjv2a_tn")</f>
        <v/>
      </c>
    </row>
    <row r="4527">
      <c r="A4527" t="inlineStr">
        <is>
          <t>22404326537</t>
        </is>
      </c>
      <c r="B4527" t="inlineStr">
        <is>
          <t>隔日到貨🔥 Apple Watch 一體式錶殼 蘋果手錶殼 手錶保護殼 8代 5 6 7 SE S8 蘋果 錶殼</t>
        </is>
      </c>
      <c r="C4527">
        <f>IMAGE("https://cf.shopee.tw/file/sg-11134201-22110-15lyylji6ljv33_tn")</f>
        <v/>
      </c>
      <c r="D4527" t="inlineStr">
        <is>
          <t>白色,44mm(4/5/SE/6代適用)</t>
        </is>
      </c>
      <c r="E4527" t="inlineStr"/>
      <c r="F4527">
        <f>IMAGE("https://cf.shopee.tw/file/sg-11134201-22110-8i3yj9t0jnjv2a_tn")</f>
        <v/>
      </c>
    </row>
    <row r="4528">
      <c r="A4528" t="inlineStr">
        <is>
          <t>22404326537</t>
        </is>
      </c>
      <c r="B4528" t="inlineStr">
        <is>
          <t>隔日到貨🔥 Apple Watch 一體式錶殼 蘋果手錶殼 手錶保護殼 8代 5 6 7 SE S8 蘋果 錶殼</t>
        </is>
      </c>
      <c r="C4528">
        <f>IMAGE("https://cf.shopee.tw/file/sg-11134201-22110-15lyylji6ljv33_tn")</f>
        <v/>
      </c>
      <c r="D4528" t="inlineStr">
        <is>
          <t>白色,45mm(7/8代適用)</t>
        </is>
      </c>
      <c r="E4528" t="inlineStr">
        <is>
          <t>165041995358</t>
        </is>
      </c>
      <c r="F4528">
        <f>IMAGE("https://cf.shopee.tw/file/sg-11134201-22110-8i3yj9t0jnjv2a_tn")</f>
        <v/>
      </c>
    </row>
    <row r="4529">
      <c r="A4529" t="inlineStr">
        <is>
          <t>22404326537</t>
        </is>
      </c>
      <c r="B4529" t="inlineStr">
        <is>
          <t>隔日到貨🔥 Apple Watch 一體式錶殼 蘋果手錶殼 手錶保護殼 8代 5 6 7 SE S8 蘋果 錶殼</t>
        </is>
      </c>
      <c r="C4529">
        <f>IMAGE("https://cf.shopee.tw/file/sg-11134201-22110-15lyylji6ljv33_tn")</f>
        <v/>
      </c>
      <c r="D4529" t="inlineStr">
        <is>
          <t>高清透明,38mm(1/2/3代適用)</t>
        </is>
      </c>
      <c r="E4529" t="inlineStr"/>
      <c r="F4529">
        <f>IMAGE("https://cf.shopee.tw/file/sg-11134201-22110-gepkdc20jnjv55_tn")</f>
        <v/>
      </c>
    </row>
    <row r="4530">
      <c r="A4530" t="inlineStr">
        <is>
          <t>22404326537</t>
        </is>
      </c>
      <c r="B4530" t="inlineStr">
        <is>
          <t>隔日到貨🔥 Apple Watch 一體式錶殼 蘋果手錶殼 手錶保護殼 8代 5 6 7 SE S8 蘋果 錶殼</t>
        </is>
      </c>
      <c r="C4530">
        <f>IMAGE("https://cf.shopee.tw/file/sg-11134201-22110-15lyylji6ljv33_tn")</f>
        <v/>
      </c>
      <c r="D4530" t="inlineStr">
        <is>
          <t>高清透明,40mm(4/5/SE/6代適用)</t>
        </is>
      </c>
      <c r="E4530" t="inlineStr"/>
      <c r="F4530">
        <f>IMAGE("https://cf.shopee.tw/file/sg-11134201-22110-gepkdc20jnjv55_tn")</f>
        <v/>
      </c>
    </row>
    <row r="4531">
      <c r="A4531" t="inlineStr">
        <is>
          <t>22404326537</t>
        </is>
      </c>
      <c r="B4531" t="inlineStr">
        <is>
          <t>隔日到貨🔥 Apple Watch 一體式錶殼 蘋果手錶殼 手錶保護殼 8代 5 6 7 SE S8 蘋果 錶殼</t>
        </is>
      </c>
      <c r="C4531">
        <f>IMAGE("https://cf.shopee.tw/file/sg-11134201-22110-15lyylji6ljv33_tn")</f>
        <v/>
      </c>
      <c r="D4531" t="inlineStr">
        <is>
          <t>高清透明,42mm(1/2/3代適用)</t>
        </is>
      </c>
      <c r="E4531" t="inlineStr">
        <is>
          <t>165041995332</t>
        </is>
      </c>
      <c r="F4531">
        <f>IMAGE("https://cf.shopee.tw/file/sg-11134201-22110-gepkdc20jnjv55_tn")</f>
        <v/>
      </c>
    </row>
    <row r="4532">
      <c r="A4532" t="inlineStr">
        <is>
          <t>22404326537</t>
        </is>
      </c>
      <c r="B4532" t="inlineStr">
        <is>
          <t>隔日到貨🔥 Apple Watch 一體式錶殼 蘋果手錶殼 手錶保護殼 8代 5 6 7 SE S8 蘋果 錶殼</t>
        </is>
      </c>
      <c r="C4532">
        <f>IMAGE("https://cf.shopee.tw/file/sg-11134201-22110-15lyylji6ljv33_tn")</f>
        <v/>
      </c>
      <c r="D4532" t="inlineStr">
        <is>
          <t>玫瑰金,38mm(1/2/3代適用)</t>
        </is>
      </c>
      <c r="E4532" t="inlineStr"/>
      <c r="F4532">
        <f>IMAGE("https://cf.shopee.tw/file/sg-11134201-22110-16f4hpeaknjvea_tn")</f>
        <v/>
      </c>
    </row>
    <row r="4533">
      <c r="A4533" t="inlineStr">
        <is>
          <t>22404326537</t>
        </is>
      </c>
      <c r="B4533" t="inlineStr">
        <is>
          <t>隔日到貨🔥 Apple Watch 一體式錶殼 蘋果手錶殼 手錶保護殼 8代 5 6 7 SE S8 蘋果 錶殼</t>
        </is>
      </c>
      <c r="C4533">
        <f>IMAGE("https://cf.shopee.tw/file/sg-11134201-22110-15lyylji6ljv33_tn")</f>
        <v/>
      </c>
      <c r="D4533" t="inlineStr">
        <is>
          <t>玫瑰金,42mm(1/2/3代適用)</t>
        </is>
      </c>
      <c r="E4533" t="inlineStr">
        <is>
          <t>156212382063</t>
        </is>
      </c>
      <c r="F4533">
        <f>IMAGE("https://cf.shopee.tw/file/sg-11134201-22110-16f4hpeaknjvea_tn")</f>
        <v/>
      </c>
    </row>
    <row r="4534">
      <c r="A4534" t="inlineStr">
        <is>
          <t>18274527476</t>
        </is>
      </c>
      <c r="B4534" t="inlineStr">
        <is>
          <t>隔日到貨🔥 美式時尚兩用運動杯 保溫杯 304不鏽鋼 500ML 戶外隨手杯 不鏽鋼杯 吸管水壺 水壺 運動水壺</t>
        </is>
      </c>
      <c r="C4534">
        <f>IMAGE("https://cf.shopee.tw/file/tw-11134207-23020-ecczvldt6znv9e_tn")</f>
        <v/>
      </c>
      <c r="D4534" t="inlineStr">
        <is>
          <t>黑色,500ml + 杯刷 + 吸管</t>
        </is>
      </c>
      <c r="E4534" t="inlineStr">
        <is>
          <t>175633661066</t>
        </is>
      </c>
      <c r="F4534">
        <f>IMAGE("https://cf.shopee.tw/file/tw-11134207-23020-s5xa0xvc5znv88_tn")</f>
        <v/>
      </c>
    </row>
    <row r="4535">
      <c r="A4535" t="inlineStr">
        <is>
          <t>18274527476</t>
        </is>
      </c>
      <c r="B4535" t="inlineStr">
        <is>
          <t>隔日到貨🔥 美式時尚兩用運動杯 保溫杯 304不鏽鋼 500ML 戶外隨手杯 不鏽鋼杯 吸管水壺 水壺 運動水壺</t>
        </is>
      </c>
      <c r="C4535">
        <f>IMAGE("https://cf.shopee.tw/file/tw-11134207-23020-ecczvldt6znv9e_tn")</f>
        <v/>
      </c>
      <c r="D4535" t="inlineStr">
        <is>
          <t>奶茶白,500ml + 杯刷 + 吸管</t>
        </is>
      </c>
      <c r="E4535" t="inlineStr"/>
      <c r="F4535">
        <f>IMAGE("https://cf.shopee.tw/file/tw-11134207-23020-g4520izc5znv2d_tn")</f>
        <v/>
      </c>
    </row>
    <row r="4536">
      <c r="A4536" t="inlineStr">
        <is>
          <t>18274527476</t>
        </is>
      </c>
      <c r="B4536" t="inlineStr">
        <is>
          <t>隔日到貨🔥 美式時尚兩用運動杯 保溫杯 304不鏽鋼 500ML 戶外隨手杯 不鏽鋼杯 吸管水壺 水壺 運動水壺</t>
        </is>
      </c>
      <c r="C4536">
        <f>IMAGE("https://cf.shopee.tw/file/tw-11134207-23020-ecczvldt6znv9e_tn")</f>
        <v/>
      </c>
      <c r="D4536" t="inlineStr">
        <is>
          <t>軍綠色,500ml + 杯刷 + 吸管</t>
        </is>
      </c>
      <c r="E4536" t="inlineStr">
        <is>
          <t>175633661068</t>
        </is>
      </c>
      <c r="F4536">
        <f>IMAGE("https://cf.shopee.tw/file/tw-11134207-23020-oxhuqf5c5znve2_tn")</f>
        <v/>
      </c>
    </row>
    <row r="4537">
      <c r="A4537" t="inlineStr">
        <is>
          <t>18274527476</t>
        </is>
      </c>
      <c r="B4537" t="inlineStr">
        <is>
          <t>隔日到貨🔥 美式時尚兩用運動杯 保溫杯 304不鏽鋼 500ML 戶外隨手杯 不鏽鋼杯 吸管水壺 水壺 運動水壺</t>
        </is>
      </c>
      <c r="C4537">
        <f>IMAGE("https://cf.shopee.tw/file/tw-11134207-23020-ecczvldt6znv9e_tn")</f>
        <v/>
      </c>
      <c r="D4537" t="inlineStr">
        <is>
          <t>深紅色,500ml + 杯刷 + 吸管</t>
        </is>
      </c>
      <c r="E4537" t="inlineStr">
        <is>
          <t>175633661069</t>
        </is>
      </c>
      <c r="F4537">
        <f>IMAGE("https://cf.shopee.tw/file/tw-11134207-23020-9w3tmj9c5znveb_tn")</f>
        <v/>
      </c>
    </row>
    <row r="4538">
      <c r="A4538" t="inlineStr">
        <is>
          <t>9836149822</t>
        </is>
      </c>
      <c r="B4538" t="inlineStr">
        <is>
          <t>隔日到貨🔥 日系毛邊漁夫帽 漁夫帽 遮陽帽 文藝漁夫帽 日系 軟版 韓系 穿搭必備 街頭 防曬帽 帽子</t>
        </is>
      </c>
      <c r="C4538">
        <f>IMAGE("https://cf.shopee.tw/file/ac1f61fc8078761d2aeb2bed5f4d062d_tn")</f>
        <v/>
      </c>
      <c r="D4538" t="inlineStr">
        <is>
          <t>灰色</t>
        </is>
      </c>
      <c r="E4538" t="inlineStr"/>
      <c r="F4538">
        <f>IMAGE("https://cf.shopee.tw/file/f9ec90c614fc0516bc3a4732b2092999_tn")</f>
        <v/>
      </c>
    </row>
    <row r="4539">
      <c r="A4539" t="inlineStr">
        <is>
          <t>9836149822</t>
        </is>
      </c>
      <c r="B4539" t="inlineStr">
        <is>
          <t>隔日到貨🔥 日系毛邊漁夫帽 漁夫帽 遮陽帽 文藝漁夫帽 日系 軟版 韓系 穿搭必備 街頭 防曬帽 帽子</t>
        </is>
      </c>
      <c r="C4539">
        <f>IMAGE("https://cf.shopee.tw/file/ac1f61fc8078761d2aeb2bed5f4d062d_tn")</f>
        <v/>
      </c>
      <c r="D4539" t="inlineStr">
        <is>
          <t>藏青色</t>
        </is>
      </c>
      <c r="E4539" t="inlineStr"/>
      <c r="F4539">
        <f>IMAGE("https://cf.shopee.tw/file/d013fbf688bb69c4cb38c5f51e009b5c_tn")</f>
        <v/>
      </c>
    </row>
    <row r="4540">
      <c r="A4540" t="inlineStr">
        <is>
          <t>9836149822</t>
        </is>
      </c>
      <c r="B4540" t="inlineStr">
        <is>
          <t>隔日到貨🔥 日系毛邊漁夫帽 漁夫帽 遮陽帽 文藝漁夫帽 日系 軟版 韓系 穿搭必備 街頭 防曬帽 帽子</t>
        </is>
      </c>
      <c r="C4540">
        <f>IMAGE("https://cf.shopee.tw/file/ac1f61fc8078761d2aeb2bed5f4d062d_tn")</f>
        <v/>
      </c>
      <c r="D4540" t="inlineStr">
        <is>
          <t>米黃色</t>
        </is>
      </c>
      <c r="E4540" t="inlineStr">
        <is>
          <t>44588630885</t>
        </is>
      </c>
      <c r="F4540">
        <f>IMAGE("https://cf.shopee.tw/file/ca6776d0b9518b465606065cf20f470c_tn")</f>
        <v/>
      </c>
    </row>
    <row r="4541">
      <c r="A4541" t="inlineStr">
        <is>
          <t>9836149822</t>
        </is>
      </c>
      <c r="B4541" t="inlineStr">
        <is>
          <t>隔日到貨🔥 日系毛邊漁夫帽 漁夫帽 遮陽帽 文藝漁夫帽 日系 軟版 韓系 穿搭必備 街頭 防曬帽 帽子</t>
        </is>
      </c>
      <c r="C4541">
        <f>IMAGE("https://cf.shopee.tw/file/ac1f61fc8078761d2aeb2bed5f4d062d_tn")</f>
        <v/>
      </c>
      <c r="D4541" t="inlineStr">
        <is>
          <t>黑色</t>
        </is>
      </c>
      <c r="E4541" t="inlineStr">
        <is>
          <t>44588630887</t>
        </is>
      </c>
      <c r="F4541">
        <f>IMAGE("https://cf.shopee.tw/file/a1c80eb37b384137fba3e77bbf36df1d_tn")</f>
        <v/>
      </c>
    </row>
    <row r="4542">
      <c r="A4542" t="inlineStr">
        <is>
          <t>9836149822</t>
        </is>
      </c>
      <c r="B4542" t="inlineStr">
        <is>
          <t>隔日到貨🔥 日系毛邊漁夫帽 漁夫帽 遮陽帽 文藝漁夫帽 日系 軟版 韓系 穿搭必備 街頭 防曬帽 帽子</t>
        </is>
      </c>
      <c r="C4542">
        <f>IMAGE("https://cf.shopee.tw/file/ac1f61fc8078761d2aeb2bed5f4d062d_tn")</f>
        <v/>
      </c>
      <c r="D4542" t="inlineStr">
        <is>
          <t>粉色</t>
        </is>
      </c>
      <c r="E4542" t="inlineStr"/>
      <c r="F4542">
        <f>IMAGE("https://cf.shopee.tw/file/c741c83b6ab39bdc96dd0faad13b1b0c_tn")</f>
        <v/>
      </c>
    </row>
    <row r="4543">
      <c r="A4543" t="inlineStr">
        <is>
          <t>9836149822</t>
        </is>
      </c>
      <c r="B4543" t="inlineStr">
        <is>
          <t>隔日到貨🔥 日系毛邊漁夫帽 漁夫帽 遮陽帽 文藝漁夫帽 日系 軟版 韓系 穿搭必備 街頭 防曬帽 帽子</t>
        </is>
      </c>
      <c r="C4543">
        <f>IMAGE("https://cf.shopee.tw/file/ac1f61fc8078761d2aeb2bed5f4d062d_tn")</f>
        <v/>
      </c>
      <c r="D4543" t="inlineStr">
        <is>
          <t>藍色</t>
        </is>
      </c>
      <c r="E4543" t="inlineStr">
        <is>
          <t>44588630883</t>
        </is>
      </c>
      <c r="F4543">
        <f>IMAGE("https://cf.shopee.tw/file/65e5b878fa6e5ca6c87375b36f545e59_tn")</f>
        <v/>
      </c>
    </row>
    <row r="4544">
      <c r="A4544" t="inlineStr">
        <is>
          <t>9836149822</t>
        </is>
      </c>
      <c r="B4544" t="inlineStr">
        <is>
          <t>隔日到貨🔥 日系毛邊漁夫帽 漁夫帽 遮陽帽 文藝漁夫帽 日系 軟版 韓系 穿搭必備 街頭 防曬帽 帽子</t>
        </is>
      </c>
      <c r="C4544">
        <f>IMAGE("https://cf.shopee.tw/file/ac1f61fc8078761d2aeb2bed5f4d062d_tn")</f>
        <v/>
      </c>
      <c r="D4544" t="inlineStr">
        <is>
          <t>米白色</t>
        </is>
      </c>
      <c r="E4544" t="inlineStr"/>
      <c r="F4544">
        <f>IMAGE("https://cf.shopee.tw/file/92070c67fc9ea18017bd6eda0e49f4ee_tn")</f>
        <v/>
      </c>
    </row>
    <row r="4545">
      <c r="A4545" t="inlineStr">
        <is>
          <t>57107529666</t>
        </is>
      </c>
      <c r="B4545" t="inlineStr">
        <is>
          <t>隔日到貨🔥 iPhone 手機殼 17 16 15 14 13 12 11 XS XR SE3 X 保護殼 軟殼 蘋果</t>
        </is>
      </c>
      <c r="C4545">
        <f>IMAGE("https://cf.shopee.tw/file/tw-11134207-820lb-mm4u0xrovpqd30_tn")</f>
        <v/>
      </c>
      <c r="D4545" t="inlineStr">
        <is>
          <t>電鍍鏡面 星粉蝴蝶結,11 Pro</t>
        </is>
      </c>
      <c r="E4545" t="inlineStr"/>
      <c r="F4545">
        <f>IMAGE("https://cf.shopee.tw/file/tw-11134207-820l6-mm4u2hau5w5r03_tn")</f>
        <v/>
      </c>
    </row>
    <row r="4546">
      <c r="A4546" t="inlineStr">
        <is>
          <t>57107529666</t>
        </is>
      </c>
      <c r="B4546" t="inlineStr">
        <is>
          <t>隔日到貨🔥 iPhone 手機殼 17 16 15 14 13 12 11 XS XR SE3 X 保護殼 軟殼 蘋果</t>
        </is>
      </c>
      <c r="C4546">
        <f>IMAGE("https://cf.shopee.tw/file/tw-11134207-820lb-mm4u0xrovpqd30_tn")</f>
        <v/>
      </c>
      <c r="D4546" t="inlineStr">
        <is>
          <t>電鍍鏡面 星粉蝴蝶結,17 Air</t>
        </is>
      </c>
      <c r="E4546" t="inlineStr"/>
      <c r="F4546">
        <f>IMAGE("https://cf.shopee.tw/file/tw-11134207-820l6-mm4u2hau5w5r03_tn")</f>
        <v/>
      </c>
    </row>
    <row r="4547">
      <c r="A4547" t="inlineStr">
        <is>
          <t>57107529666</t>
        </is>
      </c>
      <c r="B4547" t="inlineStr">
        <is>
          <t>隔日到貨🔥 iPhone 手機殼 17 16 15 14 13 12 11 XS XR SE3 X 保護殼 軟殼 蘋果</t>
        </is>
      </c>
      <c r="C4547">
        <f>IMAGE("https://cf.shopee.tw/file/tw-11134207-820lb-mm4u0xrovpqd30_tn")</f>
        <v/>
      </c>
      <c r="D4547" t="inlineStr">
        <is>
          <t>電鍍鏡面 星粉蝴蝶結,11</t>
        </is>
      </c>
      <c r="E4547" t="inlineStr"/>
      <c r="F4547">
        <f>IMAGE("https://cf.shopee.tw/file/tw-11134207-820l6-mm4u2hau5w5r03_tn")</f>
        <v/>
      </c>
    </row>
    <row r="4548">
      <c r="A4548" t="inlineStr">
        <is>
          <t>57107529666</t>
        </is>
      </c>
      <c r="B4548" t="inlineStr">
        <is>
          <t>隔日到貨🔥 iPhone 手機殼 17 16 15 14 13 12 11 XS XR SE3 X 保護殼 軟殼 蘋果</t>
        </is>
      </c>
      <c r="C4548">
        <f>IMAGE("https://cf.shopee.tw/file/tw-11134207-820lb-mm4u0xrovpqd30_tn")</f>
        <v/>
      </c>
      <c r="D4548" t="inlineStr">
        <is>
          <t>電鍍鏡面 星粉蝴蝶結,11 Pro Max</t>
        </is>
      </c>
      <c r="E4548" t="inlineStr"/>
      <c r="F4548">
        <f>IMAGE("https://cf.shopee.tw/file/tw-11134207-820l6-mm4u2hau5w5r03_tn")</f>
        <v/>
      </c>
    </row>
    <row r="4549">
      <c r="A4549" t="inlineStr">
        <is>
          <t>57107529666</t>
        </is>
      </c>
      <c r="B4549" t="inlineStr">
        <is>
          <t>隔日到貨🔥 iPhone 手機殼 17 16 15 14 13 12 11 XS XR SE3 X 保護殼 軟殼 蘋果</t>
        </is>
      </c>
      <c r="C4549">
        <f>IMAGE("https://cf.shopee.tw/file/tw-11134207-820lb-mm4u0xrovpqd30_tn")</f>
        <v/>
      </c>
      <c r="D4549" t="inlineStr">
        <is>
          <t>電鍍鏡面 星粉蝴蝶結,12/12 Pro</t>
        </is>
      </c>
      <c r="E4549" t="inlineStr"/>
      <c r="F4549">
        <f>IMAGE("https://cf.shopee.tw/file/tw-11134207-820l6-mm4u2hau5w5r03_tn")</f>
        <v/>
      </c>
    </row>
    <row r="4550">
      <c r="A4550" t="inlineStr">
        <is>
          <t>57107529666</t>
        </is>
      </c>
      <c r="B4550" t="inlineStr">
        <is>
          <t>隔日到貨🔥 iPhone 手機殼 17 16 15 14 13 12 11 XS XR SE3 X 保護殼 軟殼 蘋果</t>
        </is>
      </c>
      <c r="C4550">
        <f>IMAGE("https://cf.shopee.tw/file/tw-11134207-820lb-mm4u0xrovpqd30_tn")</f>
        <v/>
      </c>
      <c r="D4550" t="inlineStr">
        <is>
          <t>電鍍鏡面 星粉蝴蝶結,12 Pro Max</t>
        </is>
      </c>
      <c r="E4550" t="inlineStr"/>
      <c r="F4550">
        <f>IMAGE("https://cf.shopee.tw/file/tw-11134207-820l6-mm4u2hau5w5r03_tn")</f>
        <v/>
      </c>
    </row>
    <row r="4551">
      <c r="A4551" t="inlineStr">
        <is>
          <t>57107529666</t>
        </is>
      </c>
      <c r="B4551" t="inlineStr">
        <is>
          <t>隔日到貨🔥 iPhone 手機殼 17 16 15 14 13 12 11 XS XR SE3 X 保護殼 軟殼 蘋果</t>
        </is>
      </c>
      <c r="C4551">
        <f>IMAGE("https://cf.shopee.tw/file/tw-11134207-820lb-mm4u0xrovpqd30_tn")</f>
        <v/>
      </c>
      <c r="D4551" t="inlineStr">
        <is>
          <t>電鍍鏡面 星粉蝴蝶結,13 / 14</t>
        </is>
      </c>
      <c r="E4551" t="inlineStr"/>
      <c r="F4551">
        <f>IMAGE("https://cf.shopee.tw/file/tw-11134207-820l6-mm4u2hau5w5r03_tn")</f>
        <v/>
      </c>
    </row>
    <row r="4552">
      <c r="A4552" t="inlineStr">
        <is>
          <t>57107529666</t>
        </is>
      </c>
      <c r="B4552" t="inlineStr">
        <is>
          <t>隔日到貨🔥 iPhone 手機殼 17 16 15 14 13 12 11 XS XR SE3 X 保護殼 軟殼 蘋果</t>
        </is>
      </c>
      <c r="C4552">
        <f>IMAGE("https://cf.shopee.tw/file/tw-11134207-820lb-mm4u0xrovpqd30_tn")</f>
        <v/>
      </c>
      <c r="D4552" t="inlineStr">
        <is>
          <t>電鍍鏡面 星粉蝴蝶結,13 Pro</t>
        </is>
      </c>
      <c r="E4552" t="inlineStr"/>
      <c r="F4552">
        <f>IMAGE("https://cf.shopee.tw/file/tw-11134207-820l6-mm4u2hau5w5r03_tn")</f>
        <v/>
      </c>
    </row>
    <row r="4553">
      <c r="A4553" t="inlineStr">
        <is>
          <t>57107529666</t>
        </is>
      </c>
      <c r="B4553" t="inlineStr">
        <is>
          <t>隔日到貨🔥 iPhone 手機殼 17 16 15 14 13 12 11 XS XR SE3 X 保護殼 軟殼 蘋果</t>
        </is>
      </c>
      <c r="C4553">
        <f>IMAGE("https://cf.shopee.tw/file/tw-11134207-820lb-mm4u0xrovpqd30_tn")</f>
        <v/>
      </c>
      <c r="D4553" t="inlineStr">
        <is>
          <t>電鍍鏡面 星粉蝴蝶結,13 Pro Max</t>
        </is>
      </c>
      <c r="E4553" t="inlineStr"/>
      <c r="F4553">
        <f>IMAGE("https://cf.shopee.tw/file/tw-11134207-820l6-mm4u2hau5w5r03_tn")</f>
        <v/>
      </c>
    </row>
    <row r="4554">
      <c r="A4554" t="inlineStr">
        <is>
          <t>57107529666</t>
        </is>
      </c>
      <c r="B4554" t="inlineStr">
        <is>
          <t>隔日到貨🔥 iPhone 手機殼 17 16 15 14 13 12 11 XS XR SE3 X 保護殼 軟殼 蘋果</t>
        </is>
      </c>
      <c r="C4554">
        <f>IMAGE("https://cf.shopee.tw/file/tw-11134207-820lb-mm4u0xrovpqd30_tn")</f>
        <v/>
      </c>
      <c r="D4554" t="inlineStr">
        <is>
          <t>電鍍鏡面 星粉蝴蝶結,14 Plus / 15 Plus</t>
        </is>
      </c>
      <c r="E4554" t="inlineStr"/>
      <c r="F4554">
        <f>IMAGE("https://cf.shopee.tw/file/tw-11134207-820l6-mm4u2hau5w5r03_tn")</f>
        <v/>
      </c>
    </row>
    <row r="4555">
      <c r="A4555" t="inlineStr">
        <is>
          <t>57107529666</t>
        </is>
      </c>
      <c r="B4555" t="inlineStr">
        <is>
          <t>隔日到貨🔥 iPhone 手機殼 17 16 15 14 13 12 11 XS XR SE3 X 保護殼 軟殼 蘋果</t>
        </is>
      </c>
      <c r="C4555">
        <f>IMAGE("https://cf.shopee.tw/file/tw-11134207-820lb-mm4u0xrovpqd30_tn")</f>
        <v/>
      </c>
      <c r="D4555" t="inlineStr">
        <is>
          <t>電鍍鏡面 星粉蝴蝶結,14 Pro</t>
        </is>
      </c>
      <c r="E4555" t="inlineStr"/>
      <c r="F4555">
        <f>IMAGE("https://cf.shopee.tw/file/tw-11134207-820l6-mm4u2hau5w5r03_tn")</f>
        <v/>
      </c>
    </row>
    <row r="4556">
      <c r="A4556" t="inlineStr">
        <is>
          <t>57107529666</t>
        </is>
      </c>
      <c r="B4556" t="inlineStr">
        <is>
          <t>隔日到貨🔥 iPhone 手機殼 17 16 15 14 13 12 11 XS XR SE3 X 保護殼 軟殼 蘋果</t>
        </is>
      </c>
      <c r="C4556">
        <f>IMAGE("https://cf.shopee.tw/file/tw-11134207-820lb-mm4u0xrovpqd30_tn")</f>
        <v/>
      </c>
      <c r="D4556" t="inlineStr">
        <is>
          <t>電鍍鏡面 星粉蝴蝶結,14 Pro Max</t>
        </is>
      </c>
      <c r="E4556" t="inlineStr"/>
      <c r="F4556">
        <f>IMAGE("https://cf.shopee.tw/file/tw-11134207-820l6-mm4u2hau5w5r03_tn")</f>
        <v/>
      </c>
    </row>
    <row r="4557">
      <c r="A4557" t="inlineStr">
        <is>
          <t>57107529666</t>
        </is>
      </c>
      <c r="B4557" t="inlineStr">
        <is>
          <t>隔日到貨🔥 iPhone 手機殼 17 16 15 14 13 12 11 XS XR SE3 X 保護殼 軟殼 蘋果</t>
        </is>
      </c>
      <c r="C4557">
        <f>IMAGE("https://cf.shopee.tw/file/tw-11134207-820lb-mm4u0xrovpqd30_tn")</f>
        <v/>
      </c>
      <c r="D4557" t="inlineStr">
        <is>
          <t>電鍍鏡面 星粉蝴蝶結,15</t>
        </is>
      </c>
      <c r="E4557" t="inlineStr"/>
      <c r="F4557">
        <f>IMAGE("https://cf.shopee.tw/file/tw-11134207-820l6-mm4u2hau5w5r03_tn")</f>
        <v/>
      </c>
    </row>
    <row r="4558">
      <c r="A4558" t="inlineStr">
        <is>
          <t>57107529666</t>
        </is>
      </c>
      <c r="B4558" t="inlineStr">
        <is>
          <t>隔日到貨🔥 iPhone 手機殼 17 16 15 14 13 12 11 XS XR SE3 X 保護殼 軟殼 蘋果</t>
        </is>
      </c>
      <c r="C4558">
        <f>IMAGE("https://cf.shopee.tw/file/tw-11134207-820lb-mm4u0xrovpqd30_tn")</f>
        <v/>
      </c>
      <c r="D4558" t="inlineStr">
        <is>
          <t>電鍍鏡面 星粉蝴蝶結,15 Pro</t>
        </is>
      </c>
      <c r="E4558" t="inlineStr"/>
      <c r="F4558">
        <f>IMAGE("https://cf.shopee.tw/file/tw-11134207-820l6-mm4u2hau5w5r03_tn")</f>
        <v/>
      </c>
    </row>
    <row r="4559">
      <c r="A4559" t="inlineStr">
        <is>
          <t>57107529666</t>
        </is>
      </c>
      <c r="B4559" t="inlineStr">
        <is>
          <t>隔日到貨🔥 iPhone 手機殼 17 16 15 14 13 12 11 XS XR SE3 X 保護殼 軟殼 蘋果</t>
        </is>
      </c>
      <c r="C4559">
        <f>IMAGE("https://cf.shopee.tw/file/tw-11134207-820lb-mm4u0xrovpqd30_tn")</f>
        <v/>
      </c>
      <c r="D4559" t="inlineStr">
        <is>
          <t>電鍍鏡面 星粉蝴蝶結,15 Pro Max</t>
        </is>
      </c>
      <c r="E4559" t="inlineStr"/>
      <c r="F4559">
        <f>IMAGE("https://cf.shopee.tw/file/tw-11134207-820l6-mm4u2hau5w5r03_tn")</f>
        <v/>
      </c>
    </row>
    <row r="4560">
      <c r="A4560" t="inlineStr">
        <is>
          <t>57107529666</t>
        </is>
      </c>
      <c r="B4560" t="inlineStr">
        <is>
          <t>隔日到貨🔥 iPhone 手機殼 17 16 15 14 13 12 11 XS XR SE3 X 保護殼 軟殼 蘋果</t>
        </is>
      </c>
      <c r="C4560">
        <f>IMAGE("https://cf.shopee.tw/file/tw-11134207-820lb-mm4u0xrovpqd30_tn")</f>
        <v/>
      </c>
      <c r="D4560" t="inlineStr">
        <is>
          <t>電鍍鏡面 星粉蝴蝶結,16</t>
        </is>
      </c>
      <c r="E4560" t="inlineStr"/>
      <c r="F4560">
        <f>IMAGE("https://cf.shopee.tw/file/tw-11134207-820l6-mm4u2hau5w5r03_tn")</f>
        <v/>
      </c>
    </row>
    <row r="4561">
      <c r="A4561" t="inlineStr">
        <is>
          <t>57107529666</t>
        </is>
      </c>
      <c r="B4561" t="inlineStr">
        <is>
          <t>隔日到貨🔥 iPhone 手機殼 17 16 15 14 13 12 11 XS XR SE3 X 保護殼 軟殼 蘋果</t>
        </is>
      </c>
      <c r="C4561">
        <f>IMAGE("https://cf.shopee.tw/file/tw-11134207-820lb-mm4u0xrovpqd30_tn")</f>
        <v/>
      </c>
      <c r="D4561" t="inlineStr">
        <is>
          <t>電鍍鏡面 星粉蝴蝶結,16 Plus</t>
        </is>
      </c>
      <c r="E4561" t="inlineStr"/>
      <c r="F4561">
        <f>IMAGE("https://cf.shopee.tw/file/tw-11134207-820l6-mm4u2hau5w5r03_tn")</f>
        <v/>
      </c>
    </row>
    <row r="4562">
      <c r="A4562" t="inlineStr">
        <is>
          <t>57107529666</t>
        </is>
      </c>
      <c r="B4562" t="inlineStr">
        <is>
          <t>隔日到貨🔥 iPhone 手機殼 17 16 15 14 13 12 11 XS XR SE3 X 保護殼 軟殼 蘋果</t>
        </is>
      </c>
      <c r="C4562">
        <f>IMAGE("https://cf.shopee.tw/file/tw-11134207-820lb-mm4u0xrovpqd30_tn")</f>
        <v/>
      </c>
      <c r="D4562" t="inlineStr">
        <is>
          <t>電鍍鏡面 星粉蝴蝶結,16 Pro</t>
        </is>
      </c>
      <c r="E4562" t="inlineStr"/>
      <c r="F4562">
        <f>IMAGE("https://cf.shopee.tw/file/tw-11134207-820l6-mm4u2hau5w5r03_tn")</f>
        <v/>
      </c>
    </row>
    <row r="4563">
      <c r="A4563" t="inlineStr">
        <is>
          <t>57107529666</t>
        </is>
      </c>
      <c r="B4563" t="inlineStr">
        <is>
          <t>隔日到貨🔥 iPhone 手機殼 17 16 15 14 13 12 11 XS XR SE3 X 保護殼 軟殼 蘋果</t>
        </is>
      </c>
      <c r="C4563">
        <f>IMAGE("https://cf.shopee.tw/file/tw-11134207-820lb-mm4u0xrovpqd30_tn")</f>
        <v/>
      </c>
      <c r="D4563" t="inlineStr">
        <is>
          <t>電鍍鏡面 星粉蝴蝶結,16 Pro Max</t>
        </is>
      </c>
      <c r="E4563" t="inlineStr"/>
      <c r="F4563">
        <f>IMAGE("https://cf.shopee.tw/file/tw-11134207-820l6-mm4u2hau5w5r03_tn")</f>
        <v/>
      </c>
    </row>
    <row r="4564">
      <c r="A4564" t="inlineStr">
        <is>
          <t>57107529666</t>
        </is>
      </c>
      <c r="B4564" t="inlineStr">
        <is>
          <t>隔日到貨🔥 iPhone 手機殼 17 16 15 14 13 12 11 XS XR SE3 X 保護殼 軟殼 蘋果</t>
        </is>
      </c>
      <c r="C4564">
        <f>IMAGE("https://cf.shopee.tw/file/tw-11134207-820lb-mm4u0xrovpqd30_tn")</f>
        <v/>
      </c>
      <c r="D4564" t="inlineStr">
        <is>
          <t>電鍍鏡面 星粉蝴蝶結,17</t>
        </is>
      </c>
      <c r="E4564" t="inlineStr"/>
      <c r="F4564">
        <f>IMAGE("https://cf.shopee.tw/file/tw-11134207-820l6-mm4u2hau5w5r03_tn")</f>
        <v/>
      </c>
    </row>
    <row r="4565">
      <c r="A4565" t="inlineStr">
        <is>
          <t>57107529666</t>
        </is>
      </c>
      <c r="B4565" t="inlineStr">
        <is>
          <t>隔日到貨🔥 iPhone 手機殼 17 16 15 14 13 12 11 XS XR SE3 X 保護殼 軟殼 蘋果</t>
        </is>
      </c>
      <c r="C4565">
        <f>IMAGE("https://cf.shopee.tw/file/tw-11134207-820lb-mm4u0xrovpqd30_tn")</f>
        <v/>
      </c>
      <c r="D4565" t="inlineStr">
        <is>
          <t>電鍍鏡面 星粉蝴蝶結,17 Pro</t>
        </is>
      </c>
      <c r="E4565" t="inlineStr"/>
      <c r="F4565">
        <f>IMAGE("https://cf.shopee.tw/file/tw-11134207-820l6-mm4u2hau5w5r03_tn")</f>
        <v/>
      </c>
    </row>
    <row r="4566">
      <c r="A4566" t="inlineStr">
        <is>
          <t>57107529666</t>
        </is>
      </c>
      <c r="B4566" t="inlineStr">
        <is>
          <t>隔日到貨🔥 iPhone 手機殼 17 16 15 14 13 12 11 XS XR SE3 X 保護殼 軟殼 蘋果</t>
        </is>
      </c>
      <c r="C4566">
        <f>IMAGE("https://cf.shopee.tw/file/tw-11134207-820lb-mm4u0xrovpqd30_tn")</f>
        <v/>
      </c>
      <c r="D4566" t="inlineStr">
        <is>
          <t>電鍍鏡面 星粉蝴蝶結,17 Pro Max</t>
        </is>
      </c>
      <c r="E4566" t="inlineStr"/>
      <c r="F4566">
        <f>IMAGE("https://cf.shopee.tw/file/tw-11134207-820l6-mm4u2hau5w5r03_tn")</f>
        <v/>
      </c>
    </row>
    <row r="4567">
      <c r="A4567" t="inlineStr">
        <is>
          <t>9709569250</t>
        </is>
      </c>
      <c r="B4567" t="inlineStr">
        <is>
          <t>隔日到貨🔥 學院風 字母logo針織毛帽 長毛帽 針織毛帽 情侶帽 毛帽 ins 韓系穿搭 棉質毛帽 素面毛帽</t>
        </is>
      </c>
      <c r="C4567">
        <f>IMAGE("https://cf.shopee.tw/file/sg-11134201-22120-16roqnrzn3kv92_tn")</f>
        <v/>
      </c>
      <c r="D4567" t="inlineStr">
        <is>
          <t>湖藍色M (56-58cm)</t>
        </is>
      </c>
      <c r="E4567" t="inlineStr"/>
      <c r="F4567">
        <f>IMAGE("https://cf.shopee.tw/file/5a22d214faf9a9c2df7cd4afa3a4fbe9_tn")</f>
        <v/>
      </c>
    </row>
    <row r="4568">
      <c r="A4568" t="inlineStr">
        <is>
          <t>9709569250</t>
        </is>
      </c>
      <c r="B4568" t="inlineStr">
        <is>
          <t>隔日到貨🔥 學院風 字母logo針織毛帽 長毛帽 針織毛帽 情侶帽 毛帽 ins 韓系穿搭 棉質毛帽 素面毛帽</t>
        </is>
      </c>
      <c r="C4568">
        <f>IMAGE("https://cf.shopee.tw/file/sg-11134201-22120-16roqnrzn3kv92_tn")</f>
        <v/>
      </c>
      <c r="D4568" t="inlineStr">
        <is>
          <t>黑色 M (56-58cm)</t>
        </is>
      </c>
      <c r="E4568" t="inlineStr">
        <is>
          <t>63316011365</t>
        </is>
      </c>
      <c r="F4568">
        <f>IMAGE("https://cf.shopee.tw/file/375e691346c5ef48c5c80718c675da60_tn")</f>
        <v/>
      </c>
    </row>
    <row r="4569">
      <c r="A4569" t="inlineStr">
        <is>
          <t>9709569250</t>
        </is>
      </c>
      <c r="B4569" t="inlineStr">
        <is>
          <t>隔日到貨🔥 學院風 字母logo針織毛帽 長毛帽 針織毛帽 情侶帽 毛帽 ins 韓系穿搭 棉質毛帽 素面毛帽</t>
        </is>
      </c>
      <c r="C4569">
        <f>IMAGE("https://cf.shopee.tw/file/sg-11134201-22120-16roqnrzn3kv92_tn")</f>
        <v/>
      </c>
      <c r="D4569" t="inlineStr">
        <is>
          <t>焦黃色 M (56-58cm)</t>
        </is>
      </c>
      <c r="E4569" t="inlineStr"/>
      <c r="F4569">
        <f>IMAGE("https://cf.shopee.tw/file/9a0d79f3a6f04c912f1c9e1e4fc26c7a_tn")</f>
        <v/>
      </c>
    </row>
    <row r="4570">
      <c r="A4570" t="inlineStr">
        <is>
          <t>9709569250</t>
        </is>
      </c>
      <c r="B4570" t="inlineStr">
        <is>
          <t>隔日到貨🔥 學院風 字母logo針織毛帽 長毛帽 針織毛帽 情侶帽 毛帽 ins 韓系穿搭 棉質毛帽 素面毛帽</t>
        </is>
      </c>
      <c r="C4570">
        <f>IMAGE("https://cf.shopee.tw/file/sg-11134201-22120-16roqnrzn3kv92_tn")</f>
        <v/>
      </c>
      <c r="D4570" t="inlineStr">
        <is>
          <t>米白色 M (56-58cm)</t>
        </is>
      </c>
      <c r="E4570" t="inlineStr"/>
      <c r="F4570">
        <f>IMAGE("https://cf.shopee.tw/file/e35c607906734023705fbfbeb7af5f75_tn")</f>
        <v/>
      </c>
    </row>
    <row r="4571">
      <c r="A4571" t="inlineStr">
        <is>
          <t>9709569250</t>
        </is>
      </c>
      <c r="B4571" t="inlineStr">
        <is>
          <t>隔日到貨🔥 學院風 字母logo針織毛帽 長毛帽 針織毛帽 情侶帽 毛帽 ins 韓系穿搭 棉質毛帽 素面毛帽</t>
        </is>
      </c>
      <c r="C4571">
        <f>IMAGE("https://cf.shopee.tw/file/sg-11134201-22120-16roqnrzn3kv92_tn")</f>
        <v/>
      </c>
      <c r="D4571" t="inlineStr">
        <is>
          <t>淺灰色 M (56-58cm)</t>
        </is>
      </c>
      <c r="E4571" t="inlineStr"/>
      <c r="F4571">
        <f>IMAGE("https://cf.shopee.tw/file/8a425cacfc2b43f2a7343c8bfd3a0cce_tn")</f>
        <v/>
      </c>
    </row>
    <row r="4572">
      <c r="A4572" t="inlineStr">
        <is>
          <t>9709569250</t>
        </is>
      </c>
      <c r="B4572" t="inlineStr">
        <is>
          <t>隔日到貨🔥 學院風 字母logo針織毛帽 長毛帽 針織毛帽 情侶帽 毛帽 ins 韓系穿搭 棉質毛帽 素面毛帽</t>
        </is>
      </c>
      <c r="C4572">
        <f>IMAGE("https://cf.shopee.tw/file/sg-11134201-22120-16roqnrzn3kv92_tn")</f>
        <v/>
      </c>
      <c r="D4572" t="inlineStr">
        <is>
          <t>卡其色 M (56-58cm)</t>
        </is>
      </c>
      <c r="E4572" t="inlineStr"/>
      <c r="F4572">
        <f>IMAGE("https://cf.shopee.tw/file/0b6398cb5561540a892d7d01a9fe56c2_tn")</f>
        <v/>
      </c>
    </row>
    <row r="4573">
      <c r="A4573" t="inlineStr">
        <is>
          <t>9709569250</t>
        </is>
      </c>
      <c r="B4573" t="inlineStr">
        <is>
          <t>隔日到貨🔥 學院風 字母logo針織毛帽 長毛帽 針織毛帽 情侶帽 毛帽 ins 韓系穿搭 棉質毛帽 素面毛帽</t>
        </is>
      </c>
      <c r="C4573">
        <f>IMAGE("https://cf.shopee.tw/file/sg-11134201-22120-16roqnrzn3kv92_tn")</f>
        <v/>
      </c>
      <c r="D4573" t="inlineStr">
        <is>
          <t>橘色 M(56-58cm)</t>
        </is>
      </c>
      <c r="E4573" t="inlineStr">
        <is>
          <t>73719635973</t>
        </is>
      </c>
      <c r="F4573">
        <f>IMAGE("https://cf.shopee.tw/file/018a621dcce195aadde413774db393f8_tn")</f>
        <v/>
      </c>
    </row>
    <row r="4574">
      <c r="A4574" t="inlineStr">
        <is>
          <t>9709569250</t>
        </is>
      </c>
      <c r="B4574" t="inlineStr">
        <is>
          <t>隔日到貨🔥 學院風 字母logo針織毛帽 長毛帽 針織毛帽 情侶帽 毛帽 ins 韓系穿搭 棉質毛帽 素面毛帽</t>
        </is>
      </c>
      <c r="C4574">
        <f>IMAGE("https://cf.shopee.tw/file/sg-11134201-22120-16roqnrzn3kv92_tn")</f>
        <v/>
      </c>
      <c r="D4574" t="inlineStr">
        <is>
          <t>焦糖色 M(56-58cm)</t>
        </is>
      </c>
      <c r="E4574" t="inlineStr"/>
      <c r="F4574">
        <f>IMAGE("https://cf.shopee.tw/file/e3526bdb44fc55cdade96fdc54efe1a1_tn")</f>
        <v/>
      </c>
    </row>
    <row r="4575">
      <c r="A4575" t="inlineStr">
        <is>
          <t>9709569250</t>
        </is>
      </c>
      <c r="B4575" t="inlineStr">
        <is>
          <t>隔日到貨🔥 學院風 字母logo針織毛帽 長毛帽 針織毛帽 情侶帽 毛帽 ins 韓系穿搭 棉質毛帽 素面毛帽</t>
        </is>
      </c>
      <c r="C4575">
        <f>IMAGE("https://cf.shopee.tw/file/sg-11134201-22120-16roqnrzn3kv92_tn")</f>
        <v/>
      </c>
      <c r="D4575" t="inlineStr">
        <is>
          <t>米色 M(56-58cm)</t>
        </is>
      </c>
      <c r="E4575" t="inlineStr"/>
      <c r="F4575">
        <f>IMAGE("https://cf.shopee.tw/file/004593d36f9298f78ba87c1cbdc38549_tn")</f>
        <v/>
      </c>
    </row>
    <row r="4576">
      <c r="A4576" t="inlineStr">
        <is>
          <t>9709569250</t>
        </is>
      </c>
      <c r="B4576" t="inlineStr">
        <is>
          <t>隔日到貨🔥 學院風 字母logo針織毛帽 長毛帽 針織毛帽 情侶帽 毛帽 ins 韓系穿搭 棉質毛帽 素面毛帽</t>
        </is>
      </c>
      <c r="C4576">
        <f>IMAGE("https://cf.shopee.tw/file/sg-11134201-22120-16roqnrzn3kv92_tn")</f>
        <v/>
      </c>
      <c r="D4576" t="inlineStr">
        <is>
          <t>酒紅 M(56-58cm)</t>
        </is>
      </c>
      <c r="E4576" t="inlineStr">
        <is>
          <t>170227419288</t>
        </is>
      </c>
      <c r="F4576">
        <f>IMAGE("https://cf.shopee.tw/file/a12c4aa3275f46a8f9014a17c01e7158_tn")</f>
        <v/>
      </c>
    </row>
    <row r="4577">
      <c r="A4577" t="inlineStr">
        <is>
          <t>25127544152</t>
        </is>
      </c>
      <c r="B4577" t="inlineStr">
        <is>
          <t>隔日到貨🔥 iPhone 手機殼 16 15 14 13 12 11 pro XS XR SE 8 保護殼 軟殼 蘋果</t>
        </is>
      </c>
      <c r="C4577">
        <f>IMAGE("https://cf.shopee.tw/file/tw-11134207-7r98s-luqc17u9oi4r0b_tn")</f>
        <v/>
      </c>
      <c r="D4577" t="inlineStr">
        <is>
          <t>小狗貼貼,7/8/SE2/SE3</t>
        </is>
      </c>
      <c r="E4577" t="inlineStr">
        <is>
          <t>176449533289</t>
        </is>
      </c>
      <c r="F4577">
        <f>IMAGE("https://cf.shopee.tw/file/tw-11134207-7r991-luqcfjziaak6f3_tn")</f>
        <v/>
      </c>
    </row>
    <row r="4578">
      <c r="A4578" t="inlineStr">
        <is>
          <t>25127544152</t>
        </is>
      </c>
      <c r="B4578" t="inlineStr">
        <is>
          <t>隔日到貨🔥 iPhone 手機殼 16 15 14 13 12 11 pro XS XR SE 8 保護殼 軟殼 蘋果</t>
        </is>
      </c>
      <c r="C4578">
        <f>IMAGE("https://cf.shopee.tw/file/tw-11134207-7r98s-luqc17u9oi4r0b_tn")</f>
        <v/>
      </c>
      <c r="D4578" t="inlineStr">
        <is>
          <t>小狗貼貼,7 Plus/8 Plus</t>
        </is>
      </c>
      <c r="E4578" t="inlineStr">
        <is>
          <t>176449533290</t>
        </is>
      </c>
      <c r="F4578">
        <f>IMAGE("https://cf.shopee.tw/file/tw-11134207-7r991-luqcfjziaak6f3_tn")</f>
        <v/>
      </c>
    </row>
    <row r="4579">
      <c r="A4579" t="inlineStr">
        <is>
          <t>25127544152</t>
        </is>
      </c>
      <c r="B4579" t="inlineStr">
        <is>
          <t>隔日到貨🔥 iPhone 手機殼 16 15 14 13 12 11 pro XS XR SE 8 保護殼 軟殼 蘋果</t>
        </is>
      </c>
      <c r="C4579">
        <f>IMAGE("https://cf.shopee.tw/file/tw-11134207-7r98s-luqc17u9oi4r0b_tn")</f>
        <v/>
      </c>
      <c r="D4579" t="inlineStr">
        <is>
          <t>小狗貼貼,X / XS</t>
        </is>
      </c>
      <c r="E4579" t="inlineStr">
        <is>
          <t>176449533291</t>
        </is>
      </c>
      <c r="F4579">
        <f>IMAGE("https://cf.shopee.tw/file/tw-11134207-7r991-luqcfjziaak6f3_tn")</f>
        <v/>
      </c>
    </row>
    <row r="4580">
      <c r="A4580" t="inlineStr">
        <is>
          <t>25127544152</t>
        </is>
      </c>
      <c r="B4580" t="inlineStr">
        <is>
          <t>隔日到貨🔥 iPhone 手機殼 16 15 14 13 12 11 pro XS XR SE 8 保護殼 軟殼 蘋果</t>
        </is>
      </c>
      <c r="C4580">
        <f>IMAGE("https://cf.shopee.tw/file/tw-11134207-7r98s-luqc17u9oi4r0b_tn")</f>
        <v/>
      </c>
      <c r="D4580" t="inlineStr">
        <is>
          <t>小狗貼貼,XR</t>
        </is>
      </c>
      <c r="E4580" t="inlineStr">
        <is>
          <t>176449533292</t>
        </is>
      </c>
      <c r="F4580">
        <f>IMAGE("https://cf.shopee.tw/file/tw-11134207-7r991-luqcfjziaak6f3_tn")</f>
        <v/>
      </c>
    </row>
    <row r="4581">
      <c r="A4581" t="inlineStr">
        <is>
          <t>25127544152</t>
        </is>
      </c>
      <c r="B4581" t="inlineStr">
        <is>
          <t>隔日到貨🔥 iPhone 手機殼 16 15 14 13 12 11 pro XS XR SE 8 保護殼 軟殼 蘋果</t>
        </is>
      </c>
      <c r="C4581">
        <f>IMAGE("https://cf.shopee.tw/file/tw-11134207-7r98s-luqc17u9oi4r0b_tn")</f>
        <v/>
      </c>
      <c r="D4581" t="inlineStr">
        <is>
          <t>小狗貼貼,XS Max</t>
        </is>
      </c>
      <c r="E4581" t="inlineStr"/>
      <c r="F4581">
        <f>IMAGE("https://cf.shopee.tw/file/tw-11134207-7r991-luqcfjziaak6f3_tn")</f>
        <v/>
      </c>
    </row>
    <row r="4582">
      <c r="A4582" t="inlineStr">
        <is>
          <t>25127544152</t>
        </is>
      </c>
      <c r="B4582" t="inlineStr">
        <is>
          <t>隔日到貨🔥 iPhone 手機殼 16 15 14 13 12 11 pro XS XR SE 8 保護殼 軟殼 蘋果</t>
        </is>
      </c>
      <c r="C4582">
        <f>IMAGE("https://cf.shopee.tw/file/tw-11134207-7r98s-luqc17u9oi4r0b_tn")</f>
        <v/>
      </c>
      <c r="D4582" t="inlineStr">
        <is>
          <t>小狗貼貼,11</t>
        </is>
      </c>
      <c r="E4582" t="inlineStr">
        <is>
          <t>176449533294</t>
        </is>
      </c>
      <c r="F4582">
        <f>IMAGE("https://cf.shopee.tw/file/tw-11134207-7r991-luqcfjziaak6f3_tn")</f>
        <v/>
      </c>
    </row>
    <row r="4583">
      <c r="A4583" t="inlineStr">
        <is>
          <t>25127544152</t>
        </is>
      </c>
      <c r="B4583" t="inlineStr">
        <is>
          <t>隔日到貨🔥 iPhone 手機殼 16 15 14 13 12 11 pro XS XR SE 8 保護殼 軟殼 蘋果</t>
        </is>
      </c>
      <c r="C4583">
        <f>IMAGE("https://cf.shopee.tw/file/tw-11134207-7r98s-luqc17u9oi4r0b_tn")</f>
        <v/>
      </c>
      <c r="D4583" t="inlineStr">
        <is>
          <t>小狗貼貼,11 Pro</t>
        </is>
      </c>
      <c r="E4583" t="inlineStr">
        <is>
          <t>176449533295</t>
        </is>
      </c>
      <c r="F4583">
        <f>IMAGE("https://cf.shopee.tw/file/tw-11134207-7r991-luqcfjziaak6f3_tn")</f>
        <v/>
      </c>
    </row>
    <row r="4584">
      <c r="A4584" t="inlineStr">
        <is>
          <t>25127544152</t>
        </is>
      </c>
      <c r="B4584" t="inlineStr">
        <is>
          <t>隔日到貨🔥 iPhone 手機殼 16 15 14 13 12 11 pro XS XR SE 8 保護殼 軟殼 蘋果</t>
        </is>
      </c>
      <c r="C4584">
        <f>IMAGE("https://cf.shopee.tw/file/tw-11134207-7r98s-luqc17u9oi4r0b_tn")</f>
        <v/>
      </c>
      <c r="D4584" t="inlineStr">
        <is>
          <t>小狗貼貼,11 Pro Max</t>
        </is>
      </c>
      <c r="E4584" t="inlineStr"/>
      <c r="F4584">
        <f>IMAGE("https://cf.shopee.tw/file/tw-11134207-7r991-luqcfjziaak6f3_tn")</f>
        <v/>
      </c>
    </row>
    <row r="4585">
      <c r="A4585" t="inlineStr">
        <is>
          <t>25127544152</t>
        </is>
      </c>
      <c r="B4585" t="inlineStr">
        <is>
          <t>隔日到貨🔥 iPhone 手機殼 16 15 14 13 12 11 pro XS XR SE 8 保護殼 軟殼 蘋果</t>
        </is>
      </c>
      <c r="C4585">
        <f>IMAGE("https://cf.shopee.tw/file/tw-11134207-7r98s-luqc17u9oi4r0b_tn")</f>
        <v/>
      </c>
      <c r="D4585" t="inlineStr">
        <is>
          <t>小狗貼貼,12 / 12 Pro</t>
        </is>
      </c>
      <c r="E4585" t="inlineStr">
        <is>
          <t>176449533297</t>
        </is>
      </c>
      <c r="F4585">
        <f>IMAGE("https://cf.shopee.tw/file/tw-11134207-7r991-luqcfjziaak6f3_tn")</f>
        <v/>
      </c>
    </row>
    <row r="4586">
      <c r="A4586" t="inlineStr">
        <is>
          <t>25127544152</t>
        </is>
      </c>
      <c r="B4586" t="inlineStr">
        <is>
          <t>隔日到貨🔥 iPhone 手機殼 16 15 14 13 12 11 pro XS XR SE 8 保護殼 軟殼 蘋果</t>
        </is>
      </c>
      <c r="C4586">
        <f>IMAGE("https://cf.shopee.tw/file/tw-11134207-7r98s-luqc17u9oi4r0b_tn")</f>
        <v/>
      </c>
      <c r="D4586" t="inlineStr">
        <is>
          <t>小狗貼貼,12 Pro Max</t>
        </is>
      </c>
      <c r="E4586" t="inlineStr"/>
      <c r="F4586">
        <f>IMAGE("https://cf.shopee.tw/file/tw-11134207-7r991-luqcfjziaak6f3_tn")</f>
        <v/>
      </c>
    </row>
    <row r="4587">
      <c r="A4587" t="inlineStr">
        <is>
          <t>25127544152</t>
        </is>
      </c>
      <c r="B4587" t="inlineStr">
        <is>
          <t>隔日到貨🔥 iPhone 手機殼 16 15 14 13 12 11 pro XS XR SE 8 保護殼 軟殼 蘋果</t>
        </is>
      </c>
      <c r="C4587">
        <f>IMAGE("https://cf.shopee.tw/file/tw-11134207-7r98s-luqc17u9oi4r0b_tn")</f>
        <v/>
      </c>
      <c r="D4587" t="inlineStr">
        <is>
          <t>小狗貼貼,12 mini</t>
        </is>
      </c>
      <c r="E4587" t="inlineStr">
        <is>
          <t>176449533299</t>
        </is>
      </c>
      <c r="F4587">
        <f>IMAGE("https://cf.shopee.tw/file/tw-11134207-7r991-luqcfjziaak6f3_tn")</f>
        <v/>
      </c>
    </row>
    <row r="4588">
      <c r="A4588" t="inlineStr">
        <is>
          <t>25127544152</t>
        </is>
      </c>
      <c r="B4588" t="inlineStr">
        <is>
          <t>隔日到貨🔥 iPhone 手機殼 16 15 14 13 12 11 pro XS XR SE 8 保護殼 軟殼 蘋果</t>
        </is>
      </c>
      <c r="C4588">
        <f>IMAGE("https://cf.shopee.tw/file/tw-11134207-7r98s-luqc17u9oi4r0b_tn")</f>
        <v/>
      </c>
      <c r="D4588" t="inlineStr">
        <is>
          <t>小狗貼貼,13</t>
        </is>
      </c>
      <c r="E4588" t="inlineStr"/>
      <c r="F4588">
        <f>IMAGE("https://cf.shopee.tw/file/tw-11134207-7r991-luqcfjziaak6f3_tn")</f>
        <v/>
      </c>
    </row>
    <row r="4589">
      <c r="A4589" t="inlineStr">
        <is>
          <t>25127544152</t>
        </is>
      </c>
      <c r="B4589" t="inlineStr">
        <is>
          <t>隔日到貨🔥 iPhone 手機殼 16 15 14 13 12 11 pro XS XR SE 8 保護殼 軟殼 蘋果</t>
        </is>
      </c>
      <c r="C4589">
        <f>IMAGE("https://cf.shopee.tw/file/tw-11134207-7r98s-luqc17u9oi4r0b_tn")</f>
        <v/>
      </c>
      <c r="D4589" t="inlineStr">
        <is>
          <t>小狗貼貼,13 Pro</t>
        </is>
      </c>
      <c r="E4589" t="inlineStr">
        <is>
          <t>176449533301</t>
        </is>
      </c>
      <c r="F4589">
        <f>IMAGE("https://cf.shopee.tw/file/tw-11134207-7r991-luqcfjziaak6f3_tn")</f>
        <v/>
      </c>
    </row>
    <row r="4590">
      <c r="A4590" t="inlineStr">
        <is>
          <t>25127544152</t>
        </is>
      </c>
      <c r="B4590" t="inlineStr">
        <is>
          <t>隔日到貨🔥 iPhone 手機殼 16 15 14 13 12 11 pro XS XR SE 8 保護殼 軟殼 蘋果</t>
        </is>
      </c>
      <c r="C4590">
        <f>IMAGE("https://cf.shopee.tw/file/tw-11134207-7r98s-luqc17u9oi4r0b_tn")</f>
        <v/>
      </c>
      <c r="D4590" t="inlineStr">
        <is>
          <t>小狗貼貼,13 Pro Max</t>
        </is>
      </c>
      <c r="E4590" t="inlineStr"/>
      <c r="F4590">
        <f>IMAGE("https://cf.shopee.tw/file/tw-11134207-7r991-luqcfjziaak6f3_tn")</f>
        <v/>
      </c>
    </row>
    <row r="4591">
      <c r="A4591" t="inlineStr">
        <is>
          <t>25127544152</t>
        </is>
      </c>
      <c r="B4591" t="inlineStr">
        <is>
          <t>隔日到貨🔥 iPhone 手機殼 16 15 14 13 12 11 pro XS XR SE 8 保護殼 軟殼 蘋果</t>
        </is>
      </c>
      <c r="C4591">
        <f>IMAGE("https://cf.shopee.tw/file/tw-11134207-7r98s-luqc17u9oi4r0b_tn")</f>
        <v/>
      </c>
      <c r="D4591" t="inlineStr">
        <is>
          <t>小狗貼貼,13 mini</t>
        </is>
      </c>
      <c r="E4591" t="inlineStr"/>
      <c r="F4591">
        <f>IMAGE("https://cf.shopee.tw/file/tw-11134207-7r991-luqcfjziaak6f3_tn")</f>
        <v/>
      </c>
    </row>
    <row r="4592">
      <c r="A4592" t="inlineStr">
        <is>
          <t>25127544152</t>
        </is>
      </c>
      <c r="B4592" t="inlineStr">
        <is>
          <t>隔日到貨🔥 iPhone 手機殼 16 15 14 13 12 11 pro XS XR SE 8 保護殼 軟殼 蘋果</t>
        </is>
      </c>
      <c r="C4592">
        <f>IMAGE("https://cf.shopee.tw/file/tw-11134207-7r98s-luqc17u9oi4r0b_tn")</f>
        <v/>
      </c>
      <c r="D4592" t="inlineStr">
        <is>
          <t>小狗貼貼,14</t>
        </is>
      </c>
      <c r="E4592" t="inlineStr"/>
      <c r="F4592">
        <f>IMAGE("https://cf.shopee.tw/file/tw-11134207-7r991-luqcfjziaak6f3_tn")</f>
        <v/>
      </c>
    </row>
    <row r="4593">
      <c r="A4593" t="inlineStr">
        <is>
          <t>25127544152</t>
        </is>
      </c>
      <c r="B4593" t="inlineStr">
        <is>
          <t>隔日到貨🔥 iPhone 手機殼 16 15 14 13 12 11 pro XS XR SE 8 保護殼 軟殼 蘋果</t>
        </is>
      </c>
      <c r="C4593">
        <f>IMAGE("https://cf.shopee.tw/file/tw-11134207-7r98s-luqc17u9oi4r0b_tn")</f>
        <v/>
      </c>
      <c r="D4593" t="inlineStr">
        <is>
          <t>小狗貼貼,14 Pro</t>
        </is>
      </c>
      <c r="E4593" t="inlineStr"/>
      <c r="F4593">
        <f>IMAGE("https://cf.shopee.tw/file/tw-11134207-7r991-luqcfjziaak6f3_tn")</f>
        <v/>
      </c>
    </row>
    <row r="4594">
      <c r="A4594" t="inlineStr">
        <is>
          <t>25127544152</t>
        </is>
      </c>
      <c r="B4594" t="inlineStr">
        <is>
          <t>隔日到貨🔥 iPhone 手機殼 16 15 14 13 12 11 pro XS XR SE 8 保護殼 軟殼 蘋果</t>
        </is>
      </c>
      <c r="C4594">
        <f>IMAGE("https://cf.shopee.tw/file/tw-11134207-7r98s-luqc17u9oi4r0b_tn")</f>
        <v/>
      </c>
      <c r="D4594" t="inlineStr">
        <is>
          <t>小狗貼貼,14 Pro Max</t>
        </is>
      </c>
      <c r="E4594" t="inlineStr"/>
      <c r="F4594">
        <f>IMAGE("https://cf.shopee.tw/file/tw-11134207-7r991-luqcfjziaak6f3_tn")</f>
        <v/>
      </c>
    </row>
    <row r="4595">
      <c r="A4595" t="inlineStr">
        <is>
          <t>25127544152</t>
        </is>
      </c>
      <c r="B4595" t="inlineStr">
        <is>
          <t>隔日到貨🔥 iPhone 手機殼 16 15 14 13 12 11 pro XS XR SE 8 保護殼 軟殼 蘋果</t>
        </is>
      </c>
      <c r="C4595">
        <f>IMAGE("https://cf.shopee.tw/file/tw-11134207-7r98s-luqc17u9oi4r0b_tn")</f>
        <v/>
      </c>
      <c r="D4595" t="inlineStr">
        <is>
          <t>小狗貼貼,14 Plus</t>
        </is>
      </c>
      <c r="E4595" t="inlineStr">
        <is>
          <t>176449533307</t>
        </is>
      </c>
      <c r="F4595">
        <f>IMAGE("https://cf.shopee.tw/file/tw-11134207-7r991-luqcfjziaak6f3_tn")</f>
        <v/>
      </c>
    </row>
    <row r="4596">
      <c r="A4596" t="inlineStr">
        <is>
          <t>25127544152</t>
        </is>
      </c>
      <c r="B4596" t="inlineStr">
        <is>
          <t>隔日到貨🔥 iPhone 手機殼 16 15 14 13 12 11 pro XS XR SE 8 保護殼 軟殼 蘋果</t>
        </is>
      </c>
      <c r="C4596">
        <f>IMAGE("https://cf.shopee.tw/file/tw-11134207-7r98s-luqc17u9oi4r0b_tn")</f>
        <v/>
      </c>
      <c r="D4596" t="inlineStr">
        <is>
          <t>小狗貼貼,15</t>
        </is>
      </c>
      <c r="E4596" t="inlineStr">
        <is>
          <t>176449533308</t>
        </is>
      </c>
      <c r="F4596">
        <f>IMAGE("https://cf.shopee.tw/file/tw-11134207-7r991-luqcfjziaak6f3_tn")</f>
        <v/>
      </c>
    </row>
    <row r="4597">
      <c r="A4597" t="inlineStr">
        <is>
          <t>25127544152</t>
        </is>
      </c>
      <c r="B4597" t="inlineStr">
        <is>
          <t>隔日到貨🔥 iPhone 手機殼 16 15 14 13 12 11 pro XS XR SE 8 保護殼 軟殼 蘋果</t>
        </is>
      </c>
      <c r="C4597">
        <f>IMAGE("https://cf.shopee.tw/file/tw-11134207-7r98s-luqc17u9oi4r0b_tn")</f>
        <v/>
      </c>
      <c r="D4597" t="inlineStr">
        <is>
          <t>小狗貼貼,15 Pro</t>
        </is>
      </c>
      <c r="E4597" t="inlineStr"/>
      <c r="F4597">
        <f>IMAGE("https://cf.shopee.tw/file/tw-11134207-7r991-luqcfjziaak6f3_tn")</f>
        <v/>
      </c>
    </row>
    <row r="4598">
      <c r="A4598" t="inlineStr">
        <is>
          <t>25127544152</t>
        </is>
      </c>
      <c r="B4598" t="inlineStr">
        <is>
          <t>隔日到貨🔥 iPhone 手機殼 16 15 14 13 12 11 pro XS XR SE 8 保護殼 軟殼 蘋果</t>
        </is>
      </c>
      <c r="C4598">
        <f>IMAGE("https://cf.shopee.tw/file/tw-11134207-7r98s-luqc17u9oi4r0b_tn")</f>
        <v/>
      </c>
      <c r="D4598" t="inlineStr">
        <is>
          <t>小狗貼貼,15 Pro Max</t>
        </is>
      </c>
      <c r="E4598" t="inlineStr"/>
      <c r="F4598">
        <f>IMAGE("https://cf.shopee.tw/file/tw-11134207-7r991-luqcfjziaak6f3_tn")</f>
        <v/>
      </c>
    </row>
    <row r="4599">
      <c r="A4599" t="inlineStr">
        <is>
          <t>25127544152</t>
        </is>
      </c>
      <c r="B4599" t="inlineStr">
        <is>
          <t>隔日到貨🔥 iPhone 手機殼 16 15 14 13 12 11 pro XS XR SE 8 保護殼 軟殼 蘋果</t>
        </is>
      </c>
      <c r="C4599">
        <f>IMAGE("https://cf.shopee.tw/file/tw-11134207-7r98s-luqc17u9oi4r0b_tn")</f>
        <v/>
      </c>
      <c r="D4599" t="inlineStr">
        <is>
          <t>小狗貼貼,15 Plus</t>
        </is>
      </c>
      <c r="E4599" t="inlineStr"/>
      <c r="F4599">
        <f>IMAGE("https://cf.shopee.tw/file/tw-11134207-7r991-luqcfjziaak6f3_tn")</f>
        <v/>
      </c>
    </row>
    <row r="4600">
      <c r="A4600" t="inlineStr">
        <is>
          <t>25127544152</t>
        </is>
      </c>
      <c r="B4600" t="inlineStr">
        <is>
          <t>隔日到貨🔥 iPhone 手機殼 16 15 14 13 12 11 pro XS XR SE 8 保護殼 軟殼 蘋果</t>
        </is>
      </c>
      <c r="C4600">
        <f>IMAGE("https://cf.shopee.tw/file/tw-11134207-7r98s-luqc17u9oi4r0b_tn")</f>
        <v/>
      </c>
      <c r="D4600" t="inlineStr">
        <is>
          <t>小狗貼貼,16</t>
        </is>
      </c>
      <c r="E4600" t="inlineStr"/>
      <c r="F4600">
        <f>IMAGE("https://cf.shopee.tw/file/tw-11134207-7r991-luqcfjziaak6f3_tn")</f>
        <v/>
      </c>
    </row>
    <row r="4601">
      <c r="A4601" t="inlineStr">
        <is>
          <t>25127544152</t>
        </is>
      </c>
      <c r="B4601" t="inlineStr">
        <is>
          <t>隔日到貨🔥 iPhone 手機殼 16 15 14 13 12 11 pro XS XR SE 8 保護殼 軟殼 蘋果</t>
        </is>
      </c>
      <c r="C4601">
        <f>IMAGE("https://cf.shopee.tw/file/tw-11134207-7r98s-luqc17u9oi4r0b_tn")</f>
        <v/>
      </c>
      <c r="D4601" t="inlineStr">
        <is>
          <t>小狗貼貼,16 Pro</t>
        </is>
      </c>
      <c r="E4601" t="inlineStr">
        <is>
          <t>246619768482</t>
        </is>
      </c>
      <c r="F4601">
        <f>IMAGE("https://cf.shopee.tw/file/tw-11134207-7r991-luqcfjziaak6f3_tn")</f>
        <v/>
      </c>
    </row>
    <row r="4602">
      <c r="A4602" t="inlineStr">
        <is>
          <t>25127544152</t>
        </is>
      </c>
      <c r="B4602" t="inlineStr">
        <is>
          <t>隔日到貨🔥 iPhone 手機殼 16 15 14 13 12 11 pro XS XR SE 8 保護殼 軟殼 蘋果</t>
        </is>
      </c>
      <c r="C4602">
        <f>IMAGE("https://cf.shopee.tw/file/tw-11134207-7r98s-luqc17u9oi4r0b_tn")</f>
        <v/>
      </c>
      <c r="D4602" t="inlineStr">
        <is>
          <t>小狗貼貼,16 Pro Max</t>
        </is>
      </c>
      <c r="E4602" t="inlineStr"/>
      <c r="F4602">
        <f>IMAGE("https://cf.shopee.tw/file/tw-11134207-7r991-luqcfjziaak6f3_tn")</f>
        <v/>
      </c>
    </row>
    <row r="4603">
      <c r="A4603" t="inlineStr">
        <is>
          <t>25127544152</t>
        </is>
      </c>
      <c r="B4603" t="inlineStr">
        <is>
          <t>隔日到貨🔥 iPhone 手機殼 16 15 14 13 12 11 pro XS XR SE 8 保護殼 軟殼 蘋果</t>
        </is>
      </c>
      <c r="C4603">
        <f>IMAGE("https://cf.shopee.tw/file/tw-11134207-7r98s-luqc17u9oi4r0b_tn")</f>
        <v/>
      </c>
      <c r="D4603" t="inlineStr">
        <is>
          <t>小狗貼貼,16 Plus</t>
        </is>
      </c>
      <c r="E4603" t="inlineStr"/>
      <c r="F4603">
        <f>IMAGE("https://cf.shopee.tw/file/tw-11134207-7r991-luqcfjziaak6f3_tn")</f>
        <v/>
      </c>
    </row>
    <row r="4604">
      <c r="A4604" t="inlineStr">
        <is>
          <t>23931345587</t>
        </is>
      </c>
      <c r="B4604" t="inlineStr">
        <is>
          <t>隔日到貨🔥 iPhone 手機殼 17 16 15 14 13 12 11 X XR SE 保護殼 軟殼 手機殼 蘋果</t>
        </is>
      </c>
      <c r="C4604">
        <f>IMAGE("https://cf.shopee.tw/file/tw-11134207-23030-v3uh5ja78jov95_tn")</f>
        <v/>
      </c>
      <c r="D4604" t="inlineStr">
        <is>
          <t>大眼萌鴨,7 / 8 / SE2 / SE3</t>
        </is>
      </c>
      <c r="E4604" t="inlineStr">
        <is>
          <t>204031535847</t>
        </is>
      </c>
      <c r="F4604">
        <f>IMAGE("https://cf.shopee.tw/file/tw-11134207-23030-zpzzolk88jovb6_tn")</f>
        <v/>
      </c>
    </row>
    <row r="4605">
      <c r="A4605" t="inlineStr">
        <is>
          <t>23931345587</t>
        </is>
      </c>
      <c r="B4605" t="inlineStr">
        <is>
          <t>隔日到貨🔥 iPhone 手機殼 17 16 15 14 13 12 11 X XR SE 保護殼 軟殼 手機殼 蘋果</t>
        </is>
      </c>
      <c r="C4605">
        <f>IMAGE("https://cf.shopee.tw/file/tw-11134207-23030-v3uh5ja78jov95_tn")</f>
        <v/>
      </c>
      <c r="D4605" t="inlineStr">
        <is>
          <t>大眼萌鴨,7Plus / 8Plus</t>
        </is>
      </c>
      <c r="E4605" t="inlineStr">
        <is>
          <t>204031535848</t>
        </is>
      </c>
      <c r="F4605">
        <f>IMAGE("https://cf.shopee.tw/file/tw-11134207-23030-zpzzolk88jovb6_tn")</f>
        <v/>
      </c>
    </row>
    <row r="4606">
      <c r="A4606" t="inlineStr">
        <is>
          <t>23931345587</t>
        </is>
      </c>
      <c r="B4606" t="inlineStr">
        <is>
          <t>隔日到貨🔥 iPhone 手機殼 17 16 15 14 13 12 11 X XR SE 保護殼 軟殼 手機殼 蘋果</t>
        </is>
      </c>
      <c r="C4606">
        <f>IMAGE("https://cf.shopee.tw/file/tw-11134207-23030-v3uh5ja78jov95_tn")</f>
        <v/>
      </c>
      <c r="D4606" t="inlineStr">
        <is>
          <t>大眼萌鴨,X / XS</t>
        </is>
      </c>
      <c r="E4606" t="inlineStr"/>
      <c r="F4606">
        <f>IMAGE("https://cf.shopee.tw/file/tw-11134207-23030-zpzzolk88jovb6_tn")</f>
        <v/>
      </c>
    </row>
    <row r="4607">
      <c r="A4607" t="inlineStr">
        <is>
          <t>23931345587</t>
        </is>
      </c>
      <c r="B4607" t="inlineStr">
        <is>
          <t>隔日到貨🔥 iPhone 手機殼 17 16 15 14 13 12 11 X XR SE 保護殼 軟殼 手機殼 蘋果</t>
        </is>
      </c>
      <c r="C4607">
        <f>IMAGE("https://cf.shopee.tw/file/tw-11134207-23030-v3uh5ja78jov95_tn")</f>
        <v/>
      </c>
      <c r="D4607" t="inlineStr">
        <is>
          <t>大眼萌鴨,XR</t>
        </is>
      </c>
      <c r="E4607" t="inlineStr"/>
      <c r="F4607">
        <f>IMAGE("https://cf.shopee.tw/file/tw-11134207-23030-zpzzolk88jovb6_tn")</f>
        <v/>
      </c>
    </row>
    <row r="4608">
      <c r="A4608" t="inlineStr">
        <is>
          <t>23931345587</t>
        </is>
      </c>
      <c r="B4608" t="inlineStr">
        <is>
          <t>隔日到貨🔥 iPhone 手機殼 17 16 15 14 13 12 11 X XR SE 保護殼 軟殼 手機殼 蘋果</t>
        </is>
      </c>
      <c r="C4608">
        <f>IMAGE("https://cf.shopee.tw/file/tw-11134207-23030-v3uh5ja78jov95_tn")</f>
        <v/>
      </c>
      <c r="D4608" t="inlineStr">
        <is>
          <t>大眼萌鴨,XS Max</t>
        </is>
      </c>
      <c r="E4608" t="inlineStr"/>
      <c r="F4608">
        <f>IMAGE("https://cf.shopee.tw/file/tw-11134207-23030-zpzzolk88jovb6_tn")</f>
        <v/>
      </c>
    </row>
    <row r="4609">
      <c r="A4609" t="inlineStr">
        <is>
          <t>23931345587</t>
        </is>
      </c>
      <c r="B4609" t="inlineStr">
        <is>
          <t>隔日到貨🔥 iPhone 手機殼 17 16 15 14 13 12 11 X XR SE 保護殼 軟殼 手機殼 蘋果</t>
        </is>
      </c>
      <c r="C4609">
        <f>IMAGE("https://cf.shopee.tw/file/tw-11134207-23030-v3uh5ja78jov95_tn")</f>
        <v/>
      </c>
      <c r="D4609" t="inlineStr">
        <is>
          <t>大眼萌鴨,11</t>
        </is>
      </c>
      <c r="E4609" t="inlineStr">
        <is>
          <t>204069807149</t>
        </is>
      </c>
      <c r="F4609">
        <f>IMAGE("https://cf.shopee.tw/file/tw-11134207-23030-zpzzolk88jovb6_tn")</f>
        <v/>
      </c>
    </row>
    <row r="4610">
      <c r="A4610" t="inlineStr">
        <is>
          <t>23931345587</t>
        </is>
      </c>
      <c r="B4610" t="inlineStr">
        <is>
          <t>隔日到貨🔥 iPhone 手機殼 17 16 15 14 13 12 11 X XR SE 保護殼 軟殼 手機殼 蘋果</t>
        </is>
      </c>
      <c r="C4610">
        <f>IMAGE("https://cf.shopee.tw/file/tw-11134207-23030-v3uh5ja78jov95_tn")</f>
        <v/>
      </c>
      <c r="D4610" t="inlineStr">
        <is>
          <t>大眼萌鴨,11 pro</t>
        </is>
      </c>
      <c r="E4610" t="inlineStr">
        <is>
          <t>204069807138</t>
        </is>
      </c>
      <c r="F4610">
        <f>IMAGE("https://cf.shopee.tw/file/tw-11134207-23030-zpzzolk88jovb6_tn")</f>
        <v/>
      </c>
    </row>
    <row r="4611">
      <c r="A4611" t="inlineStr">
        <is>
          <t>23931345587</t>
        </is>
      </c>
      <c r="B4611" t="inlineStr">
        <is>
          <t>隔日到貨🔥 iPhone 手機殼 17 16 15 14 13 12 11 X XR SE 保護殼 軟殼 手機殼 蘋果</t>
        </is>
      </c>
      <c r="C4611">
        <f>IMAGE("https://cf.shopee.tw/file/tw-11134207-23030-v3uh5ja78jov95_tn")</f>
        <v/>
      </c>
      <c r="D4611" t="inlineStr">
        <is>
          <t>大眼萌鴨,11 pro Max</t>
        </is>
      </c>
      <c r="E4611" t="inlineStr">
        <is>
          <t>204069807135</t>
        </is>
      </c>
      <c r="F4611">
        <f>IMAGE("https://cf.shopee.tw/file/tw-11134207-23030-zpzzolk88jovb6_tn")</f>
        <v/>
      </c>
    </row>
    <row r="4612">
      <c r="A4612" t="inlineStr">
        <is>
          <t>23931345587</t>
        </is>
      </c>
      <c r="B4612" t="inlineStr">
        <is>
          <t>隔日到貨🔥 iPhone 手機殼 17 16 15 14 13 12 11 X XR SE 保護殼 軟殼 手機殼 蘋果</t>
        </is>
      </c>
      <c r="C4612">
        <f>IMAGE("https://cf.shopee.tw/file/tw-11134207-23030-v3uh5ja78jov95_tn")</f>
        <v/>
      </c>
      <c r="D4612" t="inlineStr">
        <is>
          <t>大眼萌鴨,12</t>
        </is>
      </c>
      <c r="E4612" t="inlineStr">
        <is>
          <t>204069807140</t>
        </is>
      </c>
      <c r="F4612">
        <f>IMAGE("https://cf.shopee.tw/file/tw-11134207-23030-zpzzolk88jovb6_tn")</f>
        <v/>
      </c>
    </row>
    <row r="4613">
      <c r="A4613" t="inlineStr">
        <is>
          <t>23931345587</t>
        </is>
      </c>
      <c r="B4613" t="inlineStr">
        <is>
          <t>隔日到貨🔥 iPhone 手機殼 17 16 15 14 13 12 11 X XR SE 保護殼 軟殼 手機殼 蘋果</t>
        </is>
      </c>
      <c r="C4613">
        <f>IMAGE("https://cf.shopee.tw/file/tw-11134207-23030-v3uh5ja78jov95_tn")</f>
        <v/>
      </c>
      <c r="D4613" t="inlineStr">
        <is>
          <t>大眼萌鴨,12 pro</t>
        </is>
      </c>
      <c r="E4613" t="inlineStr"/>
      <c r="F4613">
        <f>IMAGE("https://cf.shopee.tw/file/tw-11134207-23030-zpzzolk88jovb6_tn")</f>
        <v/>
      </c>
    </row>
    <row r="4614">
      <c r="A4614" t="inlineStr">
        <is>
          <t>23931345587</t>
        </is>
      </c>
      <c r="B4614" t="inlineStr">
        <is>
          <t>隔日到貨🔥 iPhone 手機殼 17 16 15 14 13 12 11 X XR SE 保護殼 軟殼 手機殼 蘋果</t>
        </is>
      </c>
      <c r="C4614">
        <f>IMAGE("https://cf.shopee.tw/file/tw-11134207-23030-v3uh5ja78jov95_tn")</f>
        <v/>
      </c>
      <c r="D4614" t="inlineStr">
        <is>
          <t>大眼萌鴨,12 pro Max</t>
        </is>
      </c>
      <c r="E4614" t="inlineStr">
        <is>
          <t>204069807146</t>
        </is>
      </c>
      <c r="F4614">
        <f>IMAGE("https://cf.shopee.tw/file/tw-11134207-23030-zpzzolk88jovb6_tn")</f>
        <v/>
      </c>
    </row>
    <row r="4615">
      <c r="A4615" t="inlineStr">
        <is>
          <t>23931345587</t>
        </is>
      </c>
      <c r="B4615" t="inlineStr">
        <is>
          <t>隔日到貨🔥 iPhone 手機殼 17 16 15 14 13 12 11 X XR SE 保護殼 軟殼 手機殼 蘋果</t>
        </is>
      </c>
      <c r="C4615">
        <f>IMAGE("https://cf.shopee.tw/file/tw-11134207-23030-v3uh5ja78jov95_tn")</f>
        <v/>
      </c>
      <c r="D4615" t="inlineStr">
        <is>
          <t>大眼萌鴨,13</t>
        </is>
      </c>
      <c r="E4615" t="inlineStr">
        <is>
          <t>204069807136</t>
        </is>
      </c>
      <c r="F4615">
        <f>IMAGE("https://cf.shopee.tw/file/tw-11134207-23030-zpzzolk88jovb6_tn")</f>
        <v/>
      </c>
    </row>
    <row r="4616">
      <c r="A4616" t="inlineStr">
        <is>
          <t>23931345587</t>
        </is>
      </c>
      <c r="B4616" t="inlineStr">
        <is>
          <t>隔日到貨🔥 iPhone 手機殼 17 16 15 14 13 12 11 X XR SE 保護殼 軟殼 手機殼 蘋果</t>
        </is>
      </c>
      <c r="C4616">
        <f>IMAGE("https://cf.shopee.tw/file/tw-11134207-23030-v3uh5ja78jov95_tn")</f>
        <v/>
      </c>
      <c r="D4616" t="inlineStr">
        <is>
          <t>大眼萌鴨,13 pro</t>
        </is>
      </c>
      <c r="E4616" t="inlineStr">
        <is>
          <t>204069807147</t>
        </is>
      </c>
      <c r="F4616">
        <f>IMAGE("https://cf.shopee.tw/file/tw-11134207-23030-zpzzolk88jovb6_tn")</f>
        <v/>
      </c>
    </row>
    <row r="4617">
      <c r="A4617" t="inlineStr">
        <is>
          <t>23931345587</t>
        </is>
      </c>
      <c r="B4617" t="inlineStr">
        <is>
          <t>隔日到貨🔥 iPhone 手機殼 17 16 15 14 13 12 11 X XR SE 保護殼 軟殼 手機殼 蘋果</t>
        </is>
      </c>
      <c r="C4617">
        <f>IMAGE("https://cf.shopee.tw/file/tw-11134207-23030-v3uh5ja78jov95_tn")</f>
        <v/>
      </c>
      <c r="D4617" t="inlineStr">
        <is>
          <t>大眼萌鴨,13 pro Max</t>
        </is>
      </c>
      <c r="E4617" t="inlineStr"/>
      <c r="F4617">
        <f>IMAGE("https://cf.shopee.tw/file/tw-11134207-23030-zpzzolk88jovb6_tn")</f>
        <v/>
      </c>
    </row>
    <row r="4618">
      <c r="A4618" t="inlineStr">
        <is>
          <t>23931345587</t>
        </is>
      </c>
      <c r="B4618" t="inlineStr">
        <is>
          <t>隔日到貨🔥 iPhone 手機殼 17 16 15 14 13 12 11 X XR SE 保護殼 軟殼 手機殼 蘋果</t>
        </is>
      </c>
      <c r="C4618">
        <f>IMAGE("https://cf.shopee.tw/file/tw-11134207-23030-v3uh5ja78jov95_tn")</f>
        <v/>
      </c>
      <c r="D4618" t="inlineStr">
        <is>
          <t>大眼萌鴨,13 mini</t>
        </is>
      </c>
      <c r="E4618" t="inlineStr"/>
      <c r="F4618">
        <f>IMAGE("https://cf.shopee.tw/file/tw-11134207-23030-zpzzolk88jovb6_tn")</f>
        <v/>
      </c>
    </row>
    <row r="4619">
      <c r="A4619" t="inlineStr">
        <is>
          <t>23931345587</t>
        </is>
      </c>
      <c r="B4619" t="inlineStr">
        <is>
          <t>隔日到貨🔥 iPhone 手機殼 17 16 15 14 13 12 11 X XR SE 保護殼 軟殼 手機殼 蘋果</t>
        </is>
      </c>
      <c r="C4619">
        <f>IMAGE("https://cf.shopee.tw/file/tw-11134207-23030-v3uh5ja78jov95_tn")</f>
        <v/>
      </c>
      <c r="D4619" t="inlineStr">
        <is>
          <t>大眼萌鴨,14</t>
        </is>
      </c>
      <c r="E4619" t="inlineStr"/>
      <c r="F4619">
        <f>IMAGE("https://cf.shopee.tw/file/tw-11134207-23030-zpzzolk88jovb6_tn")</f>
        <v/>
      </c>
    </row>
    <row r="4620">
      <c r="A4620" t="inlineStr">
        <is>
          <t>23931345587</t>
        </is>
      </c>
      <c r="B4620" t="inlineStr">
        <is>
          <t>隔日到貨🔥 iPhone 手機殼 17 16 15 14 13 12 11 X XR SE 保護殼 軟殼 手機殼 蘋果</t>
        </is>
      </c>
      <c r="C4620">
        <f>IMAGE("https://cf.shopee.tw/file/tw-11134207-23030-v3uh5ja78jov95_tn")</f>
        <v/>
      </c>
      <c r="D4620" t="inlineStr">
        <is>
          <t>大眼萌鴨,14 Plus</t>
        </is>
      </c>
      <c r="E4620" t="inlineStr"/>
      <c r="F4620">
        <f>IMAGE("https://cf.shopee.tw/file/tw-11134207-23030-zpzzolk88jovb6_tn")</f>
        <v/>
      </c>
    </row>
    <row r="4621">
      <c r="A4621" t="inlineStr">
        <is>
          <t>23931345587</t>
        </is>
      </c>
      <c r="B4621" t="inlineStr">
        <is>
          <t>隔日到貨🔥 iPhone 手機殼 17 16 15 14 13 12 11 X XR SE 保護殼 軟殼 手機殼 蘋果</t>
        </is>
      </c>
      <c r="C4621">
        <f>IMAGE("https://cf.shopee.tw/file/tw-11134207-23030-v3uh5ja78jov95_tn")</f>
        <v/>
      </c>
      <c r="D4621" t="inlineStr">
        <is>
          <t>大眼萌鴨,14 pro</t>
        </is>
      </c>
      <c r="E4621" t="inlineStr">
        <is>
          <t>204069807137</t>
        </is>
      </c>
      <c r="F4621">
        <f>IMAGE("https://cf.shopee.tw/file/tw-11134207-23030-zpzzolk88jovb6_tn")</f>
        <v/>
      </c>
    </row>
    <row r="4622">
      <c r="A4622" t="inlineStr">
        <is>
          <t>23931345587</t>
        </is>
      </c>
      <c r="B4622" t="inlineStr">
        <is>
          <t>隔日到貨🔥 iPhone 手機殼 17 16 15 14 13 12 11 X XR SE 保護殼 軟殼 手機殼 蘋果</t>
        </is>
      </c>
      <c r="C4622">
        <f>IMAGE("https://cf.shopee.tw/file/tw-11134207-23030-v3uh5ja78jov95_tn")</f>
        <v/>
      </c>
      <c r="D4622" t="inlineStr">
        <is>
          <t>大眼萌鴨,14 pro Max</t>
        </is>
      </c>
      <c r="E4622" t="inlineStr"/>
      <c r="F4622">
        <f>IMAGE("https://cf.shopee.tw/file/tw-11134207-23030-zpzzolk88jovb6_tn")</f>
        <v/>
      </c>
    </row>
    <row r="4623">
      <c r="A4623" t="inlineStr">
        <is>
          <t>23931345587</t>
        </is>
      </c>
      <c r="B4623" t="inlineStr">
        <is>
          <t>隔日到貨🔥 iPhone 手機殼 17 16 15 14 13 12 11 X XR SE 保護殼 軟殼 手機殼 蘋果</t>
        </is>
      </c>
      <c r="C4623">
        <f>IMAGE("https://cf.shopee.tw/file/tw-11134207-23030-v3uh5ja78jov95_tn")</f>
        <v/>
      </c>
      <c r="D4623" t="inlineStr">
        <is>
          <t>大眼萌鴨,15</t>
        </is>
      </c>
      <c r="E4623" t="inlineStr"/>
      <c r="F4623">
        <f>IMAGE("https://cf.shopee.tw/file/tw-11134207-23030-zpzzolk88jovb6_tn")</f>
        <v/>
      </c>
    </row>
    <row r="4624">
      <c r="A4624" t="inlineStr">
        <is>
          <t>23931345587</t>
        </is>
      </c>
      <c r="B4624" t="inlineStr">
        <is>
          <t>隔日到貨🔥 iPhone 手機殼 17 16 15 14 13 12 11 X XR SE 保護殼 軟殼 手機殼 蘋果</t>
        </is>
      </c>
      <c r="C4624">
        <f>IMAGE("https://cf.shopee.tw/file/tw-11134207-23030-v3uh5ja78jov95_tn")</f>
        <v/>
      </c>
      <c r="D4624" t="inlineStr">
        <is>
          <t>大眼萌鴨,15 Plus</t>
        </is>
      </c>
      <c r="E4624" t="inlineStr">
        <is>
          <t>109006190748</t>
        </is>
      </c>
      <c r="F4624">
        <f>IMAGE("https://cf.shopee.tw/file/tw-11134207-23030-zpzzolk88jovb6_tn")</f>
        <v/>
      </c>
    </row>
    <row r="4625">
      <c r="A4625" t="inlineStr">
        <is>
          <t>23931345587</t>
        </is>
      </c>
      <c r="B4625" t="inlineStr">
        <is>
          <t>隔日到貨🔥 iPhone 手機殼 17 16 15 14 13 12 11 X XR SE 保護殼 軟殼 手機殼 蘋果</t>
        </is>
      </c>
      <c r="C4625">
        <f>IMAGE("https://cf.shopee.tw/file/tw-11134207-23030-v3uh5ja78jov95_tn")</f>
        <v/>
      </c>
      <c r="D4625" t="inlineStr">
        <is>
          <t>大眼萌鴨,15 pro</t>
        </is>
      </c>
      <c r="E4625" t="inlineStr">
        <is>
          <t>109006190747</t>
        </is>
      </c>
      <c r="F4625">
        <f>IMAGE("https://cf.shopee.tw/file/tw-11134207-23030-zpzzolk88jovb6_tn")</f>
        <v/>
      </c>
    </row>
    <row r="4626">
      <c r="A4626" t="inlineStr">
        <is>
          <t>23931345587</t>
        </is>
      </c>
      <c r="B4626" t="inlineStr">
        <is>
          <t>隔日到貨🔥 iPhone 手機殼 17 16 15 14 13 12 11 X XR SE 保護殼 軟殼 手機殼 蘋果</t>
        </is>
      </c>
      <c r="C4626">
        <f>IMAGE("https://cf.shopee.tw/file/tw-11134207-23030-v3uh5ja78jov95_tn")</f>
        <v/>
      </c>
      <c r="D4626" t="inlineStr">
        <is>
          <t>大眼萌鴨,15 pro Max</t>
        </is>
      </c>
      <c r="E4626" t="inlineStr"/>
      <c r="F4626">
        <f>IMAGE("https://cf.shopee.tw/file/tw-11134207-23030-zpzzolk88jovb6_tn")</f>
        <v/>
      </c>
    </row>
    <row r="4627">
      <c r="A4627" t="inlineStr">
        <is>
          <t>23931345587</t>
        </is>
      </c>
      <c r="B4627" t="inlineStr">
        <is>
          <t>隔日到貨🔥 iPhone 手機殼 17 16 15 14 13 12 11 X XR SE 保護殼 軟殼 手機殼 蘋果</t>
        </is>
      </c>
      <c r="C4627">
        <f>IMAGE("https://cf.shopee.tw/file/tw-11134207-23030-v3uh5ja78jov95_tn")</f>
        <v/>
      </c>
      <c r="D4627" t="inlineStr">
        <is>
          <t>大眼萌鴨,16</t>
        </is>
      </c>
      <c r="E4627" t="inlineStr"/>
      <c r="F4627">
        <f>IMAGE("https://cf.shopee.tw/file/tw-11134207-23030-zpzzolk88jovb6_tn")</f>
        <v/>
      </c>
    </row>
    <row r="4628">
      <c r="A4628" t="inlineStr">
        <is>
          <t>23931345587</t>
        </is>
      </c>
      <c r="B4628" t="inlineStr">
        <is>
          <t>隔日到貨🔥 iPhone 手機殼 17 16 15 14 13 12 11 X XR SE 保護殼 軟殼 手機殼 蘋果</t>
        </is>
      </c>
      <c r="C4628">
        <f>IMAGE("https://cf.shopee.tw/file/tw-11134207-23030-v3uh5ja78jov95_tn")</f>
        <v/>
      </c>
      <c r="D4628" t="inlineStr">
        <is>
          <t>大眼萌鴨,16 Plus</t>
        </is>
      </c>
      <c r="E4628" t="inlineStr"/>
      <c r="F4628">
        <f>IMAGE("https://cf.shopee.tw/file/tw-11134207-23030-zpzzolk88jovb6_tn")</f>
        <v/>
      </c>
    </row>
    <row r="4629">
      <c r="A4629" t="inlineStr">
        <is>
          <t>23931345587</t>
        </is>
      </c>
      <c r="B4629" t="inlineStr">
        <is>
          <t>隔日到貨🔥 iPhone 手機殼 17 16 15 14 13 12 11 X XR SE 保護殼 軟殼 手機殼 蘋果</t>
        </is>
      </c>
      <c r="C4629">
        <f>IMAGE("https://cf.shopee.tw/file/tw-11134207-23030-v3uh5ja78jov95_tn")</f>
        <v/>
      </c>
      <c r="D4629" t="inlineStr">
        <is>
          <t>大眼萌鴨,16 pro</t>
        </is>
      </c>
      <c r="E4629" t="inlineStr"/>
      <c r="F4629">
        <f>IMAGE("https://cf.shopee.tw/file/tw-11134207-23030-zpzzolk88jovb6_tn")</f>
        <v/>
      </c>
    </row>
    <row r="4630">
      <c r="A4630" t="inlineStr">
        <is>
          <t>23931345587</t>
        </is>
      </c>
      <c r="B4630" t="inlineStr">
        <is>
          <t>隔日到貨🔥 iPhone 手機殼 17 16 15 14 13 12 11 X XR SE 保護殼 軟殼 手機殼 蘋果</t>
        </is>
      </c>
      <c r="C4630">
        <f>IMAGE("https://cf.shopee.tw/file/tw-11134207-23030-v3uh5ja78jov95_tn")</f>
        <v/>
      </c>
      <c r="D4630" t="inlineStr">
        <is>
          <t>大眼萌鴨,16 pro Max</t>
        </is>
      </c>
      <c r="E4630" t="inlineStr"/>
      <c r="F4630">
        <f>IMAGE("https://cf.shopee.tw/file/tw-11134207-23030-zpzzolk88jovb6_tn")</f>
        <v/>
      </c>
    </row>
    <row r="4631">
      <c r="A4631" t="inlineStr">
        <is>
          <t>23931345587</t>
        </is>
      </c>
      <c r="B4631" t="inlineStr">
        <is>
          <t>隔日到貨🔥 iPhone 手機殼 17 16 15 14 13 12 11 X XR SE 保護殼 軟殼 手機殼 蘋果</t>
        </is>
      </c>
      <c r="C4631">
        <f>IMAGE("https://cf.shopee.tw/file/tw-11134207-23030-v3uh5ja78jov95_tn")</f>
        <v/>
      </c>
      <c r="D4631" t="inlineStr">
        <is>
          <t>大眼萌鴨,17</t>
        </is>
      </c>
      <c r="E4631" t="inlineStr">
        <is>
          <t>281980792733</t>
        </is>
      </c>
      <c r="F4631">
        <f>IMAGE("https://cf.shopee.tw/file/tw-11134207-23030-zpzzolk88jovb6_tn")</f>
        <v/>
      </c>
    </row>
    <row r="4632">
      <c r="A4632" t="inlineStr">
        <is>
          <t>23931345587</t>
        </is>
      </c>
      <c r="B4632" t="inlineStr">
        <is>
          <t>隔日到貨🔥 iPhone 手機殼 17 16 15 14 13 12 11 X XR SE 保護殼 軟殼 手機殼 蘋果</t>
        </is>
      </c>
      <c r="C4632">
        <f>IMAGE("https://cf.shopee.tw/file/tw-11134207-23030-v3uh5ja78jov95_tn")</f>
        <v/>
      </c>
      <c r="D4632" t="inlineStr">
        <is>
          <t>大眼萌鴨,17 pro</t>
        </is>
      </c>
      <c r="E4632" t="inlineStr"/>
      <c r="F4632">
        <f>IMAGE("https://cf.shopee.tw/file/tw-11134207-23030-zpzzolk88jovb6_tn")</f>
        <v/>
      </c>
    </row>
    <row r="4633">
      <c r="A4633" t="inlineStr">
        <is>
          <t>23931345587</t>
        </is>
      </c>
      <c r="B4633" t="inlineStr">
        <is>
          <t>隔日到貨🔥 iPhone 手機殼 17 16 15 14 13 12 11 X XR SE 保護殼 軟殼 手機殼 蘋果</t>
        </is>
      </c>
      <c r="C4633">
        <f>IMAGE("https://cf.shopee.tw/file/tw-11134207-23030-v3uh5ja78jov95_tn")</f>
        <v/>
      </c>
      <c r="D4633" t="inlineStr">
        <is>
          <t>大眼萌鴨,17 pro Max</t>
        </is>
      </c>
      <c r="E4633" t="inlineStr">
        <is>
          <t>281980792735</t>
        </is>
      </c>
      <c r="F4633">
        <f>IMAGE("https://cf.shopee.tw/file/tw-11134207-23030-zpzzolk88jovb6_tn")</f>
        <v/>
      </c>
    </row>
    <row r="4634">
      <c r="A4634" t="inlineStr">
        <is>
          <t>23931345587</t>
        </is>
      </c>
      <c r="B4634" t="inlineStr">
        <is>
          <t>隔日到貨🔥 iPhone 手機殼 17 16 15 14 13 12 11 X XR SE 保護殼 軟殼 手機殼 蘋果</t>
        </is>
      </c>
      <c r="C4634">
        <f>IMAGE("https://cf.shopee.tw/file/tw-11134207-23030-v3uh5ja78jov95_tn")</f>
        <v/>
      </c>
      <c r="D4634" t="inlineStr">
        <is>
          <t>大眼萌鴨,17 Air</t>
        </is>
      </c>
      <c r="E4634" t="inlineStr"/>
      <c r="F4634">
        <f>IMAGE("https://cf.shopee.tw/file/tw-11134207-23030-zpzzolk88jovb6_tn")</f>
        <v/>
      </c>
    </row>
    <row r="4635">
      <c r="A4635" t="inlineStr">
        <is>
          <t>14351597697</t>
        </is>
      </c>
      <c r="B4635" t="inlineStr">
        <is>
          <t>隔日到貨🔥 20w 保護套 充電頭保護套 快充專用 保護套 iPhone 蘋果充電頭專用 充電器周邊</t>
        </is>
      </c>
      <c r="C4635">
        <f>IMAGE("https://cf.shopee.tw/file/eb200764a7663e53f5fc004ce28639bb_tn")</f>
        <v/>
      </c>
      <c r="D4635" t="inlineStr">
        <is>
          <t>3. 貪吃龍,20W快充頭（5W豆腐頭不適用)</t>
        </is>
      </c>
      <c r="E4635" t="inlineStr"/>
      <c r="F4635">
        <f>IMAGE("https://cf.shopee.tw/file/2128301312be840852760638f43a9217_tn")</f>
        <v/>
      </c>
    </row>
    <row r="4636">
      <c r="A4636" t="inlineStr">
        <is>
          <t>14351597697</t>
        </is>
      </c>
      <c r="B4636" t="inlineStr">
        <is>
          <t>隔日到貨🔥 20w 保護套 充電頭保護套 快充專用 保護套 iPhone 蘋果充電頭專用 充電器周邊</t>
        </is>
      </c>
      <c r="C4636">
        <f>IMAGE("https://cf.shopee.tw/file/eb200764a7663e53f5fc004ce28639bb_tn")</f>
        <v/>
      </c>
      <c r="D4636" t="inlineStr">
        <is>
          <t>4. 玉桂狗,20W快充頭（5W豆腐頭不適用)</t>
        </is>
      </c>
      <c r="E4636" t="inlineStr"/>
      <c r="F4636">
        <f>IMAGE("https://cf.shopee.tw/file/ceea3237d7a64a91119090356f95cb29_tn")</f>
        <v/>
      </c>
    </row>
    <row r="4637">
      <c r="A4637" t="inlineStr">
        <is>
          <t>14351597697</t>
        </is>
      </c>
      <c r="B4637" t="inlineStr">
        <is>
          <t>隔日到貨🔥 20w 保護套 充電頭保護套 快充專用 保護套 iPhone 蘋果充電頭專用 充電器周邊</t>
        </is>
      </c>
      <c r="C4637">
        <f>IMAGE("https://cf.shopee.tw/file/eb200764a7663e53f5fc004ce28639bb_tn")</f>
        <v/>
      </c>
      <c r="D4637" t="inlineStr">
        <is>
          <t>1. 睡熊,20W快充頭（5W豆腐頭不適用)</t>
        </is>
      </c>
      <c r="E4637" t="inlineStr"/>
      <c r="F4637">
        <f>IMAGE("https://cf.shopee.tw/file/3196e5e3a90384def3beda8746d29db1_tn")</f>
        <v/>
      </c>
    </row>
    <row r="4638">
      <c r="A4638" t="inlineStr">
        <is>
          <t>14351597697</t>
        </is>
      </c>
      <c r="B4638" t="inlineStr">
        <is>
          <t>隔日到貨🔥 20w 保護套 充電頭保護套 快充專用 保護套 iPhone 蘋果充電頭專用 充電器周邊</t>
        </is>
      </c>
      <c r="C4638">
        <f>IMAGE("https://cf.shopee.tw/file/eb200764a7663e53f5fc004ce28639bb_tn")</f>
        <v/>
      </c>
      <c r="D4638" t="inlineStr">
        <is>
          <t>2. 奶茶小熊,20W快充頭（5W豆腐頭不適用)</t>
        </is>
      </c>
      <c r="E4638" t="inlineStr">
        <is>
          <t>87208687290</t>
        </is>
      </c>
      <c r="F4638">
        <f>IMAGE("https://cf.shopee.tw/file/8f4cd5e4e18dda3d8ab76bf3fa5fd6aa_tn")</f>
        <v/>
      </c>
    </row>
    <row r="4639">
      <c r="A4639" t="inlineStr">
        <is>
          <t>14351597697</t>
        </is>
      </c>
      <c r="B4639" t="inlineStr">
        <is>
          <t>隔日到貨🔥 20w 保護套 充電頭保護套 快充專用 保護套 iPhone 蘋果充電頭專用 充電器周邊</t>
        </is>
      </c>
      <c r="C4639">
        <f>IMAGE("https://cf.shopee.tw/file/eb200764a7663e53f5fc004ce28639bb_tn")</f>
        <v/>
      </c>
      <c r="D4639" t="inlineStr">
        <is>
          <t>5. 牛奶,20W快充頭（5W豆腐頭不適用)</t>
        </is>
      </c>
      <c r="E4639" t="inlineStr">
        <is>
          <t>87208687293</t>
        </is>
      </c>
      <c r="F4639">
        <f>IMAGE("https://cf.shopee.tw/file/fb3ed801e1df8064dff1d867be611db7_tn")</f>
        <v/>
      </c>
    </row>
    <row r="4640">
      <c r="A4640" t="inlineStr">
        <is>
          <t>14351597697</t>
        </is>
      </c>
      <c r="B4640" t="inlineStr">
        <is>
          <t>隔日到貨🔥 20w 保護套 充電頭保護套 快充專用 保護套 iPhone 蘋果充電頭專用 充電器周邊</t>
        </is>
      </c>
      <c r="C4640">
        <f>IMAGE("https://cf.shopee.tw/file/eb200764a7663e53f5fc004ce28639bb_tn")</f>
        <v/>
      </c>
      <c r="D4640" t="inlineStr">
        <is>
          <t>6. 像素熊,20W快充頭（5W豆腐頭不適用)</t>
        </is>
      </c>
      <c r="E4640" t="inlineStr"/>
      <c r="F4640">
        <f>IMAGE("https://cf.shopee.tw/file/13f1c1a9deb3834e40534de8b5dc5103_tn")</f>
        <v/>
      </c>
    </row>
    <row r="4641">
      <c r="A4641" t="inlineStr">
        <is>
          <t>14351597697</t>
        </is>
      </c>
      <c r="B4641" t="inlineStr">
        <is>
          <t>隔日到貨🔥 20w 保護套 充電頭保護套 快充專用 保護套 iPhone 蘋果充電頭專用 充電器周邊</t>
        </is>
      </c>
      <c r="C4641">
        <f>IMAGE("https://cf.shopee.tw/file/eb200764a7663e53f5fc004ce28639bb_tn")</f>
        <v/>
      </c>
      <c r="D4641" t="inlineStr">
        <is>
          <t>7. 角馬,20W快充頭（5W豆腐頭不適用)</t>
        </is>
      </c>
      <c r="E4641" t="inlineStr"/>
      <c r="F4641">
        <f>IMAGE("https://cf.shopee.tw/file/4fe884e787bed3e78f3c8146600955a3_tn")</f>
        <v/>
      </c>
    </row>
    <row r="4642">
      <c r="A4642" t="inlineStr">
        <is>
          <t>14351597697</t>
        </is>
      </c>
      <c r="B4642" t="inlineStr">
        <is>
          <t>隔日到貨🔥 20w 保護套 充電頭保護套 快充專用 保護套 iPhone 蘋果充電頭專用 充電器周邊</t>
        </is>
      </c>
      <c r="C4642">
        <f>IMAGE("https://cf.shopee.tw/file/eb200764a7663e53f5fc004ce28639bb_tn")</f>
        <v/>
      </c>
      <c r="D4642" t="inlineStr">
        <is>
          <t>8. 綠熊,20W快充頭（5W豆腐頭不適用)</t>
        </is>
      </c>
      <c r="E4642" t="inlineStr">
        <is>
          <t>87208687292</t>
        </is>
      </c>
      <c r="F4642">
        <f>IMAGE("https://cf.shopee.tw/file/7a79313d32778f102122441148037da3_tn")</f>
        <v/>
      </c>
    </row>
    <row r="4643">
      <c r="A4643" t="inlineStr">
        <is>
          <t>9073395819</t>
        </is>
      </c>
      <c r="B4643" t="inlineStr">
        <is>
          <t>隔日到貨🔥 新款 高腰牛仔反摺短褲 捲邊牛仔短褲 夏季 韓版 女裝 顯瘦百搭牛仔褲 牛仔褲 短褲</t>
        </is>
      </c>
      <c r="C4643">
        <f>IMAGE("https://cf.shopee.tw/file/df860fd4c66cd8fd23ad46a77993182b_tn")</f>
        <v/>
      </c>
      <c r="D4643" t="inlineStr">
        <is>
          <t>黑色,M</t>
        </is>
      </c>
      <c r="E4643" t="inlineStr"/>
      <c r="F4643">
        <f>IMAGE("https://cf.shopee.tw/file/56db35fca136536c183c5512f5b788a6_tn")</f>
        <v/>
      </c>
    </row>
    <row r="4644">
      <c r="A4644" t="inlineStr">
        <is>
          <t>9073395819</t>
        </is>
      </c>
      <c r="B4644" t="inlineStr">
        <is>
          <t>隔日到貨🔥 新款 高腰牛仔反摺短褲 捲邊牛仔短褲 夏季 韓版 女裝 顯瘦百搭牛仔褲 牛仔褲 短褲</t>
        </is>
      </c>
      <c r="C4644">
        <f>IMAGE("https://cf.shopee.tw/file/df860fd4c66cd8fd23ad46a77993182b_tn")</f>
        <v/>
      </c>
      <c r="D4644" t="inlineStr">
        <is>
          <t>黑色,L</t>
        </is>
      </c>
      <c r="E4644" t="inlineStr"/>
      <c r="F4644">
        <f>IMAGE("https://cf.shopee.tw/file/56db35fca136536c183c5512f5b788a6_tn")</f>
        <v/>
      </c>
    </row>
    <row r="4645">
      <c r="A4645" t="inlineStr">
        <is>
          <t>9073395819</t>
        </is>
      </c>
      <c r="B4645" t="inlineStr">
        <is>
          <t>隔日到貨🔥 新款 高腰牛仔反摺短褲 捲邊牛仔短褲 夏季 韓版 女裝 顯瘦百搭牛仔褲 牛仔褲 短褲</t>
        </is>
      </c>
      <c r="C4645">
        <f>IMAGE("https://cf.shopee.tw/file/df860fd4c66cd8fd23ad46a77993182b_tn")</f>
        <v/>
      </c>
      <c r="D4645" t="inlineStr">
        <is>
          <t>黑色,XL</t>
        </is>
      </c>
      <c r="E4645" t="inlineStr"/>
      <c r="F4645">
        <f>IMAGE("https://cf.shopee.tw/file/56db35fca136536c183c5512f5b788a6_tn")</f>
        <v/>
      </c>
    </row>
    <row r="4646">
      <c r="A4646" t="inlineStr">
        <is>
          <t>9073395819</t>
        </is>
      </c>
      <c r="B4646" t="inlineStr">
        <is>
          <t>隔日到貨🔥 新款 高腰牛仔反摺短褲 捲邊牛仔短褲 夏季 韓版 女裝 顯瘦百搭牛仔褲 牛仔褲 短褲</t>
        </is>
      </c>
      <c r="C4646">
        <f>IMAGE("https://cf.shopee.tw/file/df860fd4c66cd8fd23ad46a77993182b_tn")</f>
        <v/>
      </c>
      <c r="D4646" t="inlineStr">
        <is>
          <t>白色,M</t>
        </is>
      </c>
      <c r="E4646" t="inlineStr"/>
      <c r="F4646">
        <f>IMAGE("https://cf.shopee.tw/file/02cd5cbb279fbc40b66be56e304c7d99_tn")</f>
        <v/>
      </c>
    </row>
    <row r="4647">
      <c r="A4647" t="inlineStr">
        <is>
          <t>9073395819</t>
        </is>
      </c>
      <c r="B4647" t="inlineStr">
        <is>
          <t>隔日到貨🔥 新款 高腰牛仔反摺短褲 捲邊牛仔短褲 夏季 韓版 女裝 顯瘦百搭牛仔褲 牛仔褲 短褲</t>
        </is>
      </c>
      <c r="C4647">
        <f>IMAGE("https://cf.shopee.tw/file/df860fd4c66cd8fd23ad46a77993182b_tn")</f>
        <v/>
      </c>
      <c r="D4647" t="inlineStr">
        <is>
          <t>白色,L</t>
        </is>
      </c>
      <c r="E4647" t="inlineStr"/>
      <c r="F4647">
        <f>IMAGE("https://cf.shopee.tw/file/02cd5cbb279fbc40b66be56e304c7d99_tn")</f>
        <v/>
      </c>
    </row>
    <row r="4648">
      <c r="A4648" t="inlineStr">
        <is>
          <t>9073395819</t>
        </is>
      </c>
      <c r="B4648" t="inlineStr">
        <is>
          <t>隔日到貨🔥 新款 高腰牛仔反摺短褲 捲邊牛仔短褲 夏季 韓版 女裝 顯瘦百搭牛仔褲 牛仔褲 短褲</t>
        </is>
      </c>
      <c r="C4648">
        <f>IMAGE("https://cf.shopee.tw/file/df860fd4c66cd8fd23ad46a77993182b_tn")</f>
        <v/>
      </c>
      <c r="D4648" t="inlineStr">
        <is>
          <t>深藍色,M</t>
        </is>
      </c>
      <c r="E4648" t="inlineStr"/>
      <c r="F4648">
        <f>IMAGE("https://cf.shopee.tw/file/df860fd4c66cd8fd23ad46a77993182b_tn")</f>
        <v/>
      </c>
    </row>
    <row r="4649">
      <c r="A4649" t="inlineStr">
        <is>
          <t>9073395819</t>
        </is>
      </c>
      <c r="B4649" t="inlineStr">
        <is>
          <t>隔日到貨🔥 新款 高腰牛仔反摺短褲 捲邊牛仔短褲 夏季 韓版 女裝 顯瘦百搭牛仔褲 牛仔褲 短褲</t>
        </is>
      </c>
      <c r="C4649">
        <f>IMAGE("https://cf.shopee.tw/file/df860fd4c66cd8fd23ad46a77993182b_tn")</f>
        <v/>
      </c>
      <c r="D4649" t="inlineStr">
        <is>
          <t>深藍色,L</t>
        </is>
      </c>
      <c r="E4649" t="inlineStr"/>
      <c r="F4649">
        <f>IMAGE("https://cf.shopee.tw/file/df860fd4c66cd8fd23ad46a77993182b_tn")</f>
        <v/>
      </c>
    </row>
    <row r="4650">
      <c r="A4650" t="inlineStr">
        <is>
          <t>9073395819</t>
        </is>
      </c>
      <c r="B4650" t="inlineStr">
        <is>
          <t>隔日到貨🔥 新款 高腰牛仔反摺短褲 捲邊牛仔短褲 夏季 韓版 女裝 顯瘦百搭牛仔褲 牛仔褲 短褲</t>
        </is>
      </c>
      <c r="C4650">
        <f>IMAGE("https://cf.shopee.tw/file/df860fd4c66cd8fd23ad46a77993182b_tn")</f>
        <v/>
      </c>
      <c r="D4650" t="inlineStr">
        <is>
          <t>深藍色,XL</t>
        </is>
      </c>
      <c r="E4650" t="inlineStr"/>
      <c r="F4650">
        <f>IMAGE("https://cf.shopee.tw/file/df860fd4c66cd8fd23ad46a77993182b_tn")</f>
        <v/>
      </c>
    </row>
    <row r="4651">
      <c r="A4651" t="inlineStr">
        <is>
          <t>9073395819</t>
        </is>
      </c>
      <c r="B4651" t="inlineStr">
        <is>
          <t>隔日到貨🔥 新款 高腰牛仔反摺短褲 捲邊牛仔短褲 夏季 韓版 女裝 顯瘦百搭牛仔褲 牛仔褲 短褲</t>
        </is>
      </c>
      <c r="C4651">
        <f>IMAGE("https://cf.shopee.tw/file/df860fd4c66cd8fd23ad46a77993182b_tn")</f>
        <v/>
      </c>
      <c r="D4651" t="inlineStr">
        <is>
          <t>白色,XL</t>
        </is>
      </c>
      <c r="E4651" t="inlineStr">
        <is>
          <t>26586428427</t>
        </is>
      </c>
      <c r="F4651">
        <f>IMAGE("https://cf.shopee.tw/file/02cd5cbb279fbc40b66be56e304c7d99_tn")</f>
        <v/>
      </c>
    </row>
    <row r="4652">
      <c r="A4652" t="inlineStr">
        <is>
          <t>15007585064</t>
        </is>
      </c>
      <c r="B4652" t="inlineStr">
        <is>
          <t>隔日到貨🔥 iPhone 手機殼 14 13 12 11 pro Max XS XR SE 8plus 保護殼 軟殼</t>
        </is>
      </c>
      <c r="C4652">
        <f>IMAGE("https://cf.shopee.tw/file/9e5f25b9895a965f08598329e24f005e_tn")</f>
        <v/>
      </c>
      <c r="D4652" t="inlineStr">
        <is>
          <t>奶咖色,X / XS</t>
        </is>
      </c>
      <c r="E4652" t="inlineStr"/>
      <c r="F4652">
        <f>IMAGE("https://cf.shopee.tw/file/feb0dbe17bb92130feae2d6acf38ad01_tn")</f>
        <v/>
      </c>
    </row>
    <row r="4653">
      <c r="A4653" t="inlineStr">
        <is>
          <t>15007585064</t>
        </is>
      </c>
      <c r="B4653" t="inlineStr">
        <is>
          <t>隔日到貨🔥 iPhone 手機殼 14 13 12 11 pro Max XS XR SE 8plus 保護殼 軟殼</t>
        </is>
      </c>
      <c r="C4653">
        <f>IMAGE("https://cf.shopee.tw/file/9e5f25b9895a965f08598329e24f005e_tn")</f>
        <v/>
      </c>
      <c r="D4653" t="inlineStr">
        <is>
          <t>奶咖色,XS Max</t>
        </is>
      </c>
      <c r="E4653" t="inlineStr"/>
      <c r="F4653">
        <f>IMAGE("https://cf.shopee.tw/file/feb0dbe17bb92130feae2d6acf38ad01_tn")</f>
        <v/>
      </c>
    </row>
    <row r="4654">
      <c r="A4654" t="inlineStr">
        <is>
          <t>15007585064</t>
        </is>
      </c>
      <c r="B4654" t="inlineStr">
        <is>
          <t>隔日到貨🔥 iPhone 手機殼 14 13 12 11 pro Max XS XR SE 8plus 保護殼 軟殼</t>
        </is>
      </c>
      <c r="C4654">
        <f>IMAGE("https://cf.shopee.tw/file/9e5f25b9895a965f08598329e24f005e_tn")</f>
        <v/>
      </c>
      <c r="D4654" t="inlineStr">
        <is>
          <t>奶咖色,11 pro</t>
        </is>
      </c>
      <c r="E4654" t="inlineStr"/>
      <c r="F4654">
        <f>IMAGE("https://cf.shopee.tw/file/feb0dbe17bb92130feae2d6acf38ad01_tn")</f>
        <v/>
      </c>
    </row>
    <row r="4655">
      <c r="A4655" t="inlineStr">
        <is>
          <t>15007585064</t>
        </is>
      </c>
      <c r="B4655" t="inlineStr">
        <is>
          <t>隔日到貨🔥 iPhone 手機殼 14 13 12 11 pro Max XS XR SE 8plus 保護殼 軟殼</t>
        </is>
      </c>
      <c r="C4655">
        <f>IMAGE("https://cf.shopee.tw/file/9e5f25b9895a965f08598329e24f005e_tn")</f>
        <v/>
      </c>
      <c r="D4655" t="inlineStr">
        <is>
          <t>奶咖色,12</t>
        </is>
      </c>
      <c r="E4655" t="inlineStr"/>
      <c r="F4655">
        <f>IMAGE("https://cf.shopee.tw/file/feb0dbe17bb92130feae2d6acf38ad01_tn")</f>
        <v/>
      </c>
    </row>
    <row r="4656">
      <c r="A4656" t="inlineStr">
        <is>
          <t>15007585064</t>
        </is>
      </c>
      <c r="B4656" t="inlineStr">
        <is>
          <t>隔日到貨🔥 iPhone 手機殼 14 13 12 11 pro Max XS XR SE 8plus 保護殼 軟殼</t>
        </is>
      </c>
      <c r="C4656">
        <f>IMAGE("https://cf.shopee.tw/file/9e5f25b9895a965f08598329e24f005e_tn")</f>
        <v/>
      </c>
      <c r="D4656" t="inlineStr">
        <is>
          <t>奶咖色,12 pro</t>
        </is>
      </c>
      <c r="E4656" t="inlineStr"/>
      <c r="F4656">
        <f>IMAGE("https://cf.shopee.tw/file/feb0dbe17bb92130feae2d6acf38ad01_tn")</f>
        <v/>
      </c>
    </row>
    <row r="4657">
      <c r="A4657" t="inlineStr">
        <is>
          <t>15007585064</t>
        </is>
      </c>
      <c r="B4657" t="inlineStr">
        <is>
          <t>隔日到貨🔥 iPhone 手機殼 14 13 12 11 pro Max XS XR SE 8plus 保護殼 軟殼</t>
        </is>
      </c>
      <c r="C4657">
        <f>IMAGE("https://cf.shopee.tw/file/9e5f25b9895a965f08598329e24f005e_tn")</f>
        <v/>
      </c>
      <c r="D4657" t="inlineStr">
        <is>
          <t>奶咖色,12 pro Max</t>
        </is>
      </c>
      <c r="E4657" t="inlineStr"/>
      <c r="F4657">
        <f>IMAGE("https://cf.shopee.tw/file/feb0dbe17bb92130feae2d6acf38ad01_tn")</f>
        <v/>
      </c>
    </row>
    <row r="4658">
      <c r="A4658" t="inlineStr">
        <is>
          <t>15007585064</t>
        </is>
      </c>
      <c r="B4658" t="inlineStr">
        <is>
          <t>隔日到貨🔥 iPhone 手機殼 14 13 12 11 pro Max XS XR SE 8plus 保護殼 軟殼</t>
        </is>
      </c>
      <c r="C4658">
        <f>IMAGE("https://cf.shopee.tw/file/9e5f25b9895a965f08598329e24f005e_tn")</f>
        <v/>
      </c>
      <c r="D4658" t="inlineStr">
        <is>
          <t>奶咖色,13</t>
        </is>
      </c>
      <c r="E4658" t="inlineStr"/>
      <c r="F4658">
        <f>IMAGE("https://cf.shopee.tw/file/feb0dbe17bb92130feae2d6acf38ad01_tn")</f>
        <v/>
      </c>
    </row>
    <row r="4659">
      <c r="A4659" t="inlineStr">
        <is>
          <t>15007585064</t>
        </is>
      </c>
      <c r="B4659" t="inlineStr">
        <is>
          <t>隔日到貨🔥 iPhone 手機殼 14 13 12 11 pro Max XS XR SE 8plus 保護殼 軟殼</t>
        </is>
      </c>
      <c r="C4659">
        <f>IMAGE("https://cf.shopee.tw/file/9e5f25b9895a965f08598329e24f005e_tn")</f>
        <v/>
      </c>
      <c r="D4659" t="inlineStr">
        <is>
          <t>奶咖色,13 mini</t>
        </is>
      </c>
      <c r="E4659" t="inlineStr"/>
      <c r="F4659">
        <f>IMAGE("https://cf.shopee.tw/file/feb0dbe17bb92130feae2d6acf38ad01_tn")</f>
        <v/>
      </c>
    </row>
    <row r="4660">
      <c r="A4660" t="inlineStr">
        <is>
          <t>15007585064</t>
        </is>
      </c>
      <c r="B4660" t="inlineStr">
        <is>
          <t>隔日到貨🔥 iPhone 手機殼 14 13 12 11 pro Max XS XR SE 8plus 保護殼 軟殼</t>
        </is>
      </c>
      <c r="C4660">
        <f>IMAGE("https://cf.shopee.tw/file/9e5f25b9895a965f08598329e24f005e_tn")</f>
        <v/>
      </c>
      <c r="D4660" t="inlineStr">
        <is>
          <t>棕色,7 / 8 / SE2 / SE3</t>
        </is>
      </c>
      <c r="E4660" t="inlineStr"/>
      <c r="F4660">
        <f>IMAGE("https://cf.shopee.tw/file/d512da2b5c35fa87a14dfacd5bda9fe2_tn")</f>
        <v/>
      </c>
    </row>
    <row r="4661">
      <c r="A4661" t="inlineStr">
        <is>
          <t>15007585064</t>
        </is>
      </c>
      <c r="B4661" t="inlineStr">
        <is>
          <t>隔日到貨🔥 iPhone 手機殼 14 13 12 11 pro Max XS XR SE 8plus 保護殼 軟殼</t>
        </is>
      </c>
      <c r="C4661">
        <f>IMAGE("https://cf.shopee.tw/file/9e5f25b9895a965f08598329e24f005e_tn")</f>
        <v/>
      </c>
      <c r="D4661" t="inlineStr">
        <is>
          <t>棕色,XR</t>
        </is>
      </c>
      <c r="E4661" t="inlineStr"/>
      <c r="F4661">
        <f>IMAGE("https://cf.shopee.tw/file/d512da2b5c35fa87a14dfacd5bda9fe2_tn")</f>
        <v/>
      </c>
    </row>
    <row r="4662">
      <c r="A4662" t="inlineStr">
        <is>
          <t>15007585064</t>
        </is>
      </c>
      <c r="B4662" t="inlineStr">
        <is>
          <t>隔日到貨🔥 iPhone 手機殼 14 13 12 11 pro Max XS XR SE 8plus 保護殼 軟殼</t>
        </is>
      </c>
      <c r="C4662">
        <f>IMAGE("https://cf.shopee.tw/file/9e5f25b9895a965f08598329e24f005e_tn")</f>
        <v/>
      </c>
      <c r="D4662" t="inlineStr">
        <is>
          <t>棕色,11 pro</t>
        </is>
      </c>
      <c r="E4662" t="inlineStr"/>
      <c r="F4662">
        <f>IMAGE("https://cf.shopee.tw/file/d512da2b5c35fa87a14dfacd5bda9fe2_tn")</f>
        <v/>
      </c>
    </row>
    <row r="4663">
      <c r="A4663" t="inlineStr">
        <is>
          <t>15007585064</t>
        </is>
      </c>
      <c r="B4663" t="inlineStr">
        <is>
          <t>隔日到貨🔥 iPhone 手機殼 14 13 12 11 pro Max XS XR SE 8plus 保護殼 軟殼</t>
        </is>
      </c>
      <c r="C4663">
        <f>IMAGE("https://cf.shopee.tw/file/9e5f25b9895a965f08598329e24f005e_tn")</f>
        <v/>
      </c>
      <c r="D4663" t="inlineStr">
        <is>
          <t>棕色,11 pro Max</t>
        </is>
      </c>
      <c r="E4663" t="inlineStr"/>
      <c r="F4663">
        <f>IMAGE("https://cf.shopee.tw/file/d512da2b5c35fa87a14dfacd5bda9fe2_tn")</f>
        <v/>
      </c>
    </row>
    <row r="4664">
      <c r="A4664" t="inlineStr">
        <is>
          <t>15007585064</t>
        </is>
      </c>
      <c r="B4664" t="inlineStr">
        <is>
          <t>隔日到貨🔥 iPhone 手機殼 14 13 12 11 pro Max XS XR SE 8plus 保護殼 軟殼</t>
        </is>
      </c>
      <c r="C4664">
        <f>IMAGE("https://cf.shopee.tw/file/9e5f25b9895a965f08598329e24f005e_tn")</f>
        <v/>
      </c>
      <c r="D4664" t="inlineStr">
        <is>
          <t>棕色,13 mini</t>
        </is>
      </c>
      <c r="E4664" t="inlineStr"/>
      <c r="F4664">
        <f>IMAGE("https://cf.shopee.tw/file/d512da2b5c35fa87a14dfacd5bda9fe2_tn")</f>
        <v/>
      </c>
    </row>
    <row r="4665">
      <c r="A4665" t="inlineStr">
        <is>
          <t>15007585064</t>
        </is>
      </c>
      <c r="B4665" t="inlineStr">
        <is>
          <t>隔日到貨🔥 iPhone 手機殼 14 13 12 11 pro Max XS XR SE 8plus 保護殼 軟殼</t>
        </is>
      </c>
      <c r="C4665">
        <f>IMAGE("https://cf.shopee.tw/file/9e5f25b9895a965f08598329e24f005e_tn")</f>
        <v/>
      </c>
      <c r="D4665" t="inlineStr">
        <is>
          <t>棕色,14 pro Max</t>
        </is>
      </c>
      <c r="E4665" t="inlineStr"/>
      <c r="F4665">
        <f>IMAGE("https://cf.shopee.tw/file/d512da2b5c35fa87a14dfacd5bda9fe2_tn")</f>
        <v/>
      </c>
    </row>
    <row r="4666">
      <c r="A4666" t="inlineStr">
        <is>
          <t>15007585064</t>
        </is>
      </c>
      <c r="B4666" t="inlineStr">
        <is>
          <t>隔日到貨🔥 iPhone 手機殼 14 13 12 11 pro Max XS XR SE 8plus 保護殼 軟殼</t>
        </is>
      </c>
      <c r="C4666">
        <f>IMAGE("https://cf.shopee.tw/file/9e5f25b9895a965f08598329e24f005e_tn")</f>
        <v/>
      </c>
      <c r="D4666" t="inlineStr">
        <is>
          <t>奶咖色,7 / 8 / SE2 / SE3</t>
        </is>
      </c>
      <c r="E4666" t="inlineStr"/>
      <c r="F4666">
        <f>IMAGE("https://cf.shopee.tw/file/feb0dbe17bb92130feae2d6acf38ad01_tn")</f>
        <v/>
      </c>
    </row>
    <row r="4667">
      <c r="A4667" t="inlineStr">
        <is>
          <t>15007585064</t>
        </is>
      </c>
      <c r="B4667" t="inlineStr">
        <is>
          <t>隔日到貨🔥 iPhone 手機殼 14 13 12 11 pro Max XS XR SE 8plus 保護殼 軟殼</t>
        </is>
      </c>
      <c r="C4667">
        <f>IMAGE("https://cf.shopee.tw/file/9e5f25b9895a965f08598329e24f005e_tn")</f>
        <v/>
      </c>
      <c r="D4667" t="inlineStr">
        <is>
          <t>奶咖色,7 Plus / 8 Plus</t>
        </is>
      </c>
      <c r="E4667" t="inlineStr">
        <is>
          <t>150347317009</t>
        </is>
      </c>
      <c r="F4667">
        <f>IMAGE("https://cf.shopee.tw/file/feb0dbe17bb92130feae2d6acf38ad01_tn")</f>
        <v/>
      </c>
    </row>
    <row r="4668">
      <c r="A4668" t="inlineStr">
        <is>
          <t>15007585064</t>
        </is>
      </c>
      <c r="B4668" t="inlineStr">
        <is>
          <t>隔日到貨🔥 iPhone 手機殼 14 13 12 11 pro Max XS XR SE 8plus 保護殼 軟殼</t>
        </is>
      </c>
      <c r="C4668">
        <f>IMAGE("https://cf.shopee.tw/file/9e5f25b9895a965f08598329e24f005e_tn")</f>
        <v/>
      </c>
      <c r="D4668" t="inlineStr">
        <is>
          <t>奶咖色,XR</t>
        </is>
      </c>
      <c r="E4668" t="inlineStr"/>
      <c r="F4668">
        <f>IMAGE("https://cf.shopee.tw/file/feb0dbe17bb92130feae2d6acf38ad01_tn")</f>
        <v/>
      </c>
    </row>
    <row r="4669">
      <c r="A4669" t="inlineStr">
        <is>
          <t>15007585064</t>
        </is>
      </c>
      <c r="B4669" t="inlineStr">
        <is>
          <t>隔日到貨🔥 iPhone 手機殼 14 13 12 11 pro Max XS XR SE 8plus 保護殼 軟殼</t>
        </is>
      </c>
      <c r="C4669">
        <f>IMAGE("https://cf.shopee.tw/file/9e5f25b9895a965f08598329e24f005e_tn")</f>
        <v/>
      </c>
      <c r="D4669" t="inlineStr">
        <is>
          <t>奶咖色,11</t>
        </is>
      </c>
      <c r="E4669" t="inlineStr"/>
      <c r="F4669">
        <f>IMAGE("https://cf.shopee.tw/file/feb0dbe17bb92130feae2d6acf38ad01_tn")</f>
        <v/>
      </c>
    </row>
    <row r="4670">
      <c r="A4670" t="inlineStr">
        <is>
          <t>15007585064</t>
        </is>
      </c>
      <c r="B4670" t="inlineStr">
        <is>
          <t>隔日到貨🔥 iPhone 手機殼 14 13 12 11 pro Max XS XR SE 8plus 保護殼 軟殼</t>
        </is>
      </c>
      <c r="C4670">
        <f>IMAGE("https://cf.shopee.tw/file/9e5f25b9895a965f08598329e24f005e_tn")</f>
        <v/>
      </c>
      <c r="D4670" t="inlineStr">
        <is>
          <t>奶咖色,11 pro Max</t>
        </is>
      </c>
      <c r="E4670" t="inlineStr"/>
      <c r="F4670">
        <f>IMAGE("https://cf.shopee.tw/file/feb0dbe17bb92130feae2d6acf38ad01_tn")</f>
        <v/>
      </c>
    </row>
    <row r="4671">
      <c r="A4671" t="inlineStr">
        <is>
          <t>15007585064</t>
        </is>
      </c>
      <c r="B4671" t="inlineStr">
        <is>
          <t>隔日到貨🔥 iPhone 手機殼 14 13 12 11 pro Max XS XR SE 8plus 保護殼 軟殼</t>
        </is>
      </c>
      <c r="C4671">
        <f>IMAGE("https://cf.shopee.tw/file/9e5f25b9895a965f08598329e24f005e_tn")</f>
        <v/>
      </c>
      <c r="D4671" t="inlineStr">
        <is>
          <t>奶咖色,12 mini</t>
        </is>
      </c>
      <c r="E4671" t="inlineStr"/>
      <c r="F4671">
        <f>IMAGE("https://cf.shopee.tw/file/feb0dbe17bb92130feae2d6acf38ad01_tn")</f>
        <v/>
      </c>
    </row>
    <row r="4672">
      <c r="A4672" t="inlineStr">
        <is>
          <t>15007585064</t>
        </is>
      </c>
      <c r="B4672" t="inlineStr">
        <is>
          <t>隔日到貨🔥 iPhone 手機殼 14 13 12 11 pro Max XS XR SE 8plus 保護殼 軟殼</t>
        </is>
      </c>
      <c r="C4672">
        <f>IMAGE("https://cf.shopee.tw/file/9e5f25b9895a965f08598329e24f005e_tn")</f>
        <v/>
      </c>
      <c r="D4672" t="inlineStr">
        <is>
          <t>奶咖色,13 pro</t>
        </is>
      </c>
      <c r="E4672" t="inlineStr"/>
      <c r="F4672">
        <f>IMAGE("https://cf.shopee.tw/file/feb0dbe17bb92130feae2d6acf38ad01_tn")</f>
        <v/>
      </c>
    </row>
    <row r="4673">
      <c r="A4673" t="inlineStr">
        <is>
          <t>15007585064</t>
        </is>
      </c>
      <c r="B4673" t="inlineStr">
        <is>
          <t>隔日到貨🔥 iPhone 手機殼 14 13 12 11 pro Max XS XR SE 8plus 保護殼 軟殼</t>
        </is>
      </c>
      <c r="C4673">
        <f>IMAGE("https://cf.shopee.tw/file/9e5f25b9895a965f08598329e24f005e_tn")</f>
        <v/>
      </c>
      <c r="D4673" t="inlineStr">
        <is>
          <t>奶咖色,13 pro Max</t>
        </is>
      </c>
      <c r="E4673" t="inlineStr">
        <is>
          <t>150347317005</t>
        </is>
      </c>
      <c r="F4673">
        <f>IMAGE("https://cf.shopee.tw/file/feb0dbe17bb92130feae2d6acf38ad01_tn")</f>
        <v/>
      </c>
    </row>
    <row r="4674">
      <c r="A4674" t="inlineStr">
        <is>
          <t>15007585064</t>
        </is>
      </c>
      <c r="B4674" t="inlineStr">
        <is>
          <t>隔日到貨🔥 iPhone 手機殼 14 13 12 11 pro Max XS XR SE 8plus 保護殼 軟殼</t>
        </is>
      </c>
      <c r="C4674">
        <f>IMAGE("https://cf.shopee.tw/file/9e5f25b9895a965f08598329e24f005e_tn")</f>
        <v/>
      </c>
      <c r="D4674" t="inlineStr">
        <is>
          <t>奶咖色,14</t>
        </is>
      </c>
      <c r="E4674" t="inlineStr"/>
      <c r="F4674">
        <f>IMAGE("https://cf.shopee.tw/file/feb0dbe17bb92130feae2d6acf38ad01_tn")</f>
        <v/>
      </c>
    </row>
    <row r="4675">
      <c r="A4675" t="inlineStr">
        <is>
          <t>15007585064</t>
        </is>
      </c>
      <c r="B4675" t="inlineStr">
        <is>
          <t>隔日到貨🔥 iPhone 手機殼 14 13 12 11 pro Max XS XR SE 8plus 保護殼 軟殼</t>
        </is>
      </c>
      <c r="C4675">
        <f>IMAGE("https://cf.shopee.tw/file/9e5f25b9895a965f08598329e24f005e_tn")</f>
        <v/>
      </c>
      <c r="D4675" t="inlineStr">
        <is>
          <t>奶咖色,14 Plus</t>
        </is>
      </c>
      <c r="E4675" t="inlineStr"/>
      <c r="F4675">
        <f>IMAGE("https://cf.shopee.tw/file/feb0dbe17bb92130feae2d6acf38ad01_tn")</f>
        <v/>
      </c>
    </row>
    <row r="4676">
      <c r="A4676" t="inlineStr">
        <is>
          <t>15007585064</t>
        </is>
      </c>
      <c r="B4676" t="inlineStr">
        <is>
          <t>隔日到貨🔥 iPhone 手機殼 14 13 12 11 pro Max XS XR SE 8plus 保護殼 軟殼</t>
        </is>
      </c>
      <c r="C4676">
        <f>IMAGE("https://cf.shopee.tw/file/9e5f25b9895a965f08598329e24f005e_tn")</f>
        <v/>
      </c>
      <c r="D4676" t="inlineStr">
        <is>
          <t>奶咖色,14 pro</t>
        </is>
      </c>
      <c r="E4676" t="inlineStr"/>
      <c r="F4676">
        <f>IMAGE("https://cf.shopee.tw/file/feb0dbe17bb92130feae2d6acf38ad01_tn")</f>
        <v/>
      </c>
    </row>
    <row r="4677">
      <c r="A4677" t="inlineStr">
        <is>
          <t>15007585064</t>
        </is>
      </c>
      <c r="B4677" t="inlineStr">
        <is>
          <t>隔日到貨🔥 iPhone 手機殼 14 13 12 11 pro Max XS XR SE 8plus 保護殼 軟殼</t>
        </is>
      </c>
      <c r="C4677">
        <f>IMAGE("https://cf.shopee.tw/file/9e5f25b9895a965f08598329e24f005e_tn")</f>
        <v/>
      </c>
      <c r="D4677" t="inlineStr">
        <is>
          <t>奶咖色,14 pro Max</t>
        </is>
      </c>
      <c r="E4677" t="inlineStr"/>
      <c r="F4677">
        <f>IMAGE("https://cf.shopee.tw/file/feb0dbe17bb92130feae2d6acf38ad01_tn")</f>
        <v/>
      </c>
    </row>
    <row r="4678">
      <c r="A4678" t="inlineStr">
        <is>
          <t>15007585064</t>
        </is>
      </c>
      <c r="B4678" t="inlineStr">
        <is>
          <t>隔日到貨🔥 iPhone 手機殼 14 13 12 11 pro Max XS XR SE 8plus 保護殼 軟殼</t>
        </is>
      </c>
      <c r="C4678">
        <f>IMAGE("https://cf.shopee.tw/file/9e5f25b9895a965f08598329e24f005e_tn")</f>
        <v/>
      </c>
      <c r="D4678" t="inlineStr">
        <is>
          <t>棕色,7 Plus / 8 Plus</t>
        </is>
      </c>
      <c r="E4678" t="inlineStr"/>
      <c r="F4678">
        <f>IMAGE("https://cf.shopee.tw/file/d512da2b5c35fa87a14dfacd5bda9fe2_tn")</f>
        <v/>
      </c>
    </row>
    <row r="4679">
      <c r="A4679" t="inlineStr">
        <is>
          <t>15007585064</t>
        </is>
      </c>
      <c r="B4679" t="inlineStr">
        <is>
          <t>隔日到貨🔥 iPhone 手機殼 14 13 12 11 pro Max XS XR SE 8plus 保護殼 軟殼</t>
        </is>
      </c>
      <c r="C4679">
        <f>IMAGE("https://cf.shopee.tw/file/9e5f25b9895a965f08598329e24f005e_tn")</f>
        <v/>
      </c>
      <c r="D4679" t="inlineStr">
        <is>
          <t>棕色,X / XS</t>
        </is>
      </c>
      <c r="E4679" t="inlineStr"/>
      <c r="F4679">
        <f>IMAGE("https://cf.shopee.tw/file/d512da2b5c35fa87a14dfacd5bda9fe2_tn")</f>
        <v/>
      </c>
    </row>
    <row r="4680">
      <c r="A4680" t="inlineStr">
        <is>
          <t>15007585064</t>
        </is>
      </c>
      <c r="B4680" t="inlineStr">
        <is>
          <t>隔日到貨🔥 iPhone 手機殼 14 13 12 11 pro Max XS XR SE 8plus 保護殼 軟殼</t>
        </is>
      </c>
      <c r="C4680">
        <f>IMAGE("https://cf.shopee.tw/file/9e5f25b9895a965f08598329e24f005e_tn")</f>
        <v/>
      </c>
      <c r="D4680" t="inlineStr">
        <is>
          <t>棕色,XS Max</t>
        </is>
      </c>
      <c r="E4680" t="inlineStr"/>
      <c r="F4680">
        <f>IMAGE("https://cf.shopee.tw/file/d512da2b5c35fa87a14dfacd5bda9fe2_tn")</f>
        <v/>
      </c>
    </row>
    <row r="4681">
      <c r="A4681" t="inlineStr">
        <is>
          <t>15007585064</t>
        </is>
      </c>
      <c r="B4681" t="inlineStr">
        <is>
          <t>隔日到貨🔥 iPhone 手機殼 14 13 12 11 pro Max XS XR SE 8plus 保護殼 軟殼</t>
        </is>
      </c>
      <c r="C4681">
        <f>IMAGE("https://cf.shopee.tw/file/9e5f25b9895a965f08598329e24f005e_tn")</f>
        <v/>
      </c>
      <c r="D4681" t="inlineStr">
        <is>
          <t>棕色,11</t>
        </is>
      </c>
      <c r="E4681" t="inlineStr"/>
      <c r="F4681">
        <f>IMAGE("https://cf.shopee.tw/file/d512da2b5c35fa87a14dfacd5bda9fe2_tn")</f>
        <v/>
      </c>
    </row>
    <row r="4682">
      <c r="A4682" t="inlineStr">
        <is>
          <t>15007585064</t>
        </is>
      </c>
      <c r="B4682" t="inlineStr">
        <is>
          <t>隔日到貨🔥 iPhone 手機殼 14 13 12 11 pro Max XS XR SE 8plus 保護殼 軟殼</t>
        </is>
      </c>
      <c r="C4682">
        <f>IMAGE("https://cf.shopee.tw/file/9e5f25b9895a965f08598329e24f005e_tn")</f>
        <v/>
      </c>
      <c r="D4682" t="inlineStr">
        <is>
          <t>棕色,12</t>
        </is>
      </c>
      <c r="E4682" t="inlineStr"/>
      <c r="F4682">
        <f>IMAGE("https://cf.shopee.tw/file/d512da2b5c35fa87a14dfacd5bda9fe2_tn")</f>
        <v/>
      </c>
    </row>
    <row r="4683">
      <c r="A4683" t="inlineStr">
        <is>
          <t>15007585064</t>
        </is>
      </c>
      <c r="B4683" t="inlineStr">
        <is>
          <t>隔日到貨🔥 iPhone 手機殼 14 13 12 11 pro Max XS XR SE 8plus 保護殼 軟殼</t>
        </is>
      </c>
      <c r="C4683">
        <f>IMAGE("https://cf.shopee.tw/file/9e5f25b9895a965f08598329e24f005e_tn")</f>
        <v/>
      </c>
      <c r="D4683" t="inlineStr">
        <is>
          <t>棕色,12 pro</t>
        </is>
      </c>
      <c r="E4683" t="inlineStr">
        <is>
          <t>150347317007</t>
        </is>
      </c>
      <c r="F4683">
        <f>IMAGE("https://cf.shopee.tw/file/d512da2b5c35fa87a14dfacd5bda9fe2_tn")</f>
        <v/>
      </c>
    </row>
    <row r="4684">
      <c r="A4684" t="inlineStr">
        <is>
          <t>15007585064</t>
        </is>
      </c>
      <c r="B4684" t="inlineStr">
        <is>
          <t>隔日到貨🔥 iPhone 手機殼 14 13 12 11 pro Max XS XR SE 8plus 保護殼 軟殼</t>
        </is>
      </c>
      <c r="C4684">
        <f>IMAGE("https://cf.shopee.tw/file/9e5f25b9895a965f08598329e24f005e_tn")</f>
        <v/>
      </c>
      <c r="D4684" t="inlineStr">
        <is>
          <t>棕色,12 pro Max</t>
        </is>
      </c>
      <c r="E4684" t="inlineStr"/>
      <c r="F4684">
        <f>IMAGE("https://cf.shopee.tw/file/d512da2b5c35fa87a14dfacd5bda9fe2_tn")</f>
        <v/>
      </c>
    </row>
    <row r="4685">
      <c r="A4685" t="inlineStr">
        <is>
          <t>15007585064</t>
        </is>
      </c>
      <c r="B4685" t="inlineStr">
        <is>
          <t>隔日到貨🔥 iPhone 手機殼 14 13 12 11 pro Max XS XR SE 8plus 保護殼 軟殼</t>
        </is>
      </c>
      <c r="C4685">
        <f>IMAGE("https://cf.shopee.tw/file/9e5f25b9895a965f08598329e24f005e_tn")</f>
        <v/>
      </c>
      <c r="D4685" t="inlineStr">
        <is>
          <t>棕色,12 mini</t>
        </is>
      </c>
      <c r="E4685" t="inlineStr"/>
      <c r="F4685">
        <f>IMAGE("https://cf.shopee.tw/file/d512da2b5c35fa87a14dfacd5bda9fe2_tn")</f>
        <v/>
      </c>
    </row>
    <row r="4686">
      <c r="A4686" t="inlineStr">
        <is>
          <t>15007585064</t>
        </is>
      </c>
      <c r="B4686" t="inlineStr">
        <is>
          <t>隔日到貨🔥 iPhone 手機殼 14 13 12 11 pro Max XS XR SE 8plus 保護殼 軟殼</t>
        </is>
      </c>
      <c r="C4686">
        <f>IMAGE("https://cf.shopee.tw/file/9e5f25b9895a965f08598329e24f005e_tn")</f>
        <v/>
      </c>
      <c r="D4686" t="inlineStr">
        <is>
          <t>棕色,13</t>
        </is>
      </c>
      <c r="E4686" t="inlineStr">
        <is>
          <t>150347317015</t>
        </is>
      </c>
      <c r="F4686">
        <f>IMAGE("https://cf.shopee.tw/file/d512da2b5c35fa87a14dfacd5bda9fe2_tn")</f>
        <v/>
      </c>
    </row>
    <row r="4687">
      <c r="A4687" t="inlineStr">
        <is>
          <t>15007585064</t>
        </is>
      </c>
      <c r="B4687" t="inlineStr">
        <is>
          <t>隔日到貨🔥 iPhone 手機殼 14 13 12 11 pro Max XS XR SE 8plus 保護殼 軟殼</t>
        </is>
      </c>
      <c r="C4687">
        <f>IMAGE("https://cf.shopee.tw/file/9e5f25b9895a965f08598329e24f005e_tn")</f>
        <v/>
      </c>
      <c r="D4687" t="inlineStr">
        <is>
          <t>棕色,13 pro</t>
        </is>
      </c>
      <c r="E4687" t="inlineStr"/>
      <c r="F4687">
        <f>IMAGE("https://cf.shopee.tw/file/d512da2b5c35fa87a14dfacd5bda9fe2_tn")</f>
        <v/>
      </c>
    </row>
    <row r="4688">
      <c r="A4688" t="inlineStr">
        <is>
          <t>15007585064</t>
        </is>
      </c>
      <c r="B4688" t="inlineStr">
        <is>
          <t>隔日到貨🔥 iPhone 手機殼 14 13 12 11 pro Max XS XR SE 8plus 保護殼 軟殼</t>
        </is>
      </c>
      <c r="C4688">
        <f>IMAGE("https://cf.shopee.tw/file/9e5f25b9895a965f08598329e24f005e_tn")</f>
        <v/>
      </c>
      <c r="D4688" t="inlineStr">
        <is>
          <t>棕色,13 pro Max</t>
        </is>
      </c>
      <c r="E4688" t="inlineStr"/>
      <c r="F4688">
        <f>IMAGE("https://cf.shopee.tw/file/d512da2b5c35fa87a14dfacd5bda9fe2_tn")</f>
        <v/>
      </c>
    </row>
    <row r="4689">
      <c r="A4689" t="inlineStr">
        <is>
          <t>15007585064</t>
        </is>
      </c>
      <c r="B4689" t="inlineStr">
        <is>
          <t>隔日到貨🔥 iPhone 手機殼 14 13 12 11 pro Max XS XR SE 8plus 保護殼 軟殼</t>
        </is>
      </c>
      <c r="C4689">
        <f>IMAGE("https://cf.shopee.tw/file/9e5f25b9895a965f08598329e24f005e_tn")</f>
        <v/>
      </c>
      <c r="D4689" t="inlineStr">
        <is>
          <t>棕色,14</t>
        </is>
      </c>
      <c r="E4689" t="inlineStr"/>
      <c r="F4689">
        <f>IMAGE("https://cf.shopee.tw/file/d512da2b5c35fa87a14dfacd5bda9fe2_tn")</f>
        <v/>
      </c>
    </row>
    <row r="4690">
      <c r="A4690" t="inlineStr">
        <is>
          <t>15007585064</t>
        </is>
      </c>
      <c r="B4690" t="inlineStr">
        <is>
          <t>隔日到貨🔥 iPhone 手機殼 14 13 12 11 pro Max XS XR SE 8plus 保護殼 軟殼</t>
        </is>
      </c>
      <c r="C4690">
        <f>IMAGE("https://cf.shopee.tw/file/9e5f25b9895a965f08598329e24f005e_tn")</f>
        <v/>
      </c>
      <c r="D4690" t="inlineStr">
        <is>
          <t>棕色,14 Plus</t>
        </is>
      </c>
      <c r="E4690" t="inlineStr">
        <is>
          <t>155797750057</t>
        </is>
      </c>
      <c r="F4690">
        <f>IMAGE("https://cf.shopee.tw/file/d512da2b5c35fa87a14dfacd5bda9fe2_tn")</f>
        <v/>
      </c>
    </row>
    <row r="4691">
      <c r="A4691" t="inlineStr">
        <is>
          <t>15007585064</t>
        </is>
      </c>
      <c r="B4691" t="inlineStr">
        <is>
          <t>隔日到貨🔥 iPhone 手機殼 14 13 12 11 pro Max XS XR SE 8plus 保護殼 軟殼</t>
        </is>
      </c>
      <c r="C4691">
        <f>IMAGE("https://cf.shopee.tw/file/9e5f25b9895a965f08598329e24f005e_tn")</f>
        <v/>
      </c>
      <c r="D4691" t="inlineStr">
        <is>
          <t>棕色,14 pro</t>
        </is>
      </c>
      <c r="E4691" t="inlineStr"/>
      <c r="F4691">
        <f>IMAGE("https://cf.shopee.tw/file/d512da2b5c35fa87a14dfacd5bda9fe2_tn")</f>
        <v/>
      </c>
    </row>
    <row r="4692">
      <c r="A4692" t="inlineStr">
        <is>
          <t>3484323351</t>
        </is>
      </c>
      <c r="B4692" t="inlineStr">
        <is>
          <t>隔日到貨🔥 Airpods 保護套 1 2 3 pro pro2 耳機套 耳機殼 軟殼 A13 保護殼 藍牙耳機套</t>
        </is>
      </c>
      <c r="C4692">
        <f>IMAGE("https://cf.shopee.tw/file/556a41d59f101f1119e5df95bf86f457_tn")</f>
        <v/>
      </c>
      <c r="D4692" t="inlineStr">
        <is>
          <t>小熊,1代 / 2代</t>
        </is>
      </c>
      <c r="E4692" t="inlineStr">
        <is>
          <t>91325980390</t>
        </is>
      </c>
      <c r="F4692">
        <f>IMAGE("https://cf.shopee.tw/file/2cbe2a928e8a8cab235d639a807f0bdb_tn")</f>
        <v/>
      </c>
    </row>
    <row r="4693">
      <c r="A4693" t="inlineStr">
        <is>
          <t>3484323351</t>
        </is>
      </c>
      <c r="B4693" t="inlineStr">
        <is>
          <t>隔日到貨🔥 Airpods 保護套 1 2 3 pro pro2 耳機套 耳機殼 軟殼 A13 保護殼 藍牙耳機套</t>
        </is>
      </c>
      <c r="C4693">
        <f>IMAGE("https://cf.shopee.tw/file/556a41d59f101f1119e5df95bf86f457_tn")</f>
        <v/>
      </c>
      <c r="D4693" t="inlineStr">
        <is>
          <t>小熊,Pro1代</t>
        </is>
      </c>
      <c r="E4693" t="inlineStr"/>
      <c r="F4693">
        <f>IMAGE("https://cf.shopee.tw/file/2cbe2a928e8a8cab235d639a807f0bdb_tn")</f>
        <v/>
      </c>
    </row>
    <row r="4694">
      <c r="A4694" t="inlineStr">
        <is>
          <t>3484323351</t>
        </is>
      </c>
      <c r="B4694" t="inlineStr">
        <is>
          <t>隔日到貨🔥 Airpods 保護套 1 2 3 pro pro2 耳機套 耳機殼 軟殼 A13 保護殼 藍牙耳機套</t>
        </is>
      </c>
      <c r="C4694">
        <f>IMAGE("https://cf.shopee.tw/file/556a41d59f101f1119e5df95bf86f457_tn")</f>
        <v/>
      </c>
      <c r="D4694" t="inlineStr">
        <is>
          <t>小熊,［3代］</t>
        </is>
      </c>
      <c r="E4694" t="inlineStr">
        <is>
          <t>28427882791</t>
        </is>
      </c>
      <c r="F4694">
        <f>IMAGE("https://cf.shopee.tw/file/2cbe2a928e8a8cab235d639a807f0bdb_tn")</f>
        <v/>
      </c>
    </row>
    <row r="4695">
      <c r="A4695" t="inlineStr">
        <is>
          <t>3484323351</t>
        </is>
      </c>
      <c r="B4695" t="inlineStr">
        <is>
          <t>隔日到貨🔥 Airpods 保護套 1 2 3 pro pro2 耳機套 耳機殼 軟殼 A13 保護殼 藍牙耳機套</t>
        </is>
      </c>
      <c r="C4695">
        <f>IMAGE("https://cf.shopee.tw/file/556a41d59f101f1119e5df95bf86f457_tn")</f>
        <v/>
      </c>
      <c r="D4695" t="inlineStr">
        <is>
          <t>小熊,Pro2代</t>
        </is>
      </c>
      <c r="E4695" t="inlineStr"/>
      <c r="F4695">
        <f>IMAGE("https://cf.shopee.tw/file/2cbe2a928e8a8cab235d639a807f0bdb_tn")</f>
        <v/>
      </c>
    </row>
    <row r="4696">
      <c r="A4696" t="inlineStr">
        <is>
          <t>18358454438</t>
        </is>
      </c>
      <c r="B4696" t="inlineStr">
        <is>
          <t>隔日到貨🔥 iPhone 手機殼 14 13 12 11 pro Max保護殼 軟殼</t>
        </is>
      </c>
      <c r="C4696">
        <f>IMAGE("https://cf.shopee.tw/file/sg-11134201-22100-87k2wqimj8iv9f_tn")</f>
        <v/>
      </c>
      <c r="D4696" t="inlineStr">
        <is>
          <t>黃帽鴨(單殼),iPhone 12</t>
        </is>
      </c>
      <c r="E4696" t="inlineStr"/>
      <c r="F4696">
        <f>IMAGE("https://cf.shopee.tw/file/sg-11134201-22110-crcklqh8bjjvd9_tn")</f>
        <v/>
      </c>
    </row>
    <row r="4697">
      <c r="A4697" t="inlineStr">
        <is>
          <t>18358454438</t>
        </is>
      </c>
      <c r="B4697" t="inlineStr">
        <is>
          <t>隔日到貨🔥 iPhone 手機殼 14 13 12 11 pro Max保護殼 軟殼</t>
        </is>
      </c>
      <c r="C4697">
        <f>IMAGE("https://cf.shopee.tw/file/sg-11134201-22100-87k2wqimj8iv9f_tn")</f>
        <v/>
      </c>
      <c r="D4697" t="inlineStr">
        <is>
          <t>黃帽鴨(單殼),iPhone 11</t>
        </is>
      </c>
      <c r="E4697" t="inlineStr"/>
      <c r="F4697">
        <f>IMAGE("https://cf.shopee.tw/file/sg-11134201-22110-crcklqh8bjjvd9_tn")</f>
        <v/>
      </c>
    </row>
    <row r="4698">
      <c r="A4698" t="inlineStr">
        <is>
          <t>18358454438</t>
        </is>
      </c>
      <c r="B4698" t="inlineStr">
        <is>
          <t>隔日到貨🔥 iPhone 手機殼 14 13 12 11 pro Max保護殼 軟殼</t>
        </is>
      </c>
      <c r="C4698">
        <f>IMAGE("https://cf.shopee.tw/file/sg-11134201-22100-87k2wqimj8iv9f_tn")</f>
        <v/>
      </c>
      <c r="D4698" t="inlineStr">
        <is>
          <t>黃帽鴨(單殼),iPhone 11 Pro</t>
        </is>
      </c>
      <c r="E4698" t="inlineStr">
        <is>
          <t>230140495650</t>
        </is>
      </c>
      <c r="F4698">
        <f>IMAGE("https://cf.shopee.tw/file/sg-11134201-22110-crcklqh8bjjvd9_tn")</f>
        <v/>
      </c>
    </row>
    <row r="4699">
      <c r="A4699" t="inlineStr">
        <is>
          <t>18358454438</t>
        </is>
      </c>
      <c r="B4699" t="inlineStr">
        <is>
          <t>隔日到貨🔥 iPhone 手機殼 14 13 12 11 pro Max保護殼 軟殼</t>
        </is>
      </c>
      <c r="C4699">
        <f>IMAGE("https://cf.shopee.tw/file/sg-11134201-22100-87k2wqimj8iv9f_tn")</f>
        <v/>
      </c>
      <c r="D4699" t="inlineStr">
        <is>
          <t>黃帽鴨(單殼),iPhone 12 Pro</t>
        </is>
      </c>
      <c r="E4699" t="inlineStr"/>
      <c r="F4699">
        <f>IMAGE("https://cf.shopee.tw/file/sg-11134201-22110-crcklqh8bjjvd9_tn")</f>
        <v/>
      </c>
    </row>
    <row r="4700">
      <c r="A4700" t="inlineStr">
        <is>
          <t>18358454438</t>
        </is>
      </c>
      <c r="B4700" t="inlineStr">
        <is>
          <t>隔日到貨🔥 iPhone 手機殼 14 13 12 11 pro Max保護殼 軟殼</t>
        </is>
      </c>
      <c r="C4700">
        <f>IMAGE("https://cf.shopee.tw/file/sg-11134201-22100-87k2wqimj8iv9f_tn")</f>
        <v/>
      </c>
      <c r="D4700" t="inlineStr">
        <is>
          <t>黃帽鴨(單殼),iPhone 12 Pro Max</t>
        </is>
      </c>
      <c r="E4700" t="inlineStr">
        <is>
          <t>230140495641</t>
        </is>
      </c>
      <c r="F4700">
        <f>IMAGE("https://cf.shopee.tw/file/sg-11134201-22110-crcklqh8bjjvd9_tn")</f>
        <v/>
      </c>
    </row>
    <row r="4701">
      <c r="A4701" t="inlineStr">
        <is>
          <t>18358454438</t>
        </is>
      </c>
      <c r="B4701" t="inlineStr">
        <is>
          <t>隔日到貨🔥 iPhone 手機殼 14 13 12 11 pro Max保護殼 軟殼</t>
        </is>
      </c>
      <c r="C4701">
        <f>IMAGE("https://cf.shopee.tw/file/sg-11134201-22100-87k2wqimj8iv9f_tn")</f>
        <v/>
      </c>
      <c r="D4701" t="inlineStr">
        <is>
          <t>黃帽鴨(單殼),iPhone 13</t>
        </is>
      </c>
      <c r="E4701" t="inlineStr"/>
      <c r="F4701">
        <f>IMAGE("https://cf.shopee.tw/file/sg-11134201-22110-crcklqh8bjjvd9_tn")</f>
        <v/>
      </c>
    </row>
    <row r="4702">
      <c r="A4702" t="inlineStr">
        <is>
          <t>18358454438</t>
        </is>
      </c>
      <c r="B4702" t="inlineStr">
        <is>
          <t>隔日到貨🔥 iPhone 手機殼 14 13 12 11 pro Max保護殼 軟殼</t>
        </is>
      </c>
      <c r="C4702">
        <f>IMAGE("https://cf.shopee.tw/file/sg-11134201-22100-87k2wqimj8iv9f_tn")</f>
        <v/>
      </c>
      <c r="D4702" t="inlineStr">
        <is>
          <t>黃帽鴨(單殼),iPhone 13 Pro</t>
        </is>
      </c>
      <c r="E4702" t="inlineStr">
        <is>
          <t>230140495642</t>
        </is>
      </c>
      <c r="F4702">
        <f>IMAGE("https://cf.shopee.tw/file/sg-11134201-22110-crcklqh8bjjvd9_tn")</f>
        <v/>
      </c>
    </row>
    <row r="4703">
      <c r="A4703" t="inlineStr">
        <is>
          <t>18358454438</t>
        </is>
      </c>
      <c r="B4703" t="inlineStr">
        <is>
          <t>隔日到貨🔥 iPhone 手機殼 14 13 12 11 pro Max保護殼 軟殼</t>
        </is>
      </c>
      <c r="C4703">
        <f>IMAGE("https://cf.shopee.tw/file/sg-11134201-22100-87k2wqimj8iv9f_tn")</f>
        <v/>
      </c>
      <c r="D4703" t="inlineStr">
        <is>
          <t>黃帽鴨(單殼),iPhone 13 Pro Max</t>
        </is>
      </c>
      <c r="E4703" t="inlineStr">
        <is>
          <t>230140495643</t>
        </is>
      </c>
      <c r="F4703">
        <f>IMAGE("https://cf.shopee.tw/file/sg-11134201-22110-crcklqh8bjjvd9_tn")</f>
        <v/>
      </c>
    </row>
    <row r="4704">
      <c r="A4704" t="inlineStr">
        <is>
          <t>18358454438</t>
        </is>
      </c>
      <c r="B4704" t="inlineStr">
        <is>
          <t>隔日到貨🔥 iPhone 手機殼 14 13 12 11 pro Max保護殼 軟殼</t>
        </is>
      </c>
      <c r="C4704">
        <f>IMAGE("https://cf.shopee.tw/file/sg-11134201-22100-87k2wqimj8iv9f_tn")</f>
        <v/>
      </c>
      <c r="D4704" t="inlineStr">
        <is>
          <t>黃帽鴨(單殼),iPhone 14</t>
        </is>
      </c>
      <c r="E4704" t="inlineStr">
        <is>
          <t>230140495652</t>
        </is>
      </c>
      <c r="F4704">
        <f>IMAGE("https://cf.shopee.tw/file/sg-11134201-22110-crcklqh8bjjvd9_tn")</f>
        <v/>
      </c>
    </row>
    <row r="4705">
      <c r="A4705" t="inlineStr">
        <is>
          <t>18358454438</t>
        </is>
      </c>
      <c r="B4705" t="inlineStr">
        <is>
          <t>隔日到貨🔥 iPhone 手機殼 14 13 12 11 pro Max保護殼 軟殼</t>
        </is>
      </c>
      <c r="C4705">
        <f>IMAGE("https://cf.shopee.tw/file/sg-11134201-22100-87k2wqimj8iv9f_tn")</f>
        <v/>
      </c>
      <c r="D4705" t="inlineStr">
        <is>
          <t>黃帽鴨(單殼),iPhone 14 Plus</t>
        </is>
      </c>
      <c r="E4705" t="inlineStr"/>
      <c r="F4705">
        <f>IMAGE("https://cf.shopee.tw/file/sg-11134201-22110-crcklqh8bjjvd9_tn")</f>
        <v/>
      </c>
    </row>
    <row r="4706">
      <c r="A4706" t="inlineStr">
        <is>
          <t>18358454438</t>
        </is>
      </c>
      <c r="B4706" t="inlineStr">
        <is>
          <t>隔日到貨🔥 iPhone 手機殼 14 13 12 11 pro Max保護殼 軟殼</t>
        </is>
      </c>
      <c r="C4706">
        <f>IMAGE("https://cf.shopee.tw/file/sg-11134201-22100-87k2wqimj8iv9f_tn")</f>
        <v/>
      </c>
      <c r="D4706" t="inlineStr">
        <is>
          <t>黃帽鴨(單殼),iPhone 14 Pro</t>
        </is>
      </c>
      <c r="E4706" t="inlineStr"/>
      <c r="F4706">
        <f>IMAGE("https://cf.shopee.tw/file/sg-11134201-22110-crcklqh8bjjvd9_tn")</f>
        <v/>
      </c>
    </row>
    <row r="4707">
      <c r="A4707" t="inlineStr">
        <is>
          <t>18358454438</t>
        </is>
      </c>
      <c r="B4707" t="inlineStr">
        <is>
          <t>隔日到貨🔥 iPhone 手機殼 14 13 12 11 pro Max保護殼 軟殼</t>
        </is>
      </c>
      <c r="C4707">
        <f>IMAGE("https://cf.shopee.tw/file/sg-11134201-22100-87k2wqimj8iv9f_tn")</f>
        <v/>
      </c>
      <c r="D4707" t="inlineStr">
        <is>
          <t>黃帽鴨(單殼),iPhone 14 Pro Max</t>
        </is>
      </c>
      <c r="E4707" t="inlineStr"/>
      <c r="F4707">
        <f>IMAGE("https://cf.shopee.tw/file/sg-11134201-22110-crcklqh8bjjvd9_tn")</f>
        <v/>
      </c>
    </row>
    <row r="4708">
      <c r="A4708" t="inlineStr">
        <is>
          <t>21553268497</t>
        </is>
      </c>
      <c r="B4708" t="inlineStr">
        <is>
          <t>隔日到貨🔥 iPhone 手機殼 16 15 14 pro 13 12 11 XS XR SE X 保護殼 軟殼 蘋果</t>
        </is>
      </c>
      <c r="C4708">
        <f>IMAGE("https://cf.shopee.tw/file/sg-11134201-22100-w2k5uag1fgiv3b_tn")</f>
        <v/>
      </c>
      <c r="D4708" t="inlineStr">
        <is>
          <t>塗鴉方塊,7Plus / 8Plus</t>
        </is>
      </c>
      <c r="E4708" t="inlineStr"/>
      <c r="F4708">
        <f>IMAGE("https://cf.shopee.tw/file/14f712261b3d1361e3ad35150798f289_tn")</f>
        <v/>
      </c>
    </row>
    <row r="4709">
      <c r="A4709" t="inlineStr">
        <is>
          <t>21553268497</t>
        </is>
      </c>
      <c r="B4709" t="inlineStr">
        <is>
          <t>隔日到貨🔥 iPhone 手機殼 16 15 14 pro 13 12 11 XS XR SE X 保護殼 軟殼 蘋果</t>
        </is>
      </c>
      <c r="C4709">
        <f>IMAGE("https://cf.shopee.tw/file/sg-11134201-22100-w2k5uag1fgiv3b_tn")</f>
        <v/>
      </c>
      <c r="D4709" t="inlineStr">
        <is>
          <t>塗鴉方塊,11 pro</t>
        </is>
      </c>
      <c r="E4709" t="inlineStr"/>
      <c r="F4709">
        <f>IMAGE("https://cf.shopee.tw/file/14f712261b3d1361e3ad35150798f289_tn")</f>
        <v/>
      </c>
    </row>
    <row r="4710">
      <c r="A4710" t="inlineStr">
        <is>
          <t>21553268497</t>
        </is>
      </c>
      <c r="B4710" t="inlineStr">
        <is>
          <t>隔日到貨🔥 iPhone 手機殼 16 15 14 pro 13 12 11 XS XR SE X 保護殼 軟殼 蘋果</t>
        </is>
      </c>
      <c r="C4710">
        <f>IMAGE("https://cf.shopee.tw/file/sg-11134201-22100-w2k5uag1fgiv3b_tn")</f>
        <v/>
      </c>
      <c r="D4710" t="inlineStr">
        <is>
          <t>塗鴉方塊,12 pro Max</t>
        </is>
      </c>
      <c r="E4710" t="inlineStr"/>
      <c r="F4710">
        <f>IMAGE("https://cf.shopee.tw/file/14f712261b3d1361e3ad35150798f289_tn")</f>
        <v/>
      </c>
    </row>
    <row r="4711">
      <c r="A4711" t="inlineStr">
        <is>
          <t>21553268497</t>
        </is>
      </c>
      <c r="B4711" t="inlineStr">
        <is>
          <t>隔日到貨🔥 iPhone 手機殼 16 15 14 pro 13 12 11 XS XR SE X 保護殼 軟殼 蘋果</t>
        </is>
      </c>
      <c r="C4711">
        <f>IMAGE("https://cf.shopee.tw/file/sg-11134201-22100-w2k5uag1fgiv3b_tn")</f>
        <v/>
      </c>
      <c r="D4711" t="inlineStr">
        <is>
          <t>塗鴉方塊,13 mini</t>
        </is>
      </c>
      <c r="E4711" t="inlineStr"/>
      <c r="F4711">
        <f>IMAGE("https://cf.shopee.tw/file/14f712261b3d1361e3ad35150798f289_tn")</f>
        <v/>
      </c>
    </row>
    <row r="4712">
      <c r="A4712" t="inlineStr">
        <is>
          <t>21553268497</t>
        </is>
      </c>
      <c r="B4712" t="inlineStr">
        <is>
          <t>隔日到貨🔥 iPhone 手機殼 16 15 14 pro 13 12 11 XS XR SE X 保護殼 軟殼 蘋果</t>
        </is>
      </c>
      <c r="C4712">
        <f>IMAGE("https://cf.shopee.tw/file/sg-11134201-22100-w2k5uag1fgiv3b_tn")</f>
        <v/>
      </c>
      <c r="D4712" t="inlineStr">
        <is>
          <t>塗鴉方塊,7 / 8 / SE2 / SE3</t>
        </is>
      </c>
      <c r="E4712" t="inlineStr"/>
      <c r="F4712">
        <f>IMAGE("https://cf.shopee.tw/file/14f712261b3d1361e3ad35150798f289_tn")</f>
        <v/>
      </c>
    </row>
    <row r="4713">
      <c r="A4713" t="inlineStr">
        <is>
          <t>21553268497</t>
        </is>
      </c>
      <c r="B4713" t="inlineStr">
        <is>
          <t>隔日到貨🔥 iPhone 手機殼 16 15 14 pro 13 12 11 XS XR SE X 保護殼 軟殼 蘋果</t>
        </is>
      </c>
      <c r="C4713">
        <f>IMAGE("https://cf.shopee.tw/file/sg-11134201-22100-w2k5uag1fgiv3b_tn")</f>
        <v/>
      </c>
      <c r="D4713" t="inlineStr">
        <is>
          <t>塗鴉方塊,X / XS</t>
        </is>
      </c>
      <c r="E4713" t="inlineStr"/>
      <c r="F4713">
        <f>IMAGE("https://cf.shopee.tw/file/14f712261b3d1361e3ad35150798f289_tn")</f>
        <v/>
      </c>
    </row>
    <row r="4714">
      <c r="A4714" t="inlineStr">
        <is>
          <t>21553268497</t>
        </is>
      </c>
      <c r="B4714" t="inlineStr">
        <is>
          <t>隔日到貨🔥 iPhone 手機殼 16 15 14 pro 13 12 11 XS XR SE X 保護殼 軟殼 蘋果</t>
        </is>
      </c>
      <c r="C4714">
        <f>IMAGE("https://cf.shopee.tw/file/sg-11134201-22100-w2k5uag1fgiv3b_tn")</f>
        <v/>
      </c>
      <c r="D4714" t="inlineStr">
        <is>
          <t>塗鴉方塊,XR</t>
        </is>
      </c>
      <c r="E4714" t="inlineStr"/>
      <c r="F4714">
        <f>IMAGE("https://cf.shopee.tw/file/14f712261b3d1361e3ad35150798f289_tn")</f>
        <v/>
      </c>
    </row>
    <row r="4715">
      <c r="A4715" t="inlineStr">
        <is>
          <t>21553268497</t>
        </is>
      </c>
      <c r="B4715" t="inlineStr">
        <is>
          <t>隔日到貨🔥 iPhone 手機殼 16 15 14 pro 13 12 11 XS XR SE X 保護殼 軟殼 蘋果</t>
        </is>
      </c>
      <c r="C4715">
        <f>IMAGE("https://cf.shopee.tw/file/sg-11134201-22100-w2k5uag1fgiv3b_tn")</f>
        <v/>
      </c>
      <c r="D4715" t="inlineStr">
        <is>
          <t>塗鴉方塊,XS Max</t>
        </is>
      </c>
      <c r="E4715" t="inlineStr"/>
      <c r="F4715">
        <f>IMAGE("https://cf.shopee.tw/file/14f712261b3d1361e3ad35150798f289_tn")</f>
        <v/>
      </c>
    </row>
    <row r="4716">
      <c r="A4716" t="inlineStr">
        <is>
          <t>21553268497</t>
        </is>
      </c>
      <c r="B4716" t="inlineStr">
        <is>
          <t>隔日到貨🔥 iPhone 手機殼 16 15 14 pro 13 12 11 XS XR SE X 保護殼 軟殼 蘋果</t>
        </is>
      </c>
      <c r="C4716">
        <f>IMAGE("https://cf.shopee.tw/file/sg-11134201-22100-w2k5uag1fgiv3b_tn")</f>
        <v/>
      </c>
      <c r="D4716" t="inlineStr">
        <is>
          <t>塗鴉方塊,11</t>
        </is>
      </c>
      <c r="E4716" t="inlineStr"/>
      <c r="F4716">
        <f>IMAGE("https://cf.shopee.tw/file/14f712261b3d1361e3ad35150798f289_tn")</f>
        <v/>
      </c>
    </row>
    <row r="4717">
      <c r="A4717" t="inlineStr">
        <is>
          <t>21553268497</t>
        </is>
      </c>
      <c r="B4717" t="inlineStr">
        <is>
          <t>隔日到貨🔥 iPhone 手機殼 16 15 14 pro 13 12 11 XS XR SE X 保護殼 軟殼 蘋果</t>
        </is>
      </c>
      <c r="C4717">
        <f>IMAGE("https://cf.shopee.tw/file/sg-11134201-22100-w2k5uag1fgiv3b_tn")</f>
        <v/>
      </c>
      <c r="D4717" t="inlineStr">
        <is>
          <t>塗鴉方塊,11 pro Max</t>
        </is>
      </c>
      <c r="E4717" t="inlineStr"/>
      <c r="F4717">
        <f>IMAGE("https://cf.shopee.tw/file/14f712261b3d1361e3ad35150798f289_tn")</f>
        <v/>
      </c>
    </row>
    <row r="4718">
      <c r="A4718" t="inlineStr">
        <is>
          <t>21553268497</t>
        </is>
      </c>
      <c r="B4718" t="inlineStr">
        <is>
          <t>隔日到貨🔥 iPhone 手機殼 16 15 14 pro 13 12 11 XS XR SE X 保護殼 軟殼 蘋果</t>
        </is>
      </c>
      <c r="C4718">
        <f>IMAGE("https://cf.shopee.tw/file/sg-11134201-22100-w2k5uag1fgiv3b_tn")</f>
        <v/>
      </c>
      <c r="D4718" t="inlineStr">
        <is>
          <t>塗鴉方塊,12</t>
        </is>
      </c>
      <c r="E4718" t="inlineStr">
        <is>
          <t>126898859506</t>
        </is>
      </c>
      <c r="F4718">
        <f>IMAGE("https://cf.shopee.tw/file/14f712261b3d1361e3ad35150798f289_tn")</f>
        <v/>
      </c>
    </row>
    <row r="4719">
      <c r="A4719" t="inlineStr">
        <is>
          <t>21553268497</t>
        </is>
      </c>
      <c r="B4719" t="inlineStr">
        <is>
          <t>隔日到貨🔥 iPhone 手機殼 16 15 14 pro 13 12 11 XS XR SE X 保護殼 軟殼 蘋果</t>
        </is>
      </c>
      <c r="C4719">
        <f>IMAGE("https://cf.shopee.tw/file/sg-11134201-22100-w2k5uag1fgiv3b_tn")</f>
        <v/>
      </c>
      <c r="D4719" t="inlineStr">
        <is>
          <t>塗鴉方塊,12 pro</t>
        </is>
      </c>
      <c r="E4719" t="inlineStr">
        <is>
          <t>126898859513</t>
        </is>
      </c>
      <c r="F4719">
        <f>IMAGE("https://cf.shopee.tw/file/14f712261b3d1361e3ad35150798f289_tn")</f>
        <v/>
      </c>
    </row>
    <row r="4720">
      <c r="A4720" t="inlineStr">
        <is>
          <t>21553268497</t>
        </is>
      </c>
      <c r="B4720" t="inlineStr">
        <is>
          <t>隔日到貨🔥 iPhone 手機殼 16 15 14 pro 13 12 11 XS XR SE X 保護殼 軟殼 蘋果</t>
        </is>
      </c>
      <c r="C4720">
        <f>IMAGE("https://cf.shopee.tw/file/sg-11134201-22100-w2k5uag1fgiv3b_tn")</f>
        <v/>
      </c>
      <c r="D4720" t="inlineStr">
        <is>
          <t>塗鴉方塊,13</t>
        </is>
      </c>
      <c r="E4720" t="inlineStr"/>
      <c r="F4720">
        <f>IMAGE("https://cf.shopee.tw/file/14f712261b3d1361e3ad35150798f289_tn")</f>
        <v/>
      </c>
    </row>
    <row r="4721">
      <c r="A4721" t="inlineStr">
        <is>
          <t>21553268497</t>
        </is>
      </c>
      <c r="B4721" t="inlineStr">
        <is>
          <t>隔日到貨🔥 iPhone 手機殼 16 15 14 pro 13 12 11 XS XR SE X 保護殼 軟殼 蘋果</t>
        </is>
      </c>
      <c r="C4721">
        <f>IMAGE("https://cf.shopee.tw/file/sg-11134201-22100-w2k5uag1fgiv3b_tn")</f>
        <v/>
      </c>
      <c r="D4721" t="inlineStr">
        <is>
          <t>塗鴉方塊,13 pro</t>
        </is>
      </c>
      <c r="E4721" t="inlineStr"/>
      <c r="F4721">
        <f>IMAGE("https://cf.shopee.tw/file/14f712261b3d1361e3ad35150798f289_tn")</f>
        <v/>
      </c>
    </row>
    <row r="4722">
      <c r="A4722" t="inlineStr">
        <is>
          <t>21553268497</t>
        </is>
      </c>
      <c r="B4722" t="inlineStr">
        <is>
          <t>隔日到貨🔥 iPhone 手機殼 16 15 14 pro 13 12 11 XS XR SE X 保護殼 軟殼 蘋果</t>
        </is>
      </c>
      <c r="C4722">
        <f>IMAGE("https://cf.shopee.tw/file/sg-11134201-22100-w2k5uag1fgiv3b_tn")</f>
        <v/>
      </c>
      <c r="D4722" t="inlineStr">
        <is>
          <t>塗鴉方塊,13 pro Max</t>
        </is>
      </c>
      <c r="E4722" t="inlineStr"/>
      <c r="F4722">
        <f>IMAGE("https://cf.shopee.tw/file/14f712261b3d1361e3ad35150798f289_tn")</f>
        <v/>
      </c>
    </row>
    <row r="4723">
      <c r="A4723" t="inlineStr">
        <is>
          <t>21553268497</t>
        </is>
      </c>
      <c r="B4723" t="inlineStr">
        <is>
          <t>隔日到貨🔥 iPhone 手機殼 16 15 14 pro 13 12 11 XS XR SE X 保護殼 軟殼 蘋果</t>
        </is>
      </c>
      <c r="C4723">
        <f>IMAGE("https://cf.shopee.tw/file/sg-11134201-22100-w2k5uag1fgiv3b_tn")</f>
        <v/>
      </c>
      <c r="D4723" t="inlineStr">
        <is>
          <t>塗鴉方塊,14</t>
        </is>
      </c>
      <c r="E4723" t="inlineStr"/>
      <c r="F4723">
        <f>IMAGE("https://cf.shopee.tw/file/14f712261b3d1361e3ad35150798f289_tn")</f>
        <v/>
      </c>
    </row>
    <row r="4724">
      <c r="A4724" t="inlineStr">
        <is>
          <t>21553268497</t>
        </is>
      </c>
      <c r="B4724" t="inlineStr">
        <is>
          <t>隔日到貨🔥 iPhone 手機殼 16 15 14 pro 13 12 11 XS XR SE X 保護殼 軟殼 蘋果</t>
        </is>
      </c>
      <c r="C4724">
        <f>IMAGE("https://cf.shopee.tw/file/sg-11134201-22100-w2k5uag1fgiv3b_tn")</f>
        <v/>
      </c>
      <c r="D4724" t="inlineStr">
        <is>
          <t>塗鴉方塊,14 Plus</t>
        </is>
      </c>
      <c r="E4724" t="inlineStr"/>
      <c r="F4724">
        <f>IMAGE("https://cf.shopee.tw/file/14f712261b3d1361e3ad35150798f289_tn")</f>
        <v/>
      </c>
    </row>
    <row r="4725">
      <c r="A4725" t="inlineStr">
        <is>
          <t>21553268497</t>
        </is>
      </c>
      <c r="B4725" t="inlineStr">
        <is>
          <t>隔日到貨🔥 iPhone 手機殼 16 15 14 pro 13 12 11 XS XR SE X 保護殼 軟殼 蘋果</t>
        </is>
      </c>
      <c r="C4725">
        <f>IMAGE("https://cf.shopee.tw/file/sg-11134201-22100-w2k5uag1fgiv3b_tn")</f>
        <v/>
      </c>
      <c r="D4725" t="inlineStr">
        <is>
          <t>塗鴉方塊,14 pro</t>
        </is>
      </c>
      <c r="E4725" t="inlineStr">
        <is>
          <t>126898859515</t>
        </is>
      </c>
      <c r="F4725">
        <f>IMAGE("https://cf.shopee.tw/file/14f712261b3d1361e3ad35150798f289_tn")</f>
        <v/>
      </c>
    </row>
    <row r="4726">
      <c r="A4726" t="inlineStr">
        <is>
          <t>21553268497</t>
        </is>
      </c>
      <c r="B4726" t="inlineStr">
        <is>
          <t>隔日到貨🔥 iPhone 手機殼 16 15 14 pro 13 12 11 XS XR SE X 保護殼 軟殼 蘋果</t>
        </is>
      </c>
      <c r="C4726">
        <f>IMAGE("https://cf.shopee.tw/file/sg-11134201-22100-w2k5uag1fgiv3b_tn")</f>
        <v/>
      </c>
      <c r="D4726" t="inlineStr">
        <is>
          <t>塗鴉方塊,14 pro Max</t>
        </is>
      </c>
      <c r="E4726" t="inlineStr"/>
      <c r="F4726">
        <f>IMAGE("https://cf.shopee.tw/file/14f712261b3d1361e3ad35150798f289_tn")</f>
        <v/>
      </c>
    </row>
    <row r="4727">
      <c r="A4727" t="inlineStr">
        <is>
          <t>21553268497</t>
        </is>
      </c>
      <c r="B4727" t="inlineStr">
        <is>
          <t>隔日到貨🔥 iPhone 手機殼 16 15 14 pro 13 12 11 XS XR SE X 保護殼 軟殼 蘋果</t>
        </is>
      </c>
      <c r="C4727">
        <f>IMAGE("https://cf.shopee.tw/file/sg-11134201-22100-w2k5uag1fgiv3b_tn")</f>
        <v/>
      </c>
      <c r="D4727" t="inlineStr">
        <is>
          <t>塗鴉方塊,15</t>
        </is>
      </c>
      <c r="E4727" t="inlineStr">
        <is>
          <t>207035268818</t>
        </is>
      </c>
      <c r="F4727">
        <f>IMAGE("https://cf.shopee.tw/file/14f712261b3d1361e3ad35150798f289_tn")</f>
        <v/>
      </c>
    </row>
    <row r="4728">
      <c r="A4728" t="inlineStr">
        <is>
          <t>21553268497</t>
        </is>
      </c>
      <c r="B4728" t="inlineStr">
        <is>
          <t>隔日到貨🔥 iPhone 手機殼 16 15 14 pro 13 12 11 XS XR SE X 保護殼 軟殼 蘋果</t>
        </is>
      </c>
      <c r="C4728">
        <f>IMAGE("https://cf.shopee.tw/file/sg-11134201-22100-w2k5uag1fgiv3b_tn")</f>
        <v/>
      </c>
      <c r="D4728" t="inlineStr">
        <is>
          <t>塗鴉方塊,15 Plus</t>
        </is>
      </c>
      <c r="E4728" t="inlineStr"/>
      <c r="F4728">
        <f>IMAGE("https://cf.shopee.tw/file/14f712261b3d1361e3ad35150798f289_tn")</f>
        <v/>
      </c>
    </row>
    <row r="4729">
      <c r="A4729" t="inlineStr">
        <is>
          <t>21553268497</t>
        </is>
      </c>
      <c r="B4729" t="inlineStr">
        <is>
          <t>隔日到貨🔥 iPhone 手機殼 16 15 14 pro 13 12 11 XS XR SE X 保護殼 軟殼 蘋果</t>
        </is>
      </c>
      <c r="C4729">
        <f>IMAGE("https://cf.shopee.tw/file/sg-11134201-22100-w2k5uag1fgiv3b_tn")</f>
        <v/>
      </c>
      <c r="D4729" t="inlineStr">
        <is>
          <t>塗鴉方塊,15 pro</t>
        </is>
      </c>
      <c r="E4729" t="inlineStr"/>
      <c r="F4729">
        <f>IMAGE("https://cf.shopee.tw/file/14f712261b3d1361e3ad35150798f289_tn")</f>
        <v/>
      </c>
    </row>
    <row r="4730">
      <c r="A4730" t="inlineStr">
        <is>
          <t>21553268497</t>
        </is>
      </c>
      <c r="B4730" t="inlineStr">
        <is>
          <t>隔日到貨🔥 iPhone 手機殼 16 15 14 pro 13 12 11 XS XR SE X 保護殼 軟殼 蘋果</t>
        </is>
      </c>
      <c r="C4730">
        <f>IMAGE("https://cf.shopee.tw/file/sg-11134201-22100-w2k5uag1fgiv3b_tn")</f>
        <v/>
      </c>
      <c r="D4730" t="inlineStr">
        <is>
          <t>塗鴉方塊,15 pro Max</t>
        </is>
      </c>
      <c r="E4730" t="inlineStr">
        <is>
          <t>207035268819</t>
        </is>
      </c>
      <c r="F4730">
        <f>IMAGE("https://cf.shopee.tw/file/14f712261b3d1361e3ad35150798f289_tn")</f>
        <v/>
      </c>
    </row>
    <row r="4731">
      <c r="A4731" t="inlineStr">
        <is>
          <t>21553268497</t>
        </is>
      </c>
      <c r="B4731" t="inlineStr">
        <is>
          <t>隔日到貨🔥 iPhone 手機殼 16 15 14 pro 13 12 11 XS XR SE X 保護殼 軟殼 蘋果</t>
        </is>
      </c>
      <c r="C4731">
        <f>IMAGE("https://cf.shopee.tw/file/sg-11134201-22100-w2k5uag1fgiv3b_tn")</f>
        <v/>
      </c>
      <c r="D4731" t="inlineStr">
        <is>
          <t>塗鴉方塊,16</t>
        </is>
      </c>
      <c r="E4731" t="inlineStr"/>
      <c r="F4731">
        <f>IMAGE("https://cf.shopee.tw/file/14f712261b3d1361e3ad35150798f289_tn")</f>
        <v/>
      </c>
    </row>
    <row r="4732">
      <c r="A4732" t="inlineStr">
        <is>
          <t>21553268497</t>
        </is>
      </c>
      <c r="B4732" t="inlineStr">
        <is>
          <t>隔日到貨🔥 iPhone 手機殼 16 15 14 pro 13 12 11 XS XR SE X 保護殼 軟殼 蘋果</t>
        </is>
      </c>
      <c r="C4732">
        <f>IMAGE("https://cf.shopee.tw/file/sg-11134201-22100-w2k5uag1fgiv3b_tn")</f>
        <v/>
      </c>
      <c r="D4732" t="inlineStr">
        <is>
          <t>塗鴉方塊,16 Plus</t>
        </is>
      </c>
      <c r="E4732" t="inlineStr"/>
      <c r="F4732">
        <f>IMAGE("https://cf.shopee.tw/file/14f712261b3d1361e3ad35150798f289_tn")</f>
        <v/>
      </c>
    </row>
    <row r="4733">
      <c r="A4733" t="inlineStr">
        <is>
          <t>21553268497</t>
        </is>
      </c>
      <c r="B4733" t="inlineStr">
        <is>
          <t>隔日到貨🔥 iPhone 手機殼 16 15 14 pro 13 12 11 XS XR SE X 保護殼 軟殼 蘋果</t>
        </is>
      </c>
      <c r="C4733">
        <f>IMAGE("https://cf.shopee.tw/file/sg-11134201-22100-w2k5uag1fgiv3b_tn")</f>
        <v/>
      </c>
      <c r="D4733" t="inlineStr">
        <is>
          <t>塗鴉方塊,16 pro</t>
        </is>
      </c>
      <c r="E4733" t="inlineStr"/>
      <c r="F4733">
        <f>IMAGE("https://cf.shopee.tw/file/14f712261b3d1361e3ad35150798f289_tn")</f>
        <v/>
      </c>
    </row>
    <row r="4734">
      <c r="A4734" t="inlineStr">
        <is>
          <t>21553268497</t>
        </is>
      </c>
      <c r="B4734" t="inlineStr">
        <is>
          <t>隔日到貨🔥 iPhone 手機殼 16 15 14 pro 13 12 11 XS XR SE X 保護殼 軟殼 蘋果</t>
        </is>
      </c>
      <c r="C4734">
        <f>IMAGE("https://cf.shopee.tw/file/sg-11134201-22100-w2k5uag1fgiv3b_tn")</f>
        <v/>
      </c>
      <c r="D4734" t="inlineStr">
        <is>
          <t>塗鴉方塊,16 pro Max</t>
        </is>
      </c>
      <c r="E4734" t="inlineStr">
        <is>
          <t>256816751120</t>
        </is>
      </c>
      <c r="F4734">
        <f>IMAGE("https://cf.shopee.tw/file/14f712261b3d1361e3ad35150798f289_tn")</f>
        <v/>
      </c>
    </row>
    <row r="4735">
      <c r="A4735" t="inlineStr">
        <is>
          <t>23381311738</t>
        </is>
      </c>
      <c r="B4735" t="inlineStr">
        <is>
          <t>隔日到貨🔥 iPhone 手機殼 15 14 pro 13 12 11 XS XR SE X 保護殼 軟殼 蘋果</t>
        </is>
      </c>
      <c r="C4735">
        <f>IMAGE("https://cf.shopee.tw/file/tw-11134207-7r991-lm1ccmlqnn2x06_tn")</f>
        <v/>
      </c>
      <c r="D4735" t="inlineStr">
        <is>
          <t>貼貼奶狗(無吊飾),7/8/SE2/SE3</t>
        </is>
      </c>
      <c r="E4735" t="inlineStr"/>
      <c r="F4735">
        <f>IMAGE("https://cf.shopee.tw/file/tw-11134207-7r98x-lm4fbz8yzwkbdc_tn")</f>
        <v/>
      </c>
    </row>
    <row r="4736">
      <c r="A4736" t="inlineStr">
        <is>
          <t>23381311738</t>
        </is>
      </c>
      <c r="B4736" t="inlineStr">
        <is>
          <t>隔日到貨🔥 iPhone 手機殼 15 14 pro 13 12 11 XS XR SE X 保護殼 軟殼 蘋果</t>
        </is>
      </c>
      <c r="C4736">
        <f>IMAGE("https://cf.shopee.tw/file/tw-11134207-7r991-lm1ccmlqnn2x06_tn")</f>
        <v/>
      </c>
      <c r="D4736" t="inlineStr">
        <is>
          <t>貼貼奶狗(無吊飾),7Plus/8Plus</t>
        </is>
      </c>
      <c r="E4736" t="inlineStr"/>
      <c r="F4736">
        <f>IMAGE("https://cf.shopee.tw/file/tw-11134207-7r98x-lm4fbz8yzwkbdc_tn")</f>
        <v/>
      </c>
    </row>
    <row r="4737">
      <c r="A4737" t="inlineStr">
        <is>
          <t>23381311738</t>
        </is>
      </c>
      <c r="B4737" t="inlineStr">
        <is>
          <t>隔日到貨🔥 iPhone 手機殼 15 14 pro 13 12 11 XS XR SE X 保護殼 軟殼 蘋果</t>
        </is>
      </c>
      <c r="C4737">
        <f>IMAGE("https://cf.shopee.tw/file/tw-11134207-7r991-lm1ccmlqnn2x06_tn")</f>
        <v/>
      </c>
      <c r="D4737" t="inlineStr">
        <is>
          <t>貼貼奶狗(無吊飾),X/XS</t>
        </is>
      </c>
      <c r="E4737" t="inlineStr"/>
      <c r="F4737">
        <f>IMAGE("https://cf.shopee.tw/file/tw-11134207-7r98x-lm4fbz8yzwkbdc_tn")</f>
        <v/>
      </c>
    </row>
    <row r="4738">
      <c r="A4738" t="inlineStr">
        <is>
          <t>23381311738</t>
        </is>
      </c>
      <c r="B4738" t="inlineStr">
        <is>
          <t>隔日到貨🔥 iPhone 手機殼 15 14 pro 13 12 11 XS XR SE X 保護殼 軟殼 蘋果</t>
        </is>
      </c>
      <c r="C4738">
        <f>IMAGE("https://cf.shopee.tw/file/tw-11134207-7r991-lm1ccmlqnn2x06_tn")</f>
        <v/>
      </c>
      <c r="D4738" t="inlineStr">
        <is>
          <t>貼貼奶狗(無吊飾),XR</t>
        </is>
      </c>
      <c r="E4738" t="inlineStr"/>
      <c r="F4738">
        <f>IMAGE("https://cf.shopee.tw/file/tw-11134207-7r98x-lm4fbz8yzwkbdc_tn")</f>
        <v/>
      </c>
    </row>
    <row r="4739">
      <c r="A4739" t="inlineStr">
        <is>
          <t>23381311738</t>
        </is>
      </c>
      <c r="B4739" t="inlineStr">
        <is>
          <t>隔日到貨🔥 iPhone 手機殼 15 14 pro 13 12 11 XS XR SE X 保護殼 軟殼 蘋果</t>
        </is>
      </c>
      <c r="C4739">
        <f>IMAGE("https://cf.shopee.tw/file/tw-11134207-7r991-lm1ccmlqnn2x06_tn")</f>
        <v/>
      </c>
      <c r="D4739" t="inlineStr">
        <is>
          <t>貼貼奶狗(無吊飾),XS Max</t>
        </is>
      </c>
      <c r="E4739" t="inlineStr"/>
      <c r="F4739">
        <f>IMAGE("https://cf.shopee.tw/file/tw-11134207-7r98x-lm4fbz8yzwkbdc_tn")</f>
        <v/>
      </c>
    </row>
    <row r="4740">
      <c r="A4740" t="inlineStr">
        <is>
          <t>23381311738</t>
        </is>
      </c>
      <c r="B4740" t="inlineStr">
        <is>
          <t>隔日到貨🔥 iPhone 手機殼 15 14 pro 13 12 11 XS XR SE X 保護殼 軟殼 蘋果</t>
        </is>
      </c>
      <c r="C4740">
        <f>IMAGE("https://cf.shopee.tw/file/tw-11134207-7r991-lm1ccmlqnn2x06_tn")</f>
        <v/>
      </c>
      <c r="D4740" t="inlineStr">
        <is>
          <t>貼貼奶狗(無吊飾),11</t>
        </is>
      </c>
      <c r="E4740" t="inlineStr"/>
      <c r="F4740">
        <f>IMAGE("https://cf.shopee.tw/file/tw-11134207-7r98x-lm4fbz8yzwkbdc_tn")</f>
        <v/>
      </c>
    </row>
    <row r="4741">
      <c r="A4741" t="inlineStr">
        <is>
          <t>23381311738</t>
        </is>
      </c>
      <c r="B4741" t="inlineStr">
        <is>
          <t>隔日到貨🔥 iPhone 手機殼 15 14 pro 13 12 11 XS XR SE X 保護殼 軟殼 蘋果</t>
        </is>
      </c>
      <c r="C4741">
        <f>IMAGE("https://cf.shopee.tw/file/tw-11134207-7r991-lm1ccmlqnn2x06_tn")</f>
        <v/>
      </c>
      <c r="D4741" t="inlineStr">
        <is>
          <t>貼貼奶狗(無吊飾),11 pro Max</t>
        </is>
      </c>
      <c r="E4741" t="inlineStr"/>
      <c r="F4741">
        <f>IMAGE("https://cf.shopee.tw/file/tw-11134207-7r98x-lm4fbz8yzwkbdc_tn")</f>
        <v/>
      </c>
    </row>
    <row r="4742">
      <c r="A4742" t="inlineStr">
        <is>
          <t>23381311738</t>
        </is>
      </c>
      <c r="B4742" t="inlineStr">
        <is>
          <t>隔日到貨🔥 iPhone 手機殼 15 14 pro 13 12 11 XS XR SE X 保護殼 軟殼 蘋果</t>
        </is>
      </c>
      <c r="C4742">
        <f>IMAGE("https://cf.shopee.tw/file/tw-11134207-7r991-lm1ccmlqnn2x06_tn")</f>
        <v/>
      </c>
      <c r="D4742" t="inlineStr">
        <is>
          <t>貼貼奶狗(無吊飾),12</t>
        </is>
      </c>
      <c r="E4742" t="inlineStr"/>
      <c r="F4742">
        <f>IMAGE("https://cf.shopee.tw/file/tw-11134207-7r98x-lm4fbz8yzwkbdc_tn")</f>
        <v/>
      </c>
    </row>
    <row r="4743">
      <c r="A4743" t="inlineStr">
        <is>
          <t>23381311738</t>
        </is>
      </c>
      <c r="B4743" t="inlineStr">
        <is>
          <t>隔日到貨🔥 iPhone 手機殼 15 14 pro 13 12 11 XS XR SE X 保護殼 軟殼 蘋果</t>
        </is>
      </c>
      <c r="C4743">
        <f>IMAGE("https://cf.shopee.tw/file/tw-11134207-7r991-lm1ccmlqnn2x06_tn")</f>
        <v/>
      </c>
      <c r="D4743" t="inlineStr">
        <is>
          <t>貼貼奶狗(無吊飾),12 pro</t>
        </is>
      </c>
      <c r="E4743" t="inlineStr"/>
      <c r="F4743">
        <f>IMAGE("https://cf.shopee.tw/file/tw-11134207-7r98x-lm4fbz8yzwkbdc_tn")</f>
        <v/>
      </c>
    </row>
    <row r="4744">
      <c r="A4744" t="inlineStr">
        <is>
          <t>23381311738</t>
        </is>
      </c>
      <c r="B4744" t="inlineStr">
        <is>
          <t>隔日到貨🔥 iPhone 手機殼 15 14 pro 13 12 11 XS XR SE X 保護殼 軟殼 蘋果</t>
        </is>
      </c>
      <c r="C4744">
        <f>IMAGE("https://cf.shopee.tw/file/tw-11134207-7r991-lm1ccmlqnn2x06_tn")</f>
        <v/>
      </c>
      <c r="D4744" t="inlineStr">
        <is>
          <t>貼貼奶狗(無吊飾),12 pro Max</t>
        </is>
      </c>
      <c r="E4744" t="inlineStr"/>
      <c r="F4744">
        <f>IMAGE("https://cf.shopee.tw/file/tw-11134207-7r98x-lm4fbz8yzwkbdc_tn")</f>
        <v/>
      </c>
    </row>
    <row r="4745">
      <c r="A4745" t="inlineStr">
        <is>
          <t>23381311738</t>
        </is>
      </c>
      <c r="B4745" t="inlineStr">
        <is>
          <t>隔日到貨🔥 iPhone 手機殼 15 14 pro 13 12 11 XS XR SE X 保護殼 軟殼 蘋果</t>
        </is>
      </c>
      <c r="C4745">
        <f>IMAGE("https://cf.shopee.tw/file/tw-11134207-7r991-lm1ccmlqnn2x06_tn")</f>
        <v/>
      </c>
      <c r="D4745" t="inlineStr">
        <is>
          <t>貼貼奶狗(無吊飾),13</t>
        </is>
      </c>
      <c r="E4745" t="inlineStr"/>
      <c r="F4745">
        <f>IMAGE("https://cf.shopee.tw/file/tw-11134207-7r98x-lm4fbz8yzwkbdc_tn")</f>
        <v/>
      </c>
    </row>
    <row r="4746">
      <c r="A4746" t="inlineStr">
        <is>
          <t>23381311738</t>
        </is>
      </c>
      <c r="B4746" t="inlineStr">
        <is>
          <t>隔日到貨🔥 iPhone 手機殼 15 14 pro 13 12 11 XS XR SE X 保護殼 軟殼 蘋果</t>
        </is>
      </c>
      <c r="C4746">
        <f>IMAGE("https://cf.shopee.tw/file/tw-11134207-7r991-lm1ccmlqnn2x06_tn")</f>
        <v/>
      </c>
      <c r="D4746" t="inlineStr">
        <is>
          <t>貼貼奶狗(無吊飾),13 pro</t>
        </is>
      </c>
      <c r="E4746" t="inlineStr"/>
      <c r="F4746">
        <f>IMAGE("https://cf.shopee.tw/file/tw-11134207-7r98x-lm4fbz8yzwkbdc_tn")</f>
        <v/>
      </c>
    </row>
    <row r="4747">
      <c r="A4747" t="inlineStr">
        <is>
          <t>23381311738</t>
        </is>
      </c>
      <c r="B4747" t="inlineStr">
        <is>
          <t>隔日到貨🔥 iPhone 手機殼 15 14 pro 13 12 11 XS XR SE X 保護殼 軟殼 蘋果</t>
        </is>
      </c>
      <c r="C4747">
        <f>IMAGE("https://cf.shopee.tw/file/tw-11134207-7r991-lm1ccmlqnn2x06_tn")</f>
        <v/>
      </c>
      <c r="D4747" t="inlineStr">
        <is>
          <t>貼貼奶狗(無吊飾),15 Plus</t>
        </is>
      </c>
      <c r="E4747" t="inlineStr"/>
      <c r="F4747">
        <f>IMAGE("https://cf.shopee.tw/file/tw-11134207-7r98x-lm4fbz8yzwkbdc_tn")</f>
        <v/>
      </c>
    </row>
    <row r="4748">
      <c r="A4748" t="inlineStr">
        <is>
          <t>23381311738</t>
        </is>
      </c>
      <c r="B4748" t="inlineStr">
        <is>
          <t>隔日到貨🔥 iPhone 手機殼 15 14 pro 13 12 11 XS XR SE X 保護殼 軟殼 蘋果</t>
        </is>
      </c>
      <c r="C4748">
        <f>IMAGE("https://cf.shopee.tw/file/tw-11134207-7r991-lm1ccmlqnn2x06_tn")</f>
        <v/>
      </c>
      <c r="D4748" t="inlineStr">
        <is>
          <t>貼貼奶狗(無吊飾),11 pro</t>
        </is>
      </c>
      <c r="E4748" t="inlineStr">
        <is>
          <t>184609541262</t>
        </is>
      </c>
      <c r="F4748">
        <f>IMAGE("https://cf.shopee.tw/file/tw-11134207-7r98x-lm4fbz8yzwkbdc_tn")</f>
        <v/>
      </c>
    </row>
    <row r="4749">
      <c r="A4749" t="inlineStr">
        <is>
          <t>23381311738</t>
        </is>
      </c>
      <c r="B4749" t="inlineStr">
        <is>
          <t>隔日到貨🔥 iPhone 手機殼 15 14 pro 13 12 11 XS XR SE X 保護殼 軟殼 蘋果</t>
        </is>
      </c>
      <c r="C4749">
        <f>IMAGE("https://cf.shopee.tw/file/tw-11134207-7r991-lm1ccmlqnn2x06_tn")</f>
        <v/>
      </c>
      <c r="D4749" t="inlineStr">
        <is>
          <t>貼貼奶狗(無吊飾),13 pro Max</t>
        </is>
      </c>
      <c r="E4749" t="inlineStr">
        <is>
          <t>184609541273</t>
        </is>
      </c>
      <c r="F4749">
        <f>IMAGE("https://cf.shopee.tw/file/tw-11134207-7r98x-lm4fbz8yzwkbdc_tn")</f>
        <v/>
      </c>
    </row>
    <row r="4750">
      <c r="A4750" t="inlineStr">
        <is>
          <t>23381311738</t>
        </is>
      </c>
      <c r="B4750" t="inlineStr">
        <is>
          <t>隔日到貨🔥 iPhone 手機殼 15 14 pro 13 12 11 XS XR SE X 保護殼 軟殼 蘋果</t>
        </is>
      </c>
      <c r="C4750">
        <f>IMAGE("https://cf.shopee.tw/file/tw-11134207-7r991-lm1ccmlqnn2x06_tn")</f>
        <v/>
      </c>
      <c r="D4750" t="inlineStr">
        <is>
          <t>貼貼奶狗(無吊飾),14</t>
        </is>
      </c>
      <c r="E4750" t="inlineStr">
        <is>
          <t>184609541279</t>
        </is>
      </c>
      <c r="F4750">
        <f>IMAGE("https://cf.shopee.tw/file/tw-11134207-7r98x-lm4fbz8yzwkbdc_tn")</f>
        <v/>
      </c>
    </row>
    <row r="4751">
      <c r="A4751" t="inlineStr">
        <is>
          <t>23381311738</t>
        </is>
      </c>
      <c r="B4751" t="inlineStr">
        <is>
          <t>隔日到貨🔥 iPhone 手機殼 15 14 pro 13 12 11 XS XR SE X 保護殼 軟殼 蘋果</t>
        </is>
      </c>
      <c r="C4751">
        <f>IMAGE("https://cf.shopee.tw/file/tw-11134207-7r991-lm1ccmlqnn2x06_tn")</f>
        <v/>
      </c>
      <c r="D4751" t="inlineStr">
        <is>
          <t>貼貼奶狗(無吊飾),14 pro</t>
        </is>
      </c>
      <c r="E4751" t="inlineStr">
        <is>
          <t>184609541280</t>
        </is>
      </c>
      <c r="F4751">
        <f>IMAGE("https://cf.shopee.tw/file/tw-11134207-7r98x-lm4fbz8yzwkbdc_tn")</f>
        <v/>
      </c>
    </row>
    <row r="4752">
      <c r="A4752" t="inlineStr">
        <is>
          <t>23381311738</t>
        </is>
      </c>
      <c r="B4752" t="inlineStr">
        <is>
          <t>隔日到貨🔥 iPhone 手機殼 15 14 pro 13 12 11 XS XR SE X 保護殼 軟殼 蘋果</t>
        </is>
      </c>
      <c r="C4752">
        <f>IMAGE("https://cf.shopee.tw/file/tw-11134207-7r991-lm1ccmlqnn2x06_tn")</f>
        <v/>
      </c>
      <c r="D4752" t="inlineStr">
        <is>
          <t>貼貼奶狗(無吊飾),14 pro Max</t>
        </is>
      </c>
      <c r="E4752" t="inlineStr"/>
      <c r="F4752">
        <f>IMAGE("https://cf.shopee.tw/file/tw-11134207-7r98x-lm4fbz8yzwkbdc_tn")</f>
        <v/>
      </c>
    </row>
    <row r="4753">
      <c r="A4753" t="inlineStr">
        <is>
          <t>23381311738</t>
        </is>
      </c>
      <c r="B4753" t="inlineStr">
        <is>
          <t>隔日到貨🔥 iPhone 手機殼 15 14 pro 13 12 11 XS XR SE X 保護殼 軟殼 蘋果</t>
        </is>
      </c>
      <c r="C4753">
        <f>IMAGE("https://cf.shopee.tw/file/tw-11134207-7r991-lm1ccmlqnn2x06_tn")</f>
        <v/>
      </c>
      <c r="D4753" t="inlineStr">
        <is>
          <t>貼貼奶狗(無吊飾),14 Plus</t>
        </is>
      </c>
      <c r="E4753" t="inlineStr"/>
      <c r="F4753">
        <f>IMAGE("https://cf.shopee.tw/file/tw-11134207-7r98x-lm4fbz8yzwkbdc_tn")</f>
        <v/>
      </c>
    </row>
    <row r="4754">
      <c r="A4754" t="inlineStr">
        <is>
          <t>23381311738</t>
        </is>
      </c>
      <c r="B4754" t="inlineStr">
        <is>
          <t>隔日到貨🔥 iPhone 手機殼 15 14 pro 13 12 11 XS XR SE X 保護殼 軟殼 蘋果</t>
        </is>
      </c>
      <c r="C4754">
        <f>IMAGE("https://cf.shopee.tw/file/tw-11134207-7r991-lm1ccmlqnn2x06_tn")</f>
        <v/>
      </c>
      <c r="D4754" t="inlineStr">
        <is>
          <t>貼貼奶狗(無吊飾),15</t>
        </is>
      </c>
      <c r="E4754" t="inlineStr"/>
      <c r="F4754">
        <f>IMAGE("https://cf.shopee.tw/file/tw-11134207-7r98x-lm4fbz8yzwkbdc_tn")</f>
        <v/>
      </c>
    </row>
    <row r="4755">
      <c r="A4755" t="inlineStr">
        <is>
          <t>23381311738</t>
        </is>
      </c>
      <c r="B4755" t="inlineStr">
        <is>
          <t>隔日到貨🔥 iPhone 手機殼 15 14 pro 13 12 11 XS XR SE X 保護殼 軟殼 蘋果</t>
        </is>
      </c>
      <c r="C4755">
        <f>IMAGE("https://cf.shopee.tw/file/tw-11134207-7r991-lm1ccmlqnn2x06_tn")</f>
        <v/>
      </c>
      <c r="D4755" t="inlineStr">
        <is>
          <t>貼貼奶狗(無吊飾),15 pro</t>
        </is>
      </c>
      <c r="E4755" t="inlineStr"/>
      <c r="F4755">
        <f>IMAGE("https://cf.shopee.tw/file/tw-11134207-7r98x-lm4fbz8yzwkbdc_tn")</f>
        <v/>
      </c>
    </row>
    <row r="4756">
      <c r="A4756" t="inlineStr">
        <is>
          <t>23381311738</t>
        </is>
      </c>
      <c r="B4756" t="inlineStr">
        <is>
          <t>隔日到貨🔥 iPhone 手機殼 15 14 pro 13 12 11 XS XR SE X 保護殼 軟殼 蘋果</t>
        </is>
      </c>
      <c r="C4756">
        <f>IMAGE("https://cf.shopee.tw/file/tw-11134207-7r991-lm1ccmlqnn2x06_tn")</f>
        <v/>
      </c>
      <c r="D4756" t="inlineStr">
        <is>
          <t>貼貼奶狗(無吊飾),15 pro Max</t>
        </is>
      </c>
      <c r="E4756" t="inlineStr">
        <is>
          <t>184609541282</t>
        </is>
      </c>
      <c r="F4756">
        <f>IMAGE("https://cf.shopee.tw/file/tw-11134207-7r98x-lm4fbz8yzwkbdc_tn")</f>
        <v/>
      </c>
    </row>
    <row r="4757">
      <c r="A4757" t="inlineStr">
        <is>
          <t>16886299571</t>
        </is>
      </c>
      <c r="B4757" t="inlineStr">
        <is>
          <t>隔日到貨🔥 iPhone 手機殼 15 14 pro 13 12 11 XS XR SE X 保護殼 軟殼 蘋果</t>
        </is>
      </c>
      <c r="C4757">
        <f>IMAGE("https://cf.shopee.tw/file/54fb3978af38502bbade199f230fe3f7_tn")</f>
        <v/>
      </c>
      <c r="D4757" t="inlineStr">
        <is>
          <t>奶油笑臉,7 / 8 / SE2 / SE3</t>
        </is>
      </c>
      <c r="E4757" t="inlineStr"/>
      <c r="F4757">
        <f>IMAGE("https://cf.shopee.tw/file/6021eb91a426522793398367757e63ed_tn")</f>
        <v/>
      </c>
    </row>
    <row r="4758">
      <c r="A4758" t="inlineStr">
        <is>
          <t>16886299571</t>
        </is>
      </c>
      <c r="B4758" t="inlineStr">
        <is>
          <t>隔日到貨🔥 iPhone 手機殼 15 14 pro 13 12 11 XS XR SE X 保護殼 軟殼 蘋果</t>
        </is>
      </c>
      <c r="C4758">
        <f>IMAGE("https://cf.shopee.tw/file/54fb3978af38502bbade199f230fe3f7_tn")</f>
        <v/>
      </c>
      <c r="D4758" t="inlineStr">
        <is>
          <t>奶油笑臉,7plus /8plus</t>
        </is>
      </c>
      <c r="E4758" t="inlineStr"/>
      <c r="F4758">
        <f>IMAGE("https://cf.shopee.tw/file/6021eb91a426522793398367757e63ed_tn")</f>
        <v/>
      </c>
    </row>
    <row r="4759">
      <c r="A4759" t="inlineStr">
        <is>
          <t>16886299571</t>
        </is>
      </c>
      <c r="B4759" t="inlineStr">
        <is>
          <t>隔日到貨🔥 iPhone 手機殼 15 14 pro 13 12 11 XS XR SE X 保護殼 軟殼 蘋果</t>
        </is>
      </c>
      <c r="C4759">
        <f>IMAGE("https://cf.shopee.tw/file/54fb3978af38502bbade199f230fe3f7_tn")</f>
        <v/>
      </c>
      <c r="D4759" t="inlineStr">
        <is>
          <t>奶油笑臉,X / XS</t>
        </is>
      </c>
      <c r="E4759" t="inlineStr"/>
      <c r="F4759">
        <f>IMAGE("https://cf.shopee.tw/file/6021eb91a426522793398367757e63ed_tn")</f>
        <v/>
      </c>
    </row>
    <row r="4760">
      <c r="A4760" t="inlineStr">
        <is>
          <t>16886299571</t>
        </is>
      </c>
      <c r="B4760" t="inlineStr">
        <is>
          <t>隔日到貨🔥 iPhone 手機殼 15 14 pro 13 12 11 XS XR SE X 保護殼 軟殼 蘋果</t>
        </is>
      </c>
      <c r="C4760">
        <f>IMAGE("https://cf.shopee.tw/file/54fb3978af38502bbade199f230fe3f7_tn")</f>
        <v/>
      </c>
      <c r="D4760" t="inlineStr">
        <is>
          <t>奶油笑臉,XR</t>
        </is>
      </c>
      <c r="E4760" t="inlineStr"/>
      <c r="F4760">
        <f>IMAGE("https://cf.shopee.tw/file/6021eb91a426522793398367757e63ed_tn")</f>
        <v/>
      </c>
    </row>
    <row r="4761">
      <c r="A4761" t="inlineStr">
        <is>
          <t>16886299571</t>
        </is>
      </c>
      <c r="B4761" t="inlineStr">
        <is>
          <t>隔日到貨🔥 iPhone 手機殼 15 14 pro 13 12 11 XS XR SE X 保護殼 軟殼 蘋果</t>
        </is>
      </c>
      <c r="C4761">
        <f>IMAGE("https://cf.shopee.tw/file/54fb3978af38502bbade199f230fe3f7_tn")</f>
        <v/>
      </c>
      <c r="D4761" t="inlineStr">
        <is>
          <t>奶油笑臉,XS Max</t>
        </is>
      </c>
      <c r="E4761" t="inlineStr"/>
      <c r="F4761">
        <f>IMAGE("https://cf.shopee.tw/file/6021eb91a426522793398367757e63ed_tn")</f>
        <v/>
      </c>
    </row>
    <row r="4762">
      <c r="A4762" t="inlineStr">
        <is>
          <t>16886299571</t>
        </is>
      </c>
      <c r="B4762" t="inlineStr">
        <is>
          <t>隔日到貨🔥 iPhone 手機殼 15 14 pro 13 12 11 XS XR SE X 保護殼 軟殼 蘋果</t>
        </is>
      </c>
      <c r="C4762">
        <f>IMAGE("https://cf.shopee.tw/file/54fb3978af38502bbade199f230fe3f7_tn")</f>
        <v/>
      </c>
      <c r="D4762" t="inlineStr">
        <is>
          <t>奶油笑臉,11</t>
        </is>
      </c>
      <c r="E4762" t="inlineStr">
        <is>
          <t>117493178253</t>
        </is>
      </c>
      <c r="F4762">
        <f>IMAGE("https://cf.shopee.tw/file/6021eb91a426522793398367757e63ed_tn")</f>
        <v/>
      </c>
    </row>
    <row r="4763">
      <c r="A4763" t="inlineStr">
        <is>
          <t>16886299571</t>
        </is>
      </c>
      <c r="B4763" t="inlineStr">
        <is>
          <t>隔日到貨🔥 iPhone 手機殼 15 14 pro 13 12 11 XS XR SE X 保護殼 軟殼 蘋果</t>
        </is>
      </c>
      <c r="C4763">
        <f>IMAGE("https://cf.shopee.tw/file/54fb3978af38502bbade199f230fe3f7_tn")</f>
        <v/>
      </c>
      <c r="D4763" t="inlineStr">
        <is>
          <t>奶油笑臉,12 / 12 pro</t>
        </is>
      </c>
      <c r="E4763" t="inlineStr">
        <is>
          <t>117493178247</t>
        </is>
      </c>
      <c r="F4763">
        <f>IMAGE("https://cf.shopee.tw/file/6021eb91a426522793398367757e63ed_tn")</f>
        <v/>
      </c>
    </row>
    <row r="4764">
      <c r="A4764" t="inlineStr">
        <is>
          <t>16886299571</t>
        </is>
      </c>
      <c r="B4764" t="inlineStr">
        <is>
          <t>隔日到貨🔥 iPhone 手機殼 15 14 pro 13 12 11 XS XR SE X 保護殼 軟殼 蘋果</t>
        </is>
      </c>
      <c r="C4764">
        <f>IMAGE("https://cf.shopee.tw/file/54fb3978af38502bbade199f230fe3f7_tn")</f>
        <v/>
      </c>
      <c r="D4764" t="inlineStr">
        <is>
          <t>奶油笑臉,12 pro Max</t>
        </is>
      </c>
      <c r="E4764" t="inlineStr"/>
      <c r="F4764">
        <f>IMAGE("https://cf.shopee.tw/file/6021eb91a426522793398367757e63ed_tn")</f>
        <v/>
      </c>
    </row>
    <row r="4765">
      <c r="A4765" t="inlineStr">
        <is>
          <t>16886299571</t>
        </is>
      </c>
      <c r="B4765" t="inlineStr">
        <is>
          <t>隔日到貨🔥 iPhone 手機殼 15 14 pro 13 12 11 XS XR SE X 保護殼 軟殼 蘋果</t>
        </is>
      </c>
      <c r="C4765">
        <f>IMAGE("https://cf.shopee.tw/file/54fb3978af38502bbade199f230fe3f7_tn")</f>
        <v/>
      </c>
      <c r="D4765" t="inlineStr">
        <is>
          <t>奶油笑臉,13</t>
        </is>
      </c>
      <c r="E4765" t="inlineStr"/>
      <c r="F4765">
        <f>IMAGE("https://cf.shopee.tw/file/6021eb91a426522793398367757e63ed_tn")</f>
        <v/>
      </c>
    </row>
    <row r="4766">
      <c r="A4766" t="inlineStr">
        <is>
          <t>16886299571</t>
        </is>
      </c>
      <c r="B4766" t="inlineStr">
        <is>
          <t>隔日到貨🔥 iPhone 手機殼 15 14 pro 13 12 11 XS XR SE X 保護殼 軟殼 蘋果</t>
        </is>
      </c>
      <c r="C4766">
        <f>IMAGE("https://cf.shopee.tw/file/54fb3978af38502bbade199f230fe3f7_tn")</f>
        <v/>
      </c>
      <c r="D4766" t="inlineStr">
        <is>
          <t>奶油笑臉,13 pro</t>
        </is>
      </c>
      <c r="E4766" t="inlineStr"/>
      <c r="F4766">
        <f>IMAGE("https://cf.shopee.tw/file/6021eb91a426522793398367757e63ed_tn")</f>
        <v/>
      </c>
    </row>
    <row r="4767">
      <c r="A4767" t="inlineStr">
        <is>
          <t>16886299571</t>
        </is>
      </c>
      <c r="B4767" t="inlineStr">
        <is>
          <t>隔日到貨🔥 iPhone 手機殼 15 14 pro 13 12 11 XS XR SE X 保護殼 軟殼 蘋果</t>
        </is>
      </c>
      <c r="C4767">
        <f>IMAGE("https://cf.shopee.tw/file/54fb3978af38502bbade199f230fe3f7_tn")</f>
        <v/>
      </c>
      <c r="D4767" t="inlineStr">
        <is>
          <t>奶油笑臉,13 pro Max</t>
        </is>
      </c>
      <c r="E4767" t="inlineStr"/>
      <c r="F4767">
        <f>IMAGE("https://cf.shopee.tw/file/6021eb91a426522793398367757e63ed_tn")</f>
        <v/>
      </c>
    </row>
    <row r="4768">
      <c r="A4768" t="inlineStr">
        <is>
          <t>16886299571</t>
        </is>
      </c>
      <c r="B4768" t="inlineStr">
        <is>
          <t>隔日到貨🔥 iPhone 手機殼 15 14 pro 13 12 11 XS XR SE X 保護殼 軟殼 蘋果</t>
        </is>
      </c>
      <c r="C4768">
        <f>IMAGE("https://cf.shopee.tw/file/54fb3978af38502bbade199f230fe3f7_tn")</f>
        <v/>
      </c>
      <c r="D4768" t="inlineStr">
        <is>
          <t>奶油笑臉,13 mini</t>
        </is>
      </c>
      <c r="E4768" t="inlineStr"/>
      <c r="F4768">
        <f>IMAGE("https://cf.shopee.tw/file/6021eb91a426522793398367757e63ed_tn")</f>
        <v/>
      </c>
    </row>
    <row r="4769">
      <c r="A4769" t="inlineStr">
        <is>
          <t>16886299571</t>
        </is>
      </c>
      <c r="B4769" t="inlineStr">
        <is>
          <t>隔日到貨🔥 iPhone 手機殼 15 14 pro 13 12 11 XS XR SE X 保護殼 軟殼 蘋果</t>
        </is>
      </c>
      <c r="C4769">
        <f>IMAGE("https://cf.shopee.tw/file/54fb3978af38502bbade199f230fe3f7_tn")</f>
        <v/>
      </c>
      <c r="D4769" t="inlineStr">
        <is>
          <t>奶油笑臉,14</t>
        </is>
      </c>
      <c r="E4769" t="inlineStr">
        <is>
          <t>117493178250</t>
        </is>
      </c>
      <c r="F4769">
        <f>IMAGE("https://cf.shopee.tw/file/6021eb91a426522793398367757e63ed_tn")</f>
        <v/>
      </c>
    </row>
    <row r="4770">
      <c r="A4770" t="inlineStr">
        <is>
          <t>16886299571</t>
        </is>
      </c>
      <c r="B4770" t="inlineStr">
        <is>
          <t>隔日到貨🔥 iPhone 手機殼 15 14 pro 13 12 11 XS XR SE X 保護殼 軟殼 蘋果</t>
        </is>
      </c>
      <c r="C4770">
        <f>IMAGE("https://cf.shopee.tw/file/54fb3978af38502bbade199f230fe3f7_tn")</f>
        <v/>
      </c>
      <c r="D4770" t="inlineStr">
        <is>
          <t>奶油笑臉,14 Plus</t>
        </is>
      </c>
      <c r="E4770" t="inlineStr"/>
      <c r="F4770">
        <f>IMAGE("https://cf.shopee.tw/file/6021eb91a426522793398367757e63ed_tn")</f>
        <v/>
      </c>
    </row>
    <row r="4771">
      <c r="A4771" t="inlineStr">
        <is>
          <t>16886299571</t>
        </is>
      </c>
      <c r="B4771" t="inlineStr">
        <is>
          <t>隔日到貨🔥 iPhone 手機殼 15 14 pro 13 12 11 XS XR SE X 保護殼 軟殼 蘋果</t>
        </is>
      </c>
      <c r="C4771">
        <f>IMAGE("https://cf.shopee.tw/file/54fb3978af38502bbade199f230fe3f7_tn")</f>
        <v/>
      </c>
      <c r="D4771" t="inlineStr">
        <is>
          <t>奶油笑臉,14 pro</t>
        </is>
      </c>
      <c r="E4771" t="inlineStr"/>
      <c r="F4771">
        <f>IMAGE("https://cf.shopee.tw/file/6021eb91a426522793398367757e63ed_tn")</f>
        <v/>
      </c>
    </row>
    <row r="4772">
      <c r="A4772" t="inlineStr">
        <is>
          <t>16886299571</t>
        </is>
      </c>
      <c r="B4772" t="inlineStr">
        <is>
          <t>隔日到貨🔥 iPhone 手機殼 15 14 pro 13 12 11 XS XR SE X 保護殼 軟殼 蘋果</t>
        </is>
      </c>
      <c r="C4772">
        <f>IMAGE("https://cf.shopee.tw/file/54fb3978af38502bbade199f230fe3f7_tn")</f>
        <v/>
      </c>
      <c r="D4772" t="inlineStr">
        <is>
          <t>奶油笑臉,14 pro Max</t>
        </is>
      </c>
      <c r="E4772" t="inlineStr"/>
      <c r="F4772">
        <f>IMAGE("https://cf.shopee.tw/file/6021eb91a426522793398367757e63ed_tn")</f>
        <v/>
      </c>
    </row>
    <row r="4773">
      <c r="A4773" t="inlineStr">
        <is>
          <t>16886299571</t>
        </is>
      </c>
      <c r="B4773" t="inlineStr">
        <is>
          <t>隔日到貨🔥 iPhone 手機殼 15 14 pro 13 12 11 XS XR SE X 保護殼 軟殼 蘋果</t>
        </is>
      </c>
      <c r="C4773">
        <f>IMAGE("https://cf.shopee.tw/file/54fb3978af38502bbade199f230fe3f7_tn")</f>
        <v/>
      </c>
      <c r="D4773" t="inlineStr">
        <is>
          <t>奶油笑臉,15</t>
        </is>
      </c>
      <c r="E4773" t="inlineStr"/>
      <c r="F4773">
        <f>IMAGE("https://cf.shopee.tw/file/6021eb91a426522793398367757e63ed_tn")</f>
        <v/>
      </c>
    </row>
    <row r="4774">
      <c r="A4774" t="inlineStr">
        <is>
          <t>16886299571</t>
        </is>
      </c>
      <c r="B4774" t="inlineStr">
        <is>
          <t>隔日到貨🔥 iPhone 手機殼 15 14 pro 13 12 11 XS XR SE X 保護殼 軟殼 蘋果</t>
        </is>
      </c>
      <c r="C4774">
        <f>IMAGE("https://cf.shopee.tw/file/54fb3978af38502bbade199f230fe3f7_tn")</f>
        <v/>
      </c>
      <c r="D4774" t="inlineStr">
        <is>
          <t>奶油笑臉,15 Plus</t>
        </is>
      </c>
      <c r="E4774" t="inlineStr">
        <is>
          <t>225676930508</t>
        </is>
      </c>
      <c r="F4774">
        <f>IMAGE("https://cf.shopee.tw/file/6021eb91a426522793398367757e63ed_tn")</f>
        <v/>
      </c>
    </row>
    <row r="4775">
      <c r="A4775" t="inlineStr">
        <is>
          <t>16886299571</t>
        </is>
      </c>
      <c r="B4775" t="inlineStr">
        <is>
          <t>隔日到貨🔥 iPhone 手機殼 15 14 pro 13 12 11 XS XR SE X 保護殼 軟殼 蘋果</t>
        </is>
      </c>
      <c r="C4775">
        <f>IMAGE("https://cf.shopee.tw/file/54fb3978af38502bbade199f230fe3f7_tn")</f>
        <v/>
      </c>
      <c r="D4775" t="inlineStr">
        <is>
          <t>奶油笑臉,15 pro</t>
        </is>
      </c>
      <c r="E4775" t="inlineStr">
        <is>
          <t>225676930507</t>
        </is>
      </c>
      <c r="F4775">
        <f>IMAGE("https://cf.shopee.tw/file/6021eb91a426522793398367757e63ed_tn")</f>
        <v/>
      </c>
    </row>
    <row r="4776">
      <c r="A4776" t="inlineStr">
        <is>
          <t>16886299571</t>
        </is>
      </c>
      <c r="B4776" t="inlineStr">
        <is>
          <t>隔日到貨🔥 iPhone 手機殼 15 14 pro 13 12 11 XS XR SE X 保護殼 軟殼 蘋果</t>
        </is>
      </c>
      <c r="C4776">
        <f>IMAGE("https://cf.shopee.tw/file/54fb3978af38502bbade199f230fe3f7_tn")</f>
        <v/>
      </c>
      <c r="D4776" t="inlineStr">
        <is>
          <t>奶油笑臉,15 pro Max</t>
        </is>
      </c>
      <c r="E4776" t="inlineStr"/>
      <c r="F4776">
        <f>IMAGE("https://cf.shopee.tw/file/6021eb91a426522793398367757e63ed_tn")</f>
        <v/>
      </c>
    </row>
    <row r="4777">
      <c r="A4777" t="inlineStr">
        <is>
          <t>6784236069</t>
        </is>
      </c>
      <c r="B4777" t="inlineStr">
        <is>
          <t>隔日到貨🔥 iPhone手機殼 14 13 12 11 XS XR SE3 X 8plus 保護殼 軟殼 蘋果</t>
        </is>
      </c>
      <c r="C4777">
        <f>IMAGE("https://cf.shopee.tw/file/7dcbce84ccf3950a46260af42eec3aab_tn")</f>
        <v/>
      </c>
      <c r="D4777" t="inlineStr">
        <is>
          <t>淺色小花,7 / 8 / SE2 / SE3</t>
        </is>
      </c>
      <c r="E4777" t="inlineStr"/>
      <c r="F4777">
        <f>IMAGE("https://cf.shopee.tw/file/2de478568a33ffd64ebb8a4d33f8c4f1_tn")</f>
        <v/>
      </c>
    </row>
    <row r="4778">
      <c r="A4778" t="inlineStr">
        <is>
          <t>6784236069</t>
        </is>
      </c>
      <c r="B4778" t="inlineStr">
        <is>
          <t>隔日到貨🔥 iPhone手機殼 14 13 12 11 XS XR SE3 X 8plus 保護殼 軟殼 蘋果</t>
        </is>
      </c>
      <c r="C4778">
        <f>IMAGE("https://cf.shopee.tw/file/7dcbce84ccf3950a46260af42eec3aab_tn")</f>
        <v/>
      </c>
      <c r="D4778" t="inlineStr">
        <is>
          <t>淺色小花,XR</t>
        </is>
      </c>
      <c r="E4778" t="inlineStr"/>
      <c r="F4778">
        <f>IMAGE("https://cf.shopee.tw/file/2de478568a33ffd64ebb8a4d33f8c4f1_tn")</f>
        <v/>
      </c>
    </row>
    <row r="4779">
      <c r="A4779" t="inlineStr">
        <is>
          <t>6784236069</t>
        </is>
      </c>
      <c r="B4779" t="inlineStr">
        <is>
          <t>隔日到貨🔥 iPhone手機殼 14 13 12 11 XS XR SE3 X 8plus 保護殼 軟殼 蘋果</t>
        </is>
      </c>
      <c r="C4779">
        <f>IMAGE("https://cf.shopee.tw/file/7dcbce84ccf3950a46260af42eec3aab_tn")</f>
        <v/>
      </c>
      <c r="D4779" t="inlineStr">
        <is>
          <t>淺色小花,XS Max</t>
        </is>
      </c>
      <c r="E4779" t="inlineStr"/>
      <c r="F4779">
        <f>IMAGE("https://cf.shopee.tw/file/2de478568a33ffd64ebb8a4d33f8c4f1_tn")</f>
        <v/>
      </c>
    </row>
    <row r="4780">
      <c r="A4780" t="inlineStr">
        <is>
          <t>6784236069</t>
        </is>
      </c>
      <c r="B4780" t="inlineStr">
        <is>
          <t>隔日到貨🔥 iPhone手機殼 14 13 12 11 XS XR SE3 X 8plus 保護殼 軟殼 蘋果</t>
        </is>
      </c>
      <c r="C4780">
        <f>IMAGE("https://cf.shopee.tw/file/7dcbce84ccf3950a46260af42eec3aab_tn")</f>
        <v/>
      </c>
      <c r="D4780" t="inlineStr">
        <is>
          <t>淺色小花,11</t>
        </is>
      </c>
      <c r="E4780" t="inlineStr"/>
      <c r="F4780">
        <f>IMAGE("https://cf.shopee.tw/file/2de478568a33ffd64ebb8a4d33f8c4f1_tn")</f>
        <v/>
      </c>
    </row>
    <row r="4781">
      <c r="A4781" t="inlineStr">
        <is>
          <t>6784236069</t>
        </is>
      </c>
      <c r="B4781" t="inlineStr">
        <is>
          <t>隔日到貨🔥 iPhone手機殼 14 13 12 11 XS XR SE3 X 8plus 保護殼 軟殼 蘋果</t>
        </is>
      </c>
      <c r="C4781">
        <f>IMAGE("https://cf.shopee.tw/file/7dcbce84ccf3950a46260af42eec3aab_tn")</f>
        <v/>
      </c>
      <c r="D4781" t="inlineStr">
        <is>
          <t>淺色小花,12</t>
        </is>
      </c>
      <c r="E4781" t="inlineStr"/>
      <c r="F4781">
        <f>IMAGE("https://cf.shopee.tw/file/2de478568a33ffd64ebb8a4d33f8c4f1_tn")</f>
        <v/>
      </c>
    </row>
    <row r="4782">
      <c r="A4782" t="inlineStr">
        <is>
          <t>6784236069</t>
        </is>
      </c>
      <c r="B4782" t="inlineStr">
        <is>
          <t>隔日到貨🔥 iPhone手機殼 14 13 12 11 XS XR SE3 X 8plus 保護殼 軟殼 蘋果</t>
        </is>
      </c>
      <c r="C4782">
        <f>IMAGE("https://cf.shopee.tw/file/7dcbce84ccf3950a46260af42eec3aab_tn")</f>
        <v/>
      </c>
      <c r="D4782" t="inlineStr">
        <is>
          <t>淺色小花,12 pro</t>
        </is>
      </c>
      <c r="E4782" t="inlineStr"/>
      <c r="F4782">
        <f>IMAGE("https://cf.shopee.tw/file/2de478568a33ffd64ebb8a4d33f8c4f1_tn")</f>
        <v/>
      </c>
    </row>
    <row r="4783">
      <c r="A4783" t="inlineStr">
        <is>
          <t>6784236069</t>
        </is>
      </c>
      <c r="B4783" t="inlineStr">
        <is>
          <t>隔日到貨🔥 iPhone手機殼 14 13 12 11 XS XR SE3 X 8plus 保護殼 軟殼 蘋果</t>
        </is>
      </c>
      <c r="C4783">
        <f>IMAGE("https://cf.shopee.tw/file/7dcbce84ccf3950a46260af42eec3aab_tn")</f>
        <v/>
      </c>
      <c r="D4783" t="inlineStr">
        <is>
          <t>淺色小花,12 mini</t>
        </is>
      </c>
      <c r="E4783" t="inlineStr"/>
      <c r="F4783">
        <f>IMAGE("https://cf.shopee.tw/file/2de478568a33ffd64ebb8a4d33f8c4f1_tn")</f>
        <v/>
      </c>
    </row>
    <row r="4784">
      <c r="A4784" t="inlineStr">
        <is>
          <t>6784236069</t>
        </is>
      </c>
      <c r="B4784" t="inlineStr">
        <is>
          <t>隔日到貨🔥 iPhone手機殼 14 13 12 11 XS XR SE3 X 8plus 保護殼 軟殼 蘋果</t>
        </is>
      </c>
      <c r="C4784">
        <f>IMAGE("https://cf.shopee.tw/file/7dcbce84ccf3950a46260af42eec3aab_tn")</f>
        <v/>
      </c>
      <c r="D4784" t="inlineStr">
        <is>
          <t>淺色小花,13</t>
        </is>
      </c>
      <c r="E4784" t="inlineStr"/>
      <c r="F4784">
        <f>IMAGE("https://cf.shopee.tw/file/2de478568a33ffd64ebb8a4d33f8c4f1_tn")</f>
        <v/>
      </c>
    </row>
    <row r="4785">
      <c r="A4785" t="inlineStr">
        <is>
          <t>6784236069</t>
        </is>
      </c>
      <c r="B4785" t="inlineStr">
        <is>
          <t>隔日到貨🔥 iPhone手機殼 14 13 12 11 XS XR SE3 X 8plus 保護殼 軟殼 蘋果</t>
        </is>
      </c>
      <c r="C4785">
        <f>IMAGE("https://cf.shopee.tw/file/7dcbce84ccf3950a46260af42eec3aab_tn")</f>
        <v/>
      </c>
      <c r="D4785" t="inlineStr">
        <is>
          <t>淺色小花,13 pro</t>
        </is>
      </c>
      <c r="E4785" t="inlineStr"/>
      <c r="F4785">
        <f>IMAGE("https://cf.shopee.tw/file/2de478568a33ffd64ebb8a4d33f8c4f1_tn")</f>
        <v/>
      </c>
    </row>
    <row r="4786">
      <c r="A4786" t="inlineStr">
        <is>
          <t>6784236069</t>
        </is>
      </c>
      <c r="B4786" t="inlineStr">
        <is>
          <t>隔日到貨🔥 iPhone手機殼 14 13 12 11 XS XR SE3 X 8plus 保護殼 軟殼 蘋果</t>
        </is>
      </c>
      <c r="C4786">
        <f>IMAGE("https://cf.shopee.tw/file/7dcbce84ccf3950a46260af42eec3aab_tn")</f>
        <v/>
      </c>
      <c r="D4786" t="inlineStr">
        <is>
          <t>淺色小花,14 pro</t>
        </is>
      </c>
      <c r="E4786" t="inlineStr"/>
      <c r="F4786">
        <f>IMAGE("https://cf.shopee.tw/file/2de478568a33ffd64ebb8a4d33f8c4f1_tn")</f>
        <v/>
      </c>
    </row>
    <row r="4787">
      <c r="A4787" t="inlineStr">
        <is>
          <t>6784236069</t>
        </is>
      </c>
      <c r="B4787" t="inlineStr">
        <is>
          <t>隔日到貨🔥 iPhone手機殼 14 13 12 11 XS XR SE3 X 8plus 保護殼 軟殼 蘋果</t>
        </is>
      </c>
      <c r="C4787">
        <f>IMAGE("https://cf.shopee.tw/file/7dcbce84ccf3950a46260af42eec3aab_tn")</f>
        <v/>
      </c>
      <c r="D4787" t="inlineStr">
        <is>
          <t>淺色小花,7Plus / 8Plus</t>
        </is>
      </c>
      <c r="E4787" t="inlineStr"/>
      <c r="F4787">
        <f>IMAGE("https://cf.shopee.tw/file/2de478568a33ffd64ebb8a4d33f8c4f1_tn")</f>
        <v/>
      </c>
    </row>
    <row r="4788">
      <c r="A4788" t="inlineStr">
        <is>
          <t>6784236069</t>
        </is>
      </c>
      <c r="B4788" t="inlineStr">
        <is>
          <t>隔日到貨🔥 iPhone手機殼 14 13 12 11 XS XR SE3 X 8plus 保護殼 軟殼 蘋果</t>
        </is>
      </c>
      <c r="C4788">
        <f>IMAGE("https://cf.shopee.tw/file/7dcbce84ccf3950a46260af42eec3aab_tn")</f>
        <v/>
      </c>
      <c r="D4788" t="inlineStr">
        <is>
          <t>淺色小花,X / XS</t>
        </is>
      </c>
      <c r="E4788" t="inlineStr">
        <is>
          <t>34567800517</t>
        </is>
      </c>
      <c r="F4788">
        <f>IMAGE("https://cf.shopee.tw/file/2de478568a33ffd64ebb8a4d33f8c4f1_tn")</f>
        <v/>
      </c>
    </row>
    <row r="4789">
      <c r="A4789" t="inlineStr">
        <is>
          <t>6784236069</t>
        </is>
      </c>
      <c r="B4789" t="inlineStr">
        <is>
          <t>隔日到貨🔥 iPhone手機殼 14 13 12 11 XS XR SE3 X 8plus 保護殼 軟殼 蘋果</t>
        </is>
      </c>
      <c r="C4789">
        <f>IMAGE("https://cf.shopee.tw/file/7dcbce84ccf3950a46260af42eec3aab_tn")</f>
        <v/>
      </c>
      <c r="D4789" t="inlineStr">
        <is>
          <t>淺色小花,12 pro Max</t>
        </is>
      </c>
      <c r="E4789" t="inlineStr"/>
      <c r="F4789">
        <f>IMAGE("https://cf.shopee.tw/file/2de478568a33ffd64ebb8a4d33f8c4f1_tn")</f>
        <v/>
      </c>
    </row>
    <row r="4790">
      <c r="A4790" t="inlineStr">
        <is>
          <t>6784236069</t>
        </is>
      </c>
      <c r="B4790" t="inlineStr">
        <is>
          <t>隔日到貨🔥 iPhone手機殼 14 13 12 11 XS XR SE3 X 8plus 保護殼 軟殼 蘋果</t>
        </is>
      </c>
      <c r="C4790">
        <f>IMAGE("https://cf.shopee.tw/file/7dcbce84ccf3950a46260af42eec3aab_tn")</f>
        <v/>
      </c>
      <c r="D4790" t="inlineStr">
        <is>
          <t>淺色小花,13 pro Max</t>
        </is>
      </c>
      <c r="E4790" t="inlineStr"/>
      <c r="F4790">
        <f>IMAGE("https://cf.shopee.tw/file/2de478568a33ffd64ebb8a4d33f8c4f1_tn")</f>
        <v/>
      </c>
    </row>
    <row r="4791">
      <c r="A4791" t="inlineStr">
        <is>
          <t>6784236069</t>
        </is>
      </c>
      <c r="B4791" t="inlineStr">
        <is>
          <t>隔日到貨🔥 iPhone手機殼 14 13 12 11 XS XR SE3 X 8plus 保護殼 軟殼 蘋果</t>
        </is>
      </c>
      <c r="C4791">
        <f>IMAGE("https://cf.shopee.tw/file/7dcbce84ccf3950a46260af42eec3aab_tn")</f>
        <v/>
      </c>
      <c r="D4791" t="inlineStr">
        <is>
          <t>淺色小花,14</t>
        </is>
      </c>
      <c r="E4791" t="inlineStr">
        <is>
          <t>192364797607</t>
        </is>
      </c>
      <c r="F4791">
        <f>IMAGE("https://cf.shopee.tw/file/2de478568a33ffd64ebb8a4d33f8c4f1_tn")</f>
        <v/>
      </c>
    </row>
    <row r="4792">
      <c r="A4792" t="inlineStr">
        <is>
          <t>6784236069</t>
        </is>
      </c>
      <c r="B4792" t="inlineStr">
        <is>
          <t>隔日到貨🔥 iPhone手機殼 14 13 12 11 XS XR SE3 X 8plus 保護殼 軟殼 蘋果</t>
        </is>
      </c>
      <c r="C4792">
        <f>IMAGE("https://cf.shopee.tw/file/7dcbce84ccf3950a46260af42eec3aab_tn")</f>
        <v/>
      </c>
      <c r="D4792" t="inlineStr">
        <is>
          <t>淺色小花,14 Plus</t>
        </is>
      </c>
      <c r="E4792" t="inlineStr">
        <is>
          <t>192364797608</t>
        </is>
      </c>
      <c r="F4792">
        <f>IMAGE("https://cf.shopee.tw/file/2de478568a33ffd64ebb8a4d33f8c4f1_tn")</f>
        <v/>
      </c>
    </row>
    <row r="4793">
      <c r="A4793" t="inlineStr">
        <is>
          <t>6784236069</t>
        </is>
      </c>
      <c r="B4793" t="inlineStr">
        <is>
          <t>隔日到貨🔥 iPhone手機殼 14 13 12 11 XS XR SE3 X 8plus 保護殼 軟殼 蘋果</t>
        </is>
      </c>
      <c r="C4793">
        <f>IMAGE("https://cf.shopee.tw/file/7dcbce84ccf3950a46260af42eec3aab_tn")</f>
        <v/>
      </c>
      <c r="D4793" t="inlineStr">
        <is>
          <t>淺色小花,14 pro Max</t>
        </is>
      </c>
      <c r="E4793" t="inlineStr">
        <is>
          <t>192364797606</t>
        </is>
      </c>
      <c r="F4793">
        <f>IMAGE("https://cf.shopee.tw/file/2de478568a33ffd64ebb8a4d33f8c4f1_tn")</f>
        <v/>
      </c>
    </row>
    <row r="4794">
      <c r="A4794" t="inlineStr">
        <is>
          <t>8235640414</t>
        </is>
      </c>
      <c r="B4794" t="inlineStr">
        <is>
          <t>隔日到貨🔥 iPhone手機殼 14 pro 13 12 11 XS XR SE3 X 8 7 保護殼 軟殼 蘋果</t>
        </is>
      </c>
      <c r="C4794">
        <f>IMAGE("https://cf.shopee.tw/file/6f59fc5de8250a21ee612299e1279efe_tn")</f>
        <v/>
      </c>
      <c r="D4794" t="inlineStr">
        <is>
          <t>太空人,XR</t>
        </is>
      </c>
      <c r="E4794" t="inlineStr"/>
      <c r="F4794">
        <f>IMAGE("https://cf.shopee.tw/file/6f59fc5de8250a21ee612299e1279efe_tn")</f>
        <v/>
      </c>
    </row>
    <row r="4795">
      <c r="A4795" t="inlineStr">
        <is>
          <t>8235640414</t>
        </is>
      </c>
      <c r="B4795" t="inlineStr">
        <is>
          <t>隔日到貨🔥 iPhone手機殼 14 pro 13 12 11 XS XR SE3 X 8 7 保護殼 軟殼 蘋果</t>
        </is>
      </c>
      <c r="C4795">
        <f>IMAGE("https://cf.shopee.tw/file/6f59fc5de8250a21ee612299e1279efe_tn")</f>
        <v/>
      </c>
      <c r="D4795" t="inlineStr">
        <is>
          <t>太空人,XS Max</t>
        </is>
      </c>
      <c r="E4795" t="inlineStr"/>
      <c r="F4795">
        <f>IMAGE("https://cf.shopee.tw/file/6f59fc5de8250a21ee612299e1279efe_tn")</f>
        <v/>
      </c>
    </row>
    <row r="4796">
      <c r="A4796" t="inlineStr">
        <is>
          <t>8235640414</t>
        </is>
      </c>
      <c r="B4796" t="inlineStr">
        <is>
          <t>隔日到貨🔥 iPhone手機殼 14 pro 13 12 11 XS XR SE3 X 8 7 保護殼 軟殼 蘋果</t>
        </is>
      </c>
      <c r="C4796">
        <f>IMAGE("https://cf.shopee.tw/file/6f59fc5de8250a21ee612299e1279efe_tn")</f>
        <v/>
      </c>
      <c r="D4796" t="inlineStr">
        <is>
          <t>太空人,11</t>
        </is>
      </c>
      <c r="E4796" t="inlineStr"/>
      <c r="F4796">
        <f>IMAGE("https://cf.shopee.tw/file/6f59fc5de8250a21ee612299e1279efe_tn")</f>
        <v/>
      </c>
    </row>
    <row r="4797">
      <c r="A4797" t="inlineStr">
        <is>
          <t>8235640414</t>
        </is>
      </c>
      <c r="B4797" t="inlineStr">
        <is>
          <t>隔日到貨🔥 iPhone手機殼 14 pro 13 12 11 XS XR SE3 X 8 7 保護殼 軟殼 蘋果</t>
        </is>
      </c>
      <c r="C4797">
        <f>IMAGE("https://cf.shopee.tw/file/6f59fc5de8250a21ee612299e1279efe_tn")</f>
        <v/>
      </c>
      <c r="D4797" t="inlineStr">
        <is>
          <t>太空人,11 pro</t>
        </is>
      </c>
      <c r="E4797" t="inlineStr"/>
      <c r="F4797">
        <f>IMAGE("https://cf.shopee.tw/file/6f59fc5de8250a21ee612299e1279efe_tn")</f>
        <v/>
      </c>
    </row>
    <row r="4798">
      <c r="A4798" t="inlineStr">
        <is>
          <t>8235640414</t>
        </is>
      </c>
      <c r="B4798" t="inlineStr">
        <is>
          <t>隔日到貨🔥 iPhone手機殼 14 pro 13 12 11 XS XR SE3 X 8 7 保護殼 軟殼 蘋果</t>
        </is>
      </c>
      <c r="C4798">
        <f>IMAGE("https://cf.shopee.tw/file/6f59fc5de8250a21ee612299e1279efe_tn")</f>
        <v/>
      </c>
      <c r="D4798" t="inlineStr">
        <is>
          <t>太空人,12</t>
        </is>
      </c>
      <c r="E4798" t="inlineStr"/>
      <c r="F4798">
        <f>IMAGE("https://cf.shopee.tw/file/6f59fc5de8250a21ee612299e1279efe_tn")</f>
        <v/>
      </c>
    </row>
    <row r="4799">
      <c r="A4799" t="inlineStr">
        <is>
          <t>8235640414</t>
        </is>
      </c>
      <c r="B4799" t="inlineStr">
        <is>
          <t>隔日到貨🔥 iPhone手機殼 14 pro 13 12 11 XS XR SE3 X 8 7 保護殼 軟殼 蘋果</t>
        </is>
      </c>
      <c r="C4799">
        <f>IMAGE("https://cf.shopee.tw/file/6f59fc5de8250a21ee612299e1279efe_tn")</f>
        <v/>
      </c>
      <c r="D4799" t="inlineStr">
        <is>
          <t>太空人,12 pro</t>
        </is>
      </c>
      <c r="E4799" t="inlineStr"/>
      <c r="F4799">
        <f>IMAGE("https://cf.shopee.tw/file/6f59fc5de8250a21ee612299e1279efe_tn")</f>
        <v/>
      </c>
    </row>
    <row r="4800">
      <c r="A4800" t="inlineStr">
        <is>
          <t>8235640414</t>
        </is>
      </c>
      <c r="B4800" t="inlineStr">
        <is>
          <t>隔日到貨🔥 iPhone手機殼 14 pro 13 12 11 XS XR SE3 X 8 7 保護殼 軟殼 蘋果</t>
        </is>
      </c>
      <c r="C4800">
        <f>IMAGE("https://cf.shopee.tw/file/6f59fc5de8250a21ee612299e1279efe_tn")</f>
        <v/>
      </c>
      <c r="D4800" t="inlineStr">
        <is>
          <t>太空人,12 pro Max</t>
        </is>
      </c>
      <c r="E4800" t="inlineStr"/>
      <c r="F4800">
        <f>IMAGE("https://cf.shopee.tw/file/6f59fc5de8250a21ee612299e1279efe_tn")</f>
        <v/>
      </c>
    </row>
    <row r="4801">
      <c r="A4801" t="inlineStr">
        <is>
          <t>8235640414</t>
        </is>
      </c>
      <c r="B4801" t="inlineStr">
        <is>
          <t>隔日到貨🔥 iPhone手機殼 14 pro 13 12 11 XS XR SE3 X 8 7 保護殼 軟殼 蘋果</t>
        </is>
      </c>
      <c r="C4801">
        <f>IMAGE("https://cf.shopee.tw/file/6f59fc5de8250a21ee612299e1279efe_tn")</f>
        <v/>
      </c>
      <c r="D4801" t="inlineStr">
        <is>
          <t>太空人,13</t>
        </is>
      </c>
      <c r="E4801" t="inlineStr"/>
      <c r="F4801">
        <f>IMAGE("https://cf.shopee.tw/file/6f59fc5de8250a21ee612299e1279efe_tn")</f>
        <v/>
      </c>
    </row>
    <row r="4802">
      <c r="A4802" t="inlineStr">
        <is>
          <t>8235640414</t>
        </is>
      </c>
      <c r="B4802" t="inlineStr">
        <is>
          <t>隔日到貨🔥 iPhone手機殼 14 pro 13 12 11 XS XR SE3 X 8 7 保護殼 軟殼 蘋果</t>
        </is>
      </c>
      <c r="C4802">
        <f>IMAGE("https://cf.shopee.tw/file/6f59fc5de8250a21ee612299e1279efe_tn")</f>
        <v/>
      </c>
      <c r="D4802" t="inlineStr">
        <is>
          <t>太空人,14</t>
        </is>
      </c>
      <c r="E4802" t="inlineStr"/>
      <c r="F4802">
        <f>IMAGE("https://cf.shopee.tw/file/6f59fc5de8250a21ee612299e1279efe_tn")</f>
        <v/>
      </c>
    </row>
    <row r="4803">
      <c r="A4803" t="inlineStr">
        <is>
          <t>8235640414</t>
        </is>
      </c>
      <c r="B4803" t="inlineStr">
        <is>
          <t>隔日到貨🔥 iPhone手機殼 14 pro 13 12 11 XS XR SE3 X 8 7 保護殼 軟殼 蘋果</t>
        </is>
      </c>
      <c r="C4803">
        <f>IMAGE("https://cf.shopee.tw/file/6f59fc5de8250a21ee612299e1279efe_tn")</f>
        <v/>
      </c>
      <c r="D4803" t="inlineStr">
        <is>
          <t>太空人,7 / 8 / SE2 / SE3</t>
        </is>
      </c>
      <c r="E4803" t="inlineStr"/>
      <c r="F4803">
        <f>IMAGE("https://cf.shopee.tw/file/6f59fc5de8250a21ee612299e1279efe_tn")</f>
        <v/>
      </c>
    </row>
    <row r="4804">
      <c r="A4804" t="inlineStr">
        <is>
          <t>8235640414</t>
        </is>
      </c>
      <c r="B4804" t="inlineStr">
        <is>
          <t>隔日到貨🔥 iPhone手機殼 14 pro 13 12 11 XS XR SE3 X 8 7 保護殼 軟殼 蘋果</t>
        </is>
      </c>
      <c r="C4804">
        <f>IMAGE("https://cf.shopee.tw/file/6f59fc5de8250a21ee612299e1279efe_tn")</f>
        <v/>
      </c>
      <c r="D4804" t="inlineStr">
        <is>
          <t>太空人,7Plus / 8Plus</t>
        </is>
      </c>
      <c r="E4804" t="inlineStr"/>
      <c r="F4804">
        <f>IMAGE("https://cf.shopee.tw/file/6f59fc5de8250a21ee612299e1279efe_tn")</f>
        <v/>
      </c>
    </row>
    <row r="4805">
      <c r="A4805" t="inlineStr">
        <is>
          <t>8235640414</t>
        </is>
      </c>
      <c r="B4805" t="inlineStr">
        <is>
          <t>隔日到貨🔥 iPhone手機殼 14 pro 13 12 11 XS XR SE3 X 8 7 保護殼 軟殼 蘋果</t>
        </is>
      </c>
      <c r="C4805">
        <f>IMAGE("https://cf.shopee.tw/file/6f59fc5de8250a21ee612299e1279efe_tn")</f>
        <v/>
      </c>
      <c r="D4805" t="inlineStr">
        <is>
          <t>太空人,X / XS</t>
        </is>
      </c>
      <c r="E4805" t="inlineStr"/>
      <c r="F4805">
        <f>IMAGE("https://cf.shopee.tw/file/6f59fc5de8250a21ee612299e1279efe_tn")</f>
        <v/>
      </c>
    </row>
    <row r="4806">
      <c r="A4806" t="inlineStr">
        <is>
          <t>8235640414</t>
        </is>
      </c>
      <c r="B4806" t="inlineStr">
        <is>
          <t>隔日到貨🔥 iPhone手機殼 14 pro 13 12 11 XS XR SE3 X 8 7 保護殼 軟殼 蘋果</t>
        </is>
      </c>
      <c r="C4806">
        <f>IMAGE("https://cf.shopee.tw/file/6f59fc5de8250a21ee612299e1279efe_tn")</f>
        <v/>
      </c>
      <c r="D4806" t="inlineStr">
        <is>
          <t>太空人,12 mini</t>
        </is>
      </c>
      <c r="E4806" t="inlineStr"/>
      <c r="F4806">
        <f>IMAGE("https://cf.shopee.tw/file/6f59fc5de8250a21ee612299e1279efe_tn")</f>
        <v/>
      </c>
    </row>
    <row r="4807">
      <c r="A4807" t="inlineStr">
        <is>
          <t>8235640414</t>
        </is>
      </c>
      <c r="B4807" t="inlineStr">
        <is>
          <t>隔日到貨🔥 iPhone手機殼 14 pro 13 12 11 XS XR SE3 X 8 7 保護殼 軟殼 蘋果</t>
        </is>
      </c>
      <c r="C4807">
        <f>IMAGE("https://cf.shopee.tw/file/6f59fc5de8250a21ee612299e1279efe_tn")</f>
        <v/>
      </c>
      <c r="D4807" t="inlineStr">
        <is>
          <t>太空人,13 pro</t>
        </is>
      </c>
      <c r="E4807" t="inlineStr">
        <is>
          <t>95140720907</t>
        </is>
      </c>
      <c r="F4807">
        <f>IMAGE("https://cf.shopee.tw/file/6f59fc5de8250a21ee612299e1279efe_tn")</f>
        <v/>
      </c>
    </row>
    <row r="4808">
      <c r="A4808" t="inlineStr">
        <is>
          <t>8235640414</t>
        </is>
      </c>
      <c r="B4808" t="inlineStr">
        <is>
          <t>隔日到貨🔥 iPhone手機殼 14 pro 13 12 11 XS XR SE3 X 8 7 保護殼 軟殼 蘋果</t>
        </is>
      </c>
      <c r="C4808">
        <f>IMAGE("https://cf.shopee.tw/file/6f59fc5de8250a21ee612299e1279efe_tn")</f>
        <v/>
      </c>
      <c r="D4808" t="inlineStr">
        <is>
          <t>太空人,13 pro Max</t>
        </is>
      </c>
      <c r="E4808" t="inlineStr"/>
      <c r="F4808">
        <f>IMAGE("https://cf.shopee.tw/file/6f59fc5de8250a21ee612299e1279efe_tn")</f>
        <v/>
      </c>
    </row>
    <row r="4809">
      <c r="A4809" t="inlineStr">
        <is>
          <t>8235640414</t>
        </is>
      </c>
      <c r="B4809" t="inlineStr">
        <is>
          <t>隔日到貨🔥 iPhone手機殼 14 pro 13 12 11 XS XR SE3 X 8 7 保護殼 軟殼 蘋果</t>
        </is>
      </c>
      <c r="C4809">
        <f>IMAGE("https://cf.shopee.tw/file/6f59fc5de8250a21ee612299e1279efe_tn")</f>
        <v/>
      </c>
      <c r="D4809" t="inlineStr">
        <is>
          <t>太空人,14 Plus</t>
        </is>
      </c>
      <c r="E4809" t="inlineStr"/>
      <c r="F4809">
        <f>IMAGE("https://cf.shopee.tw/file/6f59fc5de8250a21ee612299e1279efe_tn")</f>
        <v/>
      </c>
    </row>
    <row r="4810">
      <c r="A4810" t="inlineStr">
        <is>
          <t>8235640414</t>
        </is>
      </c>
      <c r="B4810" t="inlineStr">
        <is>
          <t>隔日到貨🔥 iPhone手機殼 14 pro 13 12 11 XS XR SE3 X 8 7 保護殼 軟殼 蘋果</t>
        </is>
      </c>
      <c r="C4810">
        <f>IMAGE("https://cf.shopee.tw/file/6f59fc5de8250a21ee612299e1279efe_tn")</f>
        <v/>
      </c>
      <c r="D4810" t="inlineStr">
        <is>
          <t>太空人,14 pro</t>
        </is>
      </c>
      <c r="E4810" t="inlineStr">
        <is>
          <t>192675177287</t>
        </is>
      </c>
      <c r="F4810">
        <f>IMAGE("https://cf.shopee.tw/file/6f59fc5de8250a21ee612299e1279efe_tn")</f>
        <v/>
      </c>
    </row>
    <row r="4811">
      <c r="A4811" t="inlineStr">
        <is>
          <t>8235640414</t>
        </is>
      </c>
      <c r="B4811" t="inlineStr">
        <is>
          <t>隔日到貨🔥 iPhone手機殼 14 pro 13 12 11 XS XR SE3 X 8 7 保護殼 軟殼 蘋果</t>
        </is>
      </c>
      <c r="C4811">
        <f>IMAGE("https://cf.shopee.tw/file/6f59fc5de8250a21ee612299e1279efe_tn")</f>
        <v/>
      </c>
      <c r="D4811" t="inlineStr">
        <is>
          <t>太空人,14 pro Max</t>
        </is>
      </c>
      <c r="E4811" t="inlineStr"/>
      <c r="F4811">
        <f>IMAGE("https://cf.shopee.tw/file/6f59fc5de8250a21ee612299e1279efe_tn")</f>
        <v/>
      </c>
    </row>
    <row r="4812">
      <c r="A4812" t="inlineStr">
        <is>
          <t>22439001227</t>
        </is>
      </c>
      <c r="B4812" t="inlineStr">
        <is>
          <t>隔日到貨🔥 iPad玻璃貼 保護貼 iPad 10/9/8/7/6/ Mini/Air/2/Pro高清 霧面鋼化</t>
        </is>
      </c>
      <c r="C4812">
        <f>IMAGE("https://cf.shopee.tw/file/tw-11134207-7qul9-lfnjvbcxs9hp7a_tn")</f>
        <v/>
      </c>
      <c r="D4812" t="inlineStr">
        <is>
          <t>高清透明款,iPad 7/8/9 代 (10.2吋)</t>
        </is>
      </c>
      <c r="E4812" t="inlineStr"/>
      <c r="F4812">
        <f>IMAGE("https://deo.shopeemobile.com/shopee/shopee-seller-live-sg/mmf_portal_seller_root_dir/static/modules/product-list/image/default-item-model-image.2601159.png")</f>
        <v/>
      </c>
    </row>
    <row r="4813">
      <c r="A4813" t="inlineStr">
        <is>
          <t>22439001227</t>
        </is>
      </c>
      <c r="B4813" t="inlineStr">
        <is>
          <t>隔日到貨🔥 iPad玻璃貼 保護貼 iPad 10/9/8/7/6/ Mini/Air/2/Pro高清 霧面鋼化</t>
        </is>
      </c>
      <c r="C4813">
        <f>IMAGE("https://cf.shopee.tw/file/tw-11134207-7qul9-lfnjvbcxs9hp7a_tn")</f>
        <v/>
      </c>
      <c r="D4813" t="inlineStr">
        <is>
          <t>高清透明款,iPad 第10代 (10.9吋)</t>
        </is>
      </c>
      <c r="E4813" t="inlineStr"/>
      <c r="F4813">
        <f>IMAGE("https://deo.shopeemobile.com/shopee/shopee-seller-live-sg/mmf_portal_seller_root_dir/static/modules/product-list/image/default-item-model-image.2601159.png")</f>
        <v/>
      </c>
    </row>
    <row r="4814">
      <c r="A4814" t="inlineStr">
        <is>
          <t>22439001227</t>
        </is>
      </c>
      <c r="B4814" t="inlineStr">
        <is>
          <t>隔日到貨🔥 iPad玻璃貼 保護貼 iPad 10/9/8/7/6/ Mini/Air/2/Pro高清 霧面鋼化</t>
        </is>
      </c>
      <c r="C4814">
        <f>IMAGE("https://cf.shopee.tw/file/tw-11134207-7qul9-lfnjvbcxs9hp7a_tn")</f>
        <v/>
      </c>
      <c r="D4814" t="inlineStr">
        <is>
          <t>高清透明款,Air 3代 &amp; Pro 10.5</t>
        </is>
      </c>
      <c r="E4814" t="inlineStr"/>
      <c r="F4814">
        <f>IMAGE("https://deo.shopeemobile.com/shopee/shopee-seller-live-sg/mmf_portal_seller_root_dir/static/modules/product-list/image/default-item-model-image.2601159.png")</f>
        <v/>
      </c>
    </row>
    <row r="4815">
      <c r="A4815" t="inlineStr">
        <is>
          <t>22439001227</t>
        </is>
      </c>
      <c r="B4815" t="inlineStr">
        <is>
          <t>隔日到貨🔥 iPad玻璃貼 保護貼 iPad 10/9/8/7/6/ Mini/Air/2/Pro高清 霧面鋼化</t>
        </is>
      </c>
      <c r="C4815">
        <f>IMAGE("https://cf.shopee.tw/file/tw-11134207-7qul9-lfnjvbcxs9hp7a_tn")</f>
        <v/>
      </c>
      <c r="D4815" t="inlineStr">
        <is>
          <t>高清透明款,Air 第4代/第5代 (10.9吋)</t>
        </is>
      </c>
      <c r="E4815" t="inlineStr"/>
      <c r="F4815">
        <f>IMAGE("https://deo.shopeemobile.com/shopee/shopee-seller-live-sg/mmf_portal_seller_root_dir/static/modules/product-list/image/default-item-model-image.2601159.png")</f>
        <v/>
      </c>
    </row>
    <row r="4816">
      <c r="A4816" t="inlineStr">
        <is>
          <t>22439001227</t>
        </is>
      </c>
      <c r="B4816" t="inlineStr">
        <is>
          <t>隔日到貨🔥 iPad玻璃貼 保護貼 iPad 10/9/8/7/6/ Mini/Air/2/Pro高清 霧面鋼化</t>
        </is>
      </c>
      <c r="C4816">
        <f>IMAGE("https://cf.shopee.tw/file/tw-11134207-7qul9-lfnjvbcxs9hp7a_tn")</f>
        <v/>
      </c>
      <c r="D4816" t="inlineStr">
        <is>
          <t>高清透明款,Pro 11 (1/2/3/4代)</t>
        </is>
      </c>
      <c r="E4816" t="inlineStr"/>
      <c r="F4816">
        <f>IMAGE("https://deo.shopeemobile.com/shopee/shopee-seller-live-sg/mmf_portal_seller_root_dir/static/modules/product-list/image/default-item-model-image.2601159.png")</f>
        <v/>
      </c>
    </row>
    <row r="4817">
      <c r="A4817" t="inlineStr">
        <is>
          <t>22439001227</t>
        </is>
      </c>
      <c r="B4817" t="inlineStr">
        <is>
          <t>隔日到貨🔥 iPad玻璃貼 保護貼 iPad 10/9/8/7/6/ Mini/Air/2/Pro高清 霧面鋼化</t>
        </is>
      </c>
      <c r="C4817">
        <f>IMAGE("https://cf.shopee.tw/file/tw-11134207-7qul9-lfnjvbcxs9hp7a_tn")</f>
        <v/>
      </c>
      <c r="D4817" t="inlineStr">
        <is>
          <t>高清透明款,Mini 4/5代 (7.9吋)</t>
        </is>
      </c>
      <c r="E4817" t="inlineStr"/>
      <c r="F4817">
        <f>IMAGE("https://deo.shopeemobile.com/shopee/shopee-seller-live-sg/mmf_portal_seller_root_dir/static/modules/product-list/image/default-item-model-image.2601159.png")</f>
        <v/>
      </c>
    </row>
    <row r="4818">
      <c r="A4818" t="inlineStr">
        <is>
          <t>22439001227</t>
        </is>
      </c>
      <c r="B4818" t="inlineStr">
        <is>
          <t>隔日到貨🔥 iPad玻璃貼 保護貼 iPad 10/9/8/7/6/ Mini/Air/2/Pro高清 霧面鋼化</t>
        </is>
      </c>
      <c r="C4818">
        <f>IMAGE("https://cf.shopee.tw/file/tw-11134207-7qul9-lfnjvbcxs9hp7a_tn")</f>
        <v/>
      </c>
      <c r="D4818" t="inlineStr">
        <is>
          <t>高清透明款,Mini 6代 (8.3吋)</t>
        </is>
      </c>
      <c r="E4818" t="inlineStr"/>
      <c r="F4818">
        <f>IMAGE("https://deo.shopeemobile.com/shopee/shopee-seller-live-sg/mmf_portal_seller_root_dir/static/modules/product-list/image/default-item-model-image.2601159.png")</f>
        <v/>
      </c>
    </row>
    <row r="4819">
      <c r="A4819" t="inlineStr">
        <is>
          <t>22439001227</t>
        </is>
      </c>
      <c r="B4819" t="inlineStr">
        <is>
          <t>隔日到貨🔥 iPad玻璃貼 保護貼 iPad 10/9/8/7/6/ Mini/Air/2/Pro高清 霧面鋼化</t>
        </is>
      </c>
      <c r="C4819">
        <f>IMAGE("https://cf.shopee.tw/file/tw-11134207-7qul9-lfnjvbcxs9hp7a_tn")</f>
        <v/>
      </c>
      <c r="D4819" t="inlineStr">
        <is>
          <t>霧面抗指紋款,iPad 7/8/9 代 (10.2吋)</t>
        </is>
      </c>
      <c r="E4819" t="inlineStr"/>
      <c r="F4819">
        <f>IMAGE("https://deo.shopeemobile.com/shopee/shopee-seller-live-sg/mmf_portal_seller_root_dir/static/modules/product-list/image/default-item-model-image.2601159.png")</f>
        <v/>
      </c>
    </row>
    <row r="4820">
      <c r="A4820" t="inlineStr">
        <is>
          <t>22439001227</t>
        </is>
      </c>
      <c r="B4820" t="inlineStr">
        <is>
          <t>隔日到貨🔥 iPad玻璃貼 保護貼 iPad 10/9/8/7/6/ Mini/Air/2/Pro高清 霧面鋼化</t>
        </is>
      </c>
      <c r="C4820">
        <f>IMAGE("https://cf.shopee.tw/file/tw-11134207-7qul9-lfnjvbcxs9hp7a_tn")</f>
        <v/>
      </c>
      <c r="D4820" t="inlineStr">
        <is>
          <t>霧面抗指紋款,Air 1/2代 &amp; Pro 9.7</t>
        </is>
      </c>
      <c r="E4820" t="inlineStr"/>
      <c r="F4820">
        <f>IMAGE("https://deo.shopeemobile.com/shopee/shopee-seller-live-sg/mmf_portal_seller_root_dir/static/modules/product-list/image/default-item-model-image.2601159.png")</f>
        <v/>
      </c>
    </row>
    <row r="4821">
      <c r="A4821" t="inlineStr">
        <is>
          <t>22439001227</t>
        </is>
      </c>
      <c r="B4821" t="inlineStr">
        <is>
          <t>隔日到貨🔥 iPad玻璃貼 保護貼 iPad 10/9/8/7/6/ Mini/Air/2/Pro高清 霧面鋼化</t>
        </is>
      </c>
      <c r="C4821">
        <f>IMAGE("https://cf.shopee.tw/file/tw-11134207-7qul9-lfnjvbcxs9hp7a_tn")</f>
        <v/>
      </c>
      <c r="D4821" t="inlineStr">
        <is>
          <t>霧面抗指紋款,Air 第4代/第5代 (10.9吋)</t>
        </is>
      </c>
      <c r="E4821" t="inlineStr"/>
      <c r="F4821">
        <f>IMAGE("https://deo.shopeemobile.com/shopee/shopee-seller-live-sg/mmf_portal_seller_root_dir/static/modules/product-list/image/default-item-model-image.2601159.png")</f>
        <v/>
      </c>
    </row>
    <row r="4822">
      <c r="A4822" t="inlineStr">
        <is>
          <t>22439001227</t>
        </is>
      </c>
      <c r="B4822" t="inlineStr">
        <is>
          <t>隔日到貨🔥 iPad玻璃貼 保護貼 iPad 10/9/8/7/6/ Mini/Air/2/Pro高清 霧面鋼化</t>
        </is>
      </c>
      <c r="C4822">
        <f>IMAGE("https://cf.shopee.tw/file/tw-11134207-7qul9-lfnjvbcxs9hp7a_tn")</f>
        <v/>
      </c>
      <c r="D4822" t="inlineStr">
        <is>
          <t>霧面抗指紋款,Pro 11 (1/2/3/4代)</t>
        </is>
      </c>
      <c r="E4822" t="inlineStr">
        <is>
          <t>204212715606</t>
        </is>
      </c>
      <c r="F4822">
        <f>IMAGE("https://deo.shopeemobile.com/shopee/shopee-seller-live-sg/mmf_portal_seller_root_dir/static/modules/product-list/image/default-item-model-image.2601159.png")</f>
        <v/>
      </c>
    </row>
    <row r="4823">
      <c r="A4823" t="inlineStr">
        <is>
          <t>22439001227</t>
        </is>
      </c>
      <c r="B4823" t="inlineStr">
        <is>
          <t>隔日到貨🔥 iPad玻璃貼 保護貼 iPad 10/9/8/7/6/ Mini/Air/2/Pro高清 霧面鋼化</t>
        </is>
      </c>
      <c r="C4823">
        <f>IMAGE("https://cf.shopee.tw/file/tw-11134207-7qul9-lfnjvbcxs9hp7a_tn")</f>
        <v/>
      </c>
      <c r="D4823" t="inlineStr">
        <is>
          <t>霧面抗指紋款,Mini 6代 (8.3吋)</t>
        </is>
      </c>
      <c r="E4823" t="inlineStr"/>
      <c r="F4823">
        <f>IMAGE("https://deo.shopeemobile.com/shopee/shopee-seller-live-sg/mmf_portal_seller_root_dir/static/modules/product-list/image/default-item-model-image.2601159.png")</f>
        <v/>
      </c>
    </row>
    <row r="4824">
      <c r="A4824" t="inlineStr">
        <is>
          <t>22439001227</t>
        </is>
      </c>
      <c r="B4824" t="inlineStr">
        <is>
          <t>隔日到貨🔥 iPad玻璃貼 保護貼 iPad 10/9/8/7/6/ Mini/Air/2/Pro高清 霧面鋼化</t>
        </is>
      </c>
      <c r="C4824">
        <f>IMAGE("https://cf.shopee.tw/file/tw-11134207-7qul9-lfnjvbcxs9hp7a_tn")</f>
        <v/>
      </c>
      <c r="D4824" t="inlineStr">
        <is>
          <t>高清透明款,Air 1/2代 &amp; Pro 9.7</t>
        </is>
      </c>
      <c r="E4824" t="inlineStr"/>
      <c r="F4824">
        <f>IMAGE("https://deo.shopeemobile.com/shopee/shopee-seller-live-sg/mmf_portal_seller_root_dir/static/modules/product-list/image/default-item-model-image.2601159.png")</f>
        <v/>
      </c>
    </row>
    <row r="4825">
      <c r="A4825" t="inlineStr">
        <is>
          <t>22439001227</t>
        </is>
      </c>
      <c r="B4825" t="inlineStr">
        <is>
          <t>隔日到貨🔥 iPad玻璃貼 保護貼 iPad 10/9/8/7/6/ Mini/Air/2/Pro高清 霧面鋼化</t>
        </is>
      </c>
      <c r="C4825">
        <f>IMAGE("https://cf.shopee.tw/file/tw-11134207-7qul9-lfnjvbcxs9hp7a_tn")</f>
        <v/>
      </c>
      <c r="D4825" t="inlineStr">
        <is>
          <t>高清透明款,Pro 12.9 (3/4/5/6代)</t>
        </is>
      </c>
      <c r="E4825" t="inlineStr"/>
      <c r="F4825">
        <f>IMAGE("https://deo.shopeemobile.com/shopee/shopee-seller-live-sg/mmf_portal_seller_root_dir/static/modules/product-list/image/default-item-model-image.2601159.png")</f>
        <v/>
      </c>
    </row>
    <row r="4826">
      <c r="A4826" t="inlineStr">
        <is>
          <t>22439001227</t>
        </is>
      </c>
      <c r="B4826" t="inlineStr">
        <is>
          <t>隔日到貨🔥 iPad玻璃貼 保護貼 iPad 10/9/8/7/6/ Mini/Air/2/Pro高清 霧面鋼化</t>
        </is>
      </c>
      <c r="C4826">
        <f>IMAGE("https://cf.shopee.tw/file/tw-11134207-7qul9-lfnjvbcxs9hp7a_tn")</f>
        <v/>
      </c>
      <c r="D4826" t="inlineStr">
        <is>
          <t>霧面抗指紋款,iPad 第10代 (10.9吋)</t>
        </is>
      </c>
      <c r="E4826" t="inlineStr"/>
      <c r="F4826">
        <f>IMAGE("https://deo.shopeemobile.com/shopee/shopee-seller-live-sg/mmf_portal_seller_root_dir/static/modules/product-list/image/default-item-model-image.2601159.png")</f>
        <v/>
      </c>
    </row>
    <row r="4827">
      <c r="A4827" t="inlineStr">
        <is>
          <t>22439001227</t>
        </is>
      </c>
      <c r="B4827" t="inlineStr">
        <is>
          <t>隔日到貨🔥 iPad玻璃貼 保護貼 iPad 10/9/8/7/6/ Mini/Air/2/Pro高清 霧面鋼化</t>
        </is>
      </c>
      <c r="C4827">
        <f>IMAGE("https://cf.shopee.tw/file/tw-11134207-7qul9-lfnjvbcxs9hp7a_tn")</f>
        <v/>
      </c>
      <c r="D4827" t="inlineStr">
        <is>
          <t>霧面抗指紋款,Air 3代 &amp; Pro 10.5</t>
        </is>
      </c>
      <c r="E4827" t="inlineStr"/>
      <c r="F4827">
        <f>IMAGE("https://deo.shopeemobile.com/shopee/shopee-seller-live-sg/mmf_portal_seller_root_dir/static/modules/product-list/image/default-item-model-image.2601159.png")</f>
        <v/>
      </c>
    </row>
    <row r="4828">
      <c r="A4828" t="inlineStr">
        <is>
          <t>22439001227</t>
        </is>
      </c>
      <c r="B4828" t="inlineStr">
        <is>
          <t>隔日到貨🔥 iPad玻璃貼 保護貼 iPad 10/9/8/7/6/ Mini/Air/2/Pro高清 霧面鋼化</t>
        </is>
      </c>
      <c r="C4828">
        <f>IMAGE("https://cf.shopee.tw/file/tw-11134207-7qul9-lfnjvbcxs9hp7a_tn")</f>
        <v/>
      </c>
      <c r="D4828" t="inlineStr">
        <is>
          <t>霧面抗指紋款,Pro 12.9 (3/4/5/6代)</t>
        </is>
      </c>
      <c r="E4828" t="inlineStr"/>
      <c r="F4828">
        <f>IMAGE("https://deo.shopeemobile.com/shopee/shopee-seller-live-sg/mmf_portal_seller_root_dir/static/modules/product-list/image/default-item-model-image.2601159.png")</f>
        <v/>
      </c>
    </row>
    <row r="4829">
      <c r="A4829" t="inlineStr">
        <is>
          <t>22439001227</t>
        </is>
      </c>
      <c r="B4829" t="inlineStr">
        <is>
          <t>隔日到貨🔥 iPad玻璃貼 保護貼 iPad 10/9/8/7/6/ Mini/Air/2/Pro高清 霧面鋼化</t>
        </is>
      </c>
      <c r="C4829">
        <f>IMAGE("https://cf.shopee.tw/file/tw-11134207-7qul9-lfnjvbcxs9hp7a_tn")</f>
        <v/>
      </c>
      <c r="D4829" t="inlineStr">
        <is>
          <t>霧面抗指紋款,Mini 4/5代 (7.9吋)</t>
        </is>
      </c>
      <c r="E4829" t="inlineStr"/>
      <c r="F4829">
        <f>IMAGE("https://deo.shopeemobile.com/shopee/shopee-seller-live-sg/mmf_portal_seller_root_dir/static/modules/product-list/image/default-item-model-image.2601159.png")</f>
        <v/>
      </c>
    </row>
    <row r="4830">
      <c r="A4830" t="inlineStr">
        <is>
          <t>23725432503</t>
        </is>
      </c>
      <c r="B4830" t="inlineStr">
        <is>
          <t>隔日到貨🔥 ins 星球刺繡長襪 S35 長襪 泡泡襪 長襪 中筒襪 襪子 韓風 熱銷 女襪 可愛襪 短襪 學院風</t>
        </is>
      </c>
      <c r="C4830">
        <f>IMAGE("https://cf.shopee.tw/file/tw-11134207-7qul1-lg0kmh76jx8hdf_tn")</f>
        <v/>
      </c>
      <c r="D4830" t="inlineStr">
        <is>
          <t>黑色</t>
        </is>
      </c>
      <c r="E4830" t="inlineStr"/>
      <c r="F4830">
        <f>IMAGE("https://cf.shopee.tw/file/tw-11134207-23020-oh628irjbonvdc_tn")</f>
        <v/>
      </c>
    </row>
    <row r="4831">
      <c r="A4831" t="inlineStr">
        <is>
          <t>23725432503</t>
        </is>
      </c>
      <c r="B4831" t="inlineStr">
        <is>
          <t>隔日到貨🔥 ins 星球刺繡長襪 S35 長襪 泡泡襪 長襪 中筒襪 襪子 韓風 熱銷 女襪 可愛襪 短襪 學院風</t>
        </is>
      </c>
      <c r="C4831">
        <f>IMAGE("https://cf.shopee.tw/file/tw-11134207-7qul1-lg0kmh76jx8hdf_tn")</f>
        <v/>
      </c>
      <c r="D4831" t="inlineStr">
        <is>
          <t>白色</t>
        </is>
      </c>
      <c r="E4831" t="inlineStr"/>
      <c r="F4831">
        <f>IMAGE("https://cf.shopee.tw/file/tw-11134207-23020-gj0rdgujbonv98_tn")</f>
        <v/>
      </c>
    </row>
    <row r="4832">
      <c r="A4832" t="inlineStr">
        <is>
          <t>23725432503</t>
        </is>
      </c>
      <c r="B4832" t="inlineStr">
        <is>
          <t>隔日到貨🔥 ins 星球刺繡長襪 S35 長襪 泡泡襪 長襪 中筒襪 襪子 韓風 熱銷 女襪 可愛襪 短襪 學院風</t>
        </is>
      </c>
      <c r="C4832">
        <f>IMAGE("https://cf.shopee.tw/file/tw-11134207-7qul1-lg0kmh76jx8hdf_tn")</f>
        <v/>
      </c>
      <c r="D4832" t="inlineStr">
        <is>
          <t>灰色</t>
        </is>
      </c>
      <c r="E4832" t="inlineStr">
        <is>
          <t>230994827485</t>
        </is>
      </c>
      <c r="F4832">
        <f>IMAGE("https://cf.shopee.tw/file/tw-11134207-23020-s9903ixjbonvfc_tn")</f>
        <v/>
      </c>
    </row>
    <row r="4833">
      <c r="A4833" t="inlineStr">
        <is>
          <t>23725432503</t>
        </is>
      </c>
      <c r="B4833" t="inlineStr">
        <is>
          <t>隔日到貨🔥 ins 星球刺繡長襪 S35 長襪 泡泡襪 長襪 中筒襪 襪子 韓風 熱銷 女襪 可愛襪 短襪 學院風</t>
        </is>
      </c>
      <c r="C4833">
        <f>IMAGE("https://cf.shopee.tw/file/tw-11134207-7qul1-lg0kmh76jx8hdf_tn")</f>
        <v/>
      </c>
      <c r="D4833" t="inlineStr">
        <is>
          <t>綠色</t>
        </is>
      </c>
      <c r="E4833" t="inlineStr"/>
      <c r="F4833">
        <f>IMAGE("https://cf.shopee.tw/file/tw-11134207-23020-wbur3l1jbonv56_tn")</f>
        <v/>
      </c>
    </row>
    <row r="4834">
      <c r="A4834" t="inlineStr">
        <is>
          <t>23725432503</t>
        </is>
      </c>
      <c r="B4834" t="inlineStr">
        <is>
          <t>隔日到貨🔥 ins 星球刺繡長襪 S35 長襪 泡泡襪 長襪 中筒襪 襪子 韓風 熱銷 女襪 可愛襪 短襪 學院風</t>
        </is>
      </c>
      <c r="C4834">
        <f>IMAGE("https://cf.shopee.tw/file/tw-11134207-7qul1-lg0kmh76jx8hdf_tn")</f>
        <v/>
      </c>
      <c r="D4834" t="inlineStr">
        <is>
          <t>粉色</t>
        </is>
      </c>
      <c r="E4834" t="inlineStr">
        <is>
          <t>230994827487</t>
        </is>
      </c>
      <c r="F4834">
        <f>IMAGE("https://cf.shopee.tw/file/tw-11134207-23020-solyu83jbonvc1_tn")</f>
        <v/>
      </c>
    </row>
    <row r="4835">
      <c r="A4835" t="inlineStr">
        <is>
          <t>7100421083</t>
        </is>
      </c>
      <c r="B4835" t="inlineStr">
        <is>
          <t>隔日到貨🔥 大理石💎Airpods 1代 2代 3代 pro pro2 A13 保護套 保護殼 防摔 硬殼 蘋果 防摔殼</t>
        </is>
      </c>
      <c r="C4835">
        <f>IMAGE("https://cf.shopee.tw/file/0b35c45585d9c03588a996e682a4fd7e_tn")</f>
        <v/>
      </c>
      <c r="D4835" t="inlineStr">
        <is>
          <t>6.純淨白 Pro1/Pro2 (通用)</t>
        </is>
      </c>
      <c r="E4835" t="inlineStr"/>
      <c r="F4835">
        <f>IMAGE("https://cf.shopee.tw/file/aa2db6cecea342e9974e9a1772ec03b7_tn")</f>
        <v/>
      </c>
    </row>
    <row r="4836">
      <c r="A4836" t="inlineStr">
        <is>
          <t>7100421083</t>
        </is>
      </c>
      <c r="B4836" t="inlineStr">
        <is>
          <t>隔日到貨🔥 大理石💎Airpods 1代 2代 3代 pro pro2 A13 保護套 保護殼 防摔 硬殼 蘋果 防摔殼</t>
        </is>
      </c>
      <c r="C4836">
        <f>IMAGE("https://cf.shopee.tw/file/0b35c45585d9c03588a996e682a4fd7e_tn")</f>
        <v/>
      </c>
      <c r="D4836" t="inlineStr">
        <is>
          <t>1.夢幻色 1代/2代 (通用)</t>
        </is>
      </c>
      <c r="E4836" t="inlineStr">
        <is>
          <t>36297216757</t>
        </is>
      </c>
      <c r="F4836">
        <f>IMAGE("https://cf.shopee.tw/file/46ea15ef863aac70307dde31bbee8b7b_tn")</f>
        <v/>
      </c>
    </row>
    <row r="4837">
      <c r="A4837" t="inlineStr">
        <is>
          <t>7100421083</t>
        </is>
      </c>
      <c r="B4837" t="inlineStr">
        <is>
          <t>隔日到貨🔥 大理石💎Airpods 1代 2代 3代 pro pro2 A13 保護套 保護殼 防摔 硬殼 蘋果 防摔殼</t>
        </is>
      </c>
      <c r="C4837">
        <f>IMAGE("https://cf.shopee.tw/file/0b35c45585d9c03588a996e682a4fd7e_tn")</f>
        <v/>
      </c>
      <c r="D4837" t="inlineStr">
        <is>
          <t>2.純淨白 1代/2代 (通用)</t>
        </is>
      </c>
      <c r="E4837" t="inlineStr">
        <is>
          <t>36297216754</t>
        </is>
      </c>
      <c r="F4837">
        <f>IMAGE("https://cf.shopee.tw/file/466aad938dbc07282133dea8d0fb5ce3_tn")</f>
        <v/>
      </c>
    </row>
    <row r="4838">
      <c r="A4838" t="inlineStr">
        <is>
          <t>7100421083</t>
        </is>
      </c>
      <c r="B4838" t="inlineStr">
        <is>
          <t>隔日到貨🔥 大理石💎Airpods 1代 2代 3代 pro pro2 A13 保護套 保護殼 防摔 硬殼 蘋果 防摔殼</t>
        </is>
      </c>
      <c r="C4838">
        <f>IMAGE("https://cf.shopee.tw/file/0b35c45585d9c03588a996e682a4fd7e_tn")</f>
        <v/>
      </c>
      <c r="D4838" t="inlineStr">
        <is>
          <t>3.灰石紋 1代/2代 (通用)</t>
        </is>
      </c>
      <c r="E4838" t="inlineStr"/>
      <c r="F4838">
        <f>IMAGE("https://cf.shopee.tw/file/e294a37031197efa869dab7eb36bbfe6_tn")</f>
        <v/>
      </c>
    </row>
    <row r="4839">
      <c r="A4839" t="inlineStr">
        <is>
          <t>7100421083</t>
        </is>
      </c>
      <c r="B4839" t="inlineStr">
        <is>
          <t>隔日到貨🔥 大理石💎Airpods 1代 2代 3代 pro pro2 A13 保護套 保護殼 防摔 硬殼 蘋果 防摔殼</t>
        </is>
      </c>
      <c r="C4839">
        <f>IMAGE("https://cf.shopee.tw/file/0b35c45585d9c03588a996e682a4fd7e_tn")</f>
        <v/>
      </c>
      <c r="D4839" t="inlineStr">
        <is>
          <t>4.曜石黑 1代/2代 (通用)</t>
        </is>
      </c>
      <c r="E4839" t="inlineStr">
        <is>
          <t>36297216758</t>
        </is>
      </c>
      <c r="F4839">
        <f>IMAGE("https://cf.shopee.tw/file/ac8b4f8abc7386292019fdf26fbfde5f_tn")</f>
        <v/>
      </c>
    </row>
    <row r="4840">
      <c r="A4840" t="inlineStr">
        <is>
          <t>7100421083</t>
        </is>
      </c>
      <c r="B4840" t="inlineStr">
        <is>
          <t>隔日到貨🔥 大理石💎Airpods 1代 2代 3代 pro pro2 A13 保護套 保護殼 防摔 硬殼 蘋果 防摔殼</t>
        </is>
      </c>
      <c r="C4840">
        <f>IMAGE("https://cf.shopee.tw/file/0b35c45585d9c03588a996e682a4fd7e_tn")</f>
        <v/>
      </c>
      <c r="D4840" t="inlineStr">
        <is>
          <t>5.夢幻色 Pro1/Pro2 (通用)</t>
        </is>
      </c>
      <c r="E4840" t="inlineStr">
        <is>
          <t>36297216759</t>
        </is>
      </c>
      <c r="F4840">
        <f>IMAGE("https://cf.shopee.tw/file/b12e4fe3ed51a11b43fb41ac3af697f9_tn")</f>
        <v/>
      </c>
    </row>
    <row r="4841">
      <c r="A4841" t="inlineStr">
        <is>
          <t>7100421083</t>
        </is>
      </c>
      <c r="B4841" t="inlineStr">
        <is>
          <t>隔日到貨🔥 大理石💎Airpods 1代 2代 3代 pro pro2 A13 保護套 保護殼 防摔 硬殼 蘋果 防摔殼</t>
        </is>
      </c>
      <c r="C4841">
        <f>IMAGE("https://cf.shopee.tw/file/0b35c45585d9c03588a996e682a4fd7e_tn")</f>
        <v/>
      </c>
      <c r="D4841" t="inlineStr">
        <is>
          <t>7.灰石紋 Pro1/Pro2 (通用)</t>
        </is>
      </c>
      <c r="E4841" t="inlineStr">
        <is>
          <t>36297216761</t>
        </is>
      </c>
      <c r="F4841">
        <f>IMAGE("https://cf.shopee.tw/file/ab9aadb876b80827c8f215066ace8a11_tn")</f>
        <v/>
      </c>
    </row>
    <row r="4842">
      <c r="A4842" t="inlineStr">
        <is>
          <t>7100421083</t>
        </is>
      </c>
      <c r="B4842" t="inlineStr">
        <is>
          <t>隔日到貨🔥 大理石💎Airpods 1代 2代 3代 pro pro2 A13 保護套 保護殼 防摔 硬殼 蘋果 防摔殼</t>
        </is>
      </c>
      <c r="C4842">
        <f>IMAGE("https://cf.shopee.tw/file/0b35c45585d9c03588a996e682a4fd7e_tn")</f>
        <v/>
      </c>
      <c r="D4842" t="inlineStr">
        <is>
          <t>8.曜石黑 Pro1/Pro2 (通用)</t>
        </is>
      </c>
      <c r="E4842" t="inlineStr"/>
      <c r="F4842">
        <f>IMAGE("https://cf.shopee.tw/file/88a973ca8b5d7f2176688ad5f20d6842_tn")</f>
        <v/>
      </c>
    </row>
    <row r="4843">
      <c r="A4843" t="inlineStr">
        <is>
          <t>7100421083</t>
        </is>
      </c>
      <c r="B4843" t="inlineStr">
        <is>
          <t>隔日到貨🔥 大理石💎Airpods 1代 2代 3代 pro pro2 A13 保護套 保護殼 防摔 硬殼 蘋果 防摔殼</t>
        </is>
      </c>
      <c r="C4843">
        <f>IMAGE("https://cf.shopee.tw/file/0b35c45585d9c03588a996e682a4fd7e_tn")</f>
        <v/>
      </c>
      <c r="D4843" t="inlineStr">
        <is>
          <t>9.夢幻色 3代</t>
        </is>
      </c>
      <c r="E4843" t="inlineStr"/>
      <c r="F4843">
        <f>IMAGE("https://cf.shopee.tw/file/sg-11134201-22110-u6bk5exekejv6c_tn")</f>
        <v/>
      </c>
    </row>
    <row r="4844">
      <c r="A4844" t="inlineStr">
        <is>
          <t>7100421083</t>
        </is>
      </c>
      <c r="B4844" t="inlineStr">
        <is>
          <t>隔日到貨🔥 大理石💎Airpods 1代 2代 3代 pro pro2 A13 保護套 保護殼 防摔 硬殼 蘋果 防摔殼</t>
        </is>
      </c>
      <c r="C4844">
        <f>IMAGE("https://cf.shopee.tw/file/0b35c45585d9c03588a996e682a4fd7e_tn")</f>
        <v/>
      </c>
      <c r="D4844" t="inlineStr">
        <is>
          <t>10.純淨白 3代</t>
        </is>
      </c>
      <c r="E4844" t="inlineStr"/>
      <c r="F4844">
        <f>IMAGE("https://cf.shopee.tw/file/sg-11134201-22110-54znw6zekejv0a_tn")</f>
        <v/>
      </c>
    </row>
    <row r="4845">
      <c r="A4845" t="inlineStr">
        <is>
          <t>7100421083</t>
        </is>
      </c>
      <c r="B4845" t="inlineStr">
        <is>
          <t>隔日到貨🔥 大理石💎Airpods 1代 2代 3代 pro pro2 A13 保護套 保護殼 防摔 硬殼 蘋果 防摔殼</t>
        </is>
      </c>
      <c r="C4845">
        <f>IMAGE("https://cf.shopee.tw/file/0b35c45585d9c03588a996e682a4fd7e_tn")</f>
        <v/>
      </c>
      <c r="D4845" t="inlineStr">
        <is>
          <t>11.灰石紋 3代</t>
        </is>
      </c>
      <c r="E4845" t="inlineStr"/>
      <c r="F4845">
        <f>IMAGE("https://cf.shopee.tw/file/sg-11134201-22110-aysgcy3ekejv36_tn")</f>
        <v/>
      </c>
    </row>
    <row r="4846">
      <c r="A4846" t="inlineStr">
        <is>
          <t>7100421083</t>
        </is>
      </c>
      <c r="B4846" t="inlineStr">
        <is>
          <t>隔日到貨🔥 大理石💎Airpods 1代 2代 3代 pro pro2 A13 保護套 保護殼 防摔 硬殼 蘋果 防摔殼</t>
        </is>
      </c>
      <c r="C4846">
        <f>IMAGE("https://cf.shopee.tw/file/0b35c45585d9c03588a996e682a4fd7e_tn")</f>
        <v/>
      </c>
      <c r="D4846" t="inlineStr">
        <is>
          <t>12.曜石黑 3代</t>
        </is>
      </c>
      <c r="E4846" t="inlineStr"/>
      <c r="F4846">
        <f>IMAGE("https://cf.shopee.tw/file/sg-11134201-22110-vqxnsl6ekejvcf_tn")</f>
        <v/>
      </c>
    </row>
    <row r="4847">
      <c r="A4847" t="inlineStr">
        <is>
          <t>9314844516</t>
        </is>
      </c>
      <c r="B4847" t="inlineStr">
        <is>
          <t>隔日到貨🔥 Airpods 保護套 1代 2代 軟殼 保護殼 耳機套 A2 防摔套 附贈掛鉤 藍芽耳機套 耳機殼 矽膠</t>
        </is>
      </c>
      <c r="C4847">
        <f>IMAGE("https://cf.shopee.tw/file/c2e0a2012e044e22dd92afd1ef06a2a7_tn")</f>
        <v/>
      </c>
      <c r="D4847" t="inlineStr">
        <is>
          <t>2.汽車,1代 / 2代</t>
        </is>
      </c>
      <c r="E4847" t="inlineStr"/>
      <c r="F4847">
        <f>IMAGE("https://cf.shopee.tw/file/c1e973a9f4bfb5e2ec1f2cfbddcd730c_tn")</f>
        <v/>
      </c>
    </row>
    <row r="4848">
      <c r="A4848" t="inlineStr">
        <is>
          <t>9314844516</t>
        </is>
      </c>
      <c r="B4848" t="inlineStr">
        <is>
          <t>隔日到貨🔥 Airpods 保護套 1代 2代 軟殼 保護殼 耳機套 A2 防摔套 附贈掛鉤 藍芽耳機套 耳機殼 矽膠</t>
        </is>
      </c>
      <c r="C4848">
        <f>IMAGE("https://cf.shopee.tw/file/c2e0a2012e044e22dd92afd1ef06a2a7_tn")</f>
        <v/>
      </c>
      <c r="D4848" t="inlineStr">
        <is>
          <t>2.汽車,Pro1代/Pro2代 (通用）</t>
        </is>
      </c>
      <c r="E4848" t="inlineStr"/>
      <c r="F4848">
        <f>IMAGE("https://cf.shopee.tw/file/c1e973a9f4bfb5e2ec1f2cfbddcd730c_tn")</f>
        <v/>
      </c>
    </row>
    <row r="4849">
      <c r="A4849" t="inlineStr">
        <is>
          <t>9314844516</t>
        </is>
      </c>
      <c r="B4849" t="inlineStr">
        <is>
          <t>隔日到貨🔥 Airpods 保護套 1代 2代 軟殼 保護殼 耳機套 A2 防摔套 附贈掛鉤 藍芽耳機套 耳機殼 矽膠</t>
        </is>
      </c>
      <c r="C4849">
        <f>IMAGE("https://cf.shopee.tw/file/c2e0a2012e044e22dd92afd1ef06a2a7_tn")</f>
        <v/>
      </c>
      <c r="D4849" t="inlineStr">
        <is>
          <t>2.汽車,［3代］</t>
        </is>
      </c>
      <c r="E4849" t="inlineStr"/>
      <c r="F4849">
        <f>IMAGE("https://cf.shopee.tw/file/c1e973a9f4bfb5e2ec1f2cfbddcd730c_tn")</f>
        <v/>
      </c>
    </row>
    <row r="4850">
      <c r="A4850" t="inlineStr">
        <is>
          <t>9314844516</t>
        </is>
      </c>
      <c r="B4850" t="inlineStr">
        <is>
          <t>隔日到貨🔥 Airpods 保護套 1代 2代 軟殼 保護殼 耳機套 A2 防摔套 附贈掛鉤 藍芽耳機套 耳機殼 矽膠</t>
        </is>
      </c>
      <c r="C4850">
        <f>IMAGE("https://cf.shopee.tw/file/c2e0a2012e044e22dd92afd1ef06a2a7_tn")</f>
        <v/>
      </c>
      <c r="D4850" t="inlineStr">
        <is>
          <t>3.機車,1代 / 2代</t>
        </is>
      </c>
      <c r="E4850" t="inlineStr"/>
      <c r="F4850">
        <f>IMAGE("https://cf.shopee.tw/file/16e01971bfb1446a786d894c07b6823e_tn")</f>
        <v/>
      </c>
    </row>
    <row r="4851">
      <c r="A4851" t="inlineStr">
        <is>
          <t>9314844516</t>
        </is>
      </c>
      <c r="B4851" t="inlineStr">
        <is>
          <t>隔日到貨🔥 Airpods 保護套 1代 2代 軟殼 保護殼 耳機套 A2 防摔套 附贈掛鉤 藍芽耳機套 耳機殼 矽膠</t>
        </is>
      </c>
      <c r="C4851">
        <f>IMAGE("https://cf.shopee.tw/file/c2e0a2012e044e22dd92afd1ef06a2a7_tn")</f>
        <v/>
      </c>
      <c r="D4851" t="inlineStr">
        <is>
          <t>4.彩虹殼,［3代］</t>
        </is>
      </c>
      <c r="E4851" t="inlineStr"/>
      <c r="F4851">
        <f>IMAGE("https://cf.shopee.tw/file/021361718daddb519ab12da43fcf5783_tn")</f>
        <v/>
      </c>
    </row>
    <row r="4852">
      <c r="A4852" t="inlineStr">
        <is>
          <t>9314844516</t>
        </is>
      </c>
      <c r="B4852" t="inlineStr">
        <is>
          <t>隔日到貨🔥 Airpods 保護套 1代 2代 軟殼 保護殼 耳機套 A2 防摔套 附贈掛鉤 藍芽耳機套 耳機殼 矽膠</t>
        </is>
      </c>
      <c r="C4852">
        <f>IMAGE("https://cf.shopee.tw/file/c2e0a2012e044e22dd92afd1ef06a2a7_tn")</f>
        <v/>
      </c>
      <c r="D4852" t="inlineStr">
        <is>
          <t>6.雷神之鎚,Pro1代/Pro2代 (通用）</t>
        </is>
      </c>
      <c r="E4852" t="inlineStr"/>
      <c r="F4852">
        <f>IMAGE("https://cf.shopee.tw/file/e569233b1d285b988cbc0a2ac8503436_tn")</f>
        <v/>
      </c>
    </row>
    <row r="4853">
      <c r="A4853" t="inlineStr">
        <is>
          <t>9314844516</t>
        </is>
      </c>
      <c r="B4853" t="inlineStr">
        <is>
          <t>隔日到貨🔥 Airpods 保護套 1代 2代 軟殼 保護殼 耳機套 A2 防摔套 附贈掛鉤 藍芽耳機套 耳機殼 矽膠</t>
        </is>
      </c>
      <c r="C4853">
        <f>IMAGE("https://cf.shopee.tw/file/c2e0a2012e044e22dd92afd1ef06a2a7_tn")</f>
        <v/>
      </c>
      <c r="D4853" t="inlineStr">
        <is>
          <t>6.索爾大頭,［3代］</t>
        </is>
      </c>
      <c r="E4853" t="inlineStr"/>
      <c r="F4853">
        <f>IMAGE("https://cf.shopee.tw/file/1484601202bb31e2fb54e56744f9e30c_tn")</f>
        <v/>
      </c>
    </row>
    <row r="4854">
      <c r="A4854" t="inlineStr">
        <is>
          <t>9314844516</t>
        </is>
      </c>
      <c r="B4854" t="inlineStr">
        <is>
          <t>隔日到貨🔥 Airpods 保護套 1代 2代 軟殼 保護殼 耳機套 A2 防摔套 附贈掛鉤 藍芽耳機套 耳機殼 矽膠</t>
        </is>
      </c>
      <c r="C4854">
        <f>IMAGE("https://cf.shopee.tw/file/c2e0a2012e044e22dd92afd1ef06a2a7_tn")</f>
        <v/>
      </c>
      <c r="D4854" t="inlineStr">
        <is>
          <t>7.鸚鵡車,Pro1代/Pro2代 (通用）</t>
        </is>
      </c>
      <c r="E4854" t="inlineStr"/>
      <c r="F4854">
        <f>IMAGE("https://cf.shopee.tw/file/414dc3a943670cd28d792e926b45f897_tn")</f>
        <v/>
      </c>
    </row>
    <row r="4855">
      <c r="A4855" t="inlineStr">
        <is>
          <t>9314844516</t>
        </is>
      </c>
      <c r="B4855" t="inlineStr">
        <is>
          <t>隔日到貨🔥 Airpods 保護套 1代 2代 軟殼 保護殼 耳機套 A2 防摔套 附贈掛鉤 藍芽耳機套 耳機殼 矽膠</t>
        </is>
      </c>
      <c r="C4855">
        <f>IMAGE("https://cf.shopee.tw/file/c2e0a2012e044e22dd92afd1ef06a2a7_tn")</f>
        <v/>
      </c>
      <c r="D4855" t="inlineStr">
        <is>
          <t>7.鸚鵡車,［3代］</t>
        </is>
      </c>
      <c r="E4855" t="inlineStr"/>
      <c r="F4855">
        <f>IMAGE("https://cf.shopee.tw/file/414dc3a943670cd28d792e926b45f897_tn")</f>
        <v/>
      </c>
    </row>
    <row r="4856">
      <c r="A4856" t="inlineStr">
        <is>
          <t>9314844516</t>
        </is>
      </c>
      <c r="B4856" t="inlineStr">
        <is>
          <t>隔日到貨🔥 Airpods 保護套 1代 2代 軟殼 保護殼 耳機套 A2 防摔套 附贈掛鉤 藍芽耳機套 耳機殼 矽膠</t>
        </is>
      </c>
      <c r="C4856">
        <f>IMAGE("https://cf.shopee.tw/file/c2e0a2012e044e22dd92afd1ef06a2a7_tn")</f>
        <v/>
      </c>
      <c r="D4856" t="inlineStr">
        <is>
          <t>1.黑鞋,1代 / 2代</t>
        </is>
      </c>
      <c r="E4856" t="inlineStr"/>
      <c r="F4856">
        <f>IMAGE("https://cf.shopee.tw/file/37c6d14b8bdacf81aa09fe67b3e29a3f_tn")</f>
        <v/>
      </c>
    </row>
    <row r="4857">
      <c r="A4857" t="inlineStr">
        <is>
          <t>9314844516</t>
        </is>
      </c>
      <c r="B4857" t="inlineStr">
        <is>
          <t>隔日到貨🔥 Airpods 保護套 1代 2代 軟殼 保護殼 耳機套 A2 防摔套 附贈掛鉤 藍芽耳機套 耳機殼 矽膠</t>
        </is>
      </c>
      <c r="C4857">
        <f>IMAGE("https://cf.shopee.tw/file/c2e0a2012e044e22dd92afd1ef06a2a7_tn")</f>
        <v/>
      </c>
      <c r="D4857" t="inlineStr">
        <is>
          <t>1.黑鞋,Pro1代/Pro2代 (通用）</t>
        </is>
      </c>
      <c r="E4857" t="inlineStr"/>
      <c r="F4857">
        <f>IMAGE("https://cf.shopee.tw/file/37c6d14b8bdacf81aa09fe67b3e29a3f_tn")</f>
        <v/>
      </c>
    </row>
    <row r="4858">
      <c r="A4858" t="inlineStr">
        <is>
          <t>9314844516</t>
        </is>
      </c>
      <c r="B4858" t="inlineStr">
        <is>
          <t>隔日到貨🔥 Airpods 保護套 1代 2代 軟殼 保護殼 耳機套 A2 防摔套 附贈掛鉤 藍芽耳機套 耳機殼 矽膠</t>
        </is>
      </c>
      <c r="C4858">
        <f>IMAGE("https://cf.shopee.tw/file/c2e0a2012e044e22dd92afd1ef06a2a7_tn")</f>
        <v/>
      </c>
      <c r="D4858" t="inlineStr">
        <is>
          <t>1.黑鞋,［3代］</t>
        </is>
      </c>
      <c r="E4858" t="inlineStr"/>
      <c r="F4858">
        <f>IMAGE("https://cf.shopee.tw/file/37c6d14b8bdacf81aa09fe67b3e29a3f_tn")</f>
        <v/>
      </c>
    </row>
    <row r="4859">
      <c r="A4859" t="inlineStr">
        <is>
          <t>9314844516</t>
        </is>
      </c>
      <c r="B4859" t="inlineStr">
        <is>
          <t>隔日到貨🔥 Airpods 保護套 1代 2代 軟殼 保護殼 耳機套 A2 防摔套 附贈掛鉤 藍芽耳機套 耳機殼 矽膠</t>
        </is>
      </c>
      <c r="C4859">
        <f>IMAGE("https://cf.shopee.tw/file/c2e0a2012e044e22dd92afd1ef06a2a7_tn")</f>
        <v/>
      </c>
      <c r="D4859" t="inlineStr">
        <is>
          <t>1.白鞋,1代 / 2代</t>
        </is>
      </c>
      <c r="E4859" t="inlineStr"/>
      <c r="F4859">
        <f>IMAGE("https://cf.shopee.tw/file/f2fdf3343c082ae511ce08c56290bcf8_tn")</f>
        <v/>
      </c>
    </row>
    <row r="4860">
      <c r="A4860" t="inlineStr">
        <is>
          <t>9314844516</t>
        </is>
      </c>
      <c r="B4860" t="inlineStr">
        <is>
          <t>隔日到貨🔥 Airpods 保護套 1代 2代 軟殼 保護殼 耳機套 A2 防摔套 附贈掛鉤 藍芽耳機套 耳機殼 矽膠</t>
        </is>
      </c>
      <c r="C4860">
        <f>IMAGE("https://cf.shopee.tw/file/c2e0a2012e044e22dd92afd1ef06a2a7_tn")</f>
        <v/>
      </c>
      <c r="D4860" t="inlineStr">
        <is>
          <t>1.白鞋,Pro1代/Pro2代 (通用）</t>
        </is>
      </c>
      <c r="E4860" t="inlineStr"/>
      <c r="F4860">
        <f>IMAGE("https://cf.shopee.tw/file/f2fdf3343c082ae511ce08c56290bcf8_tn")</f>
        <v/>
      </c>
    </row>
    <row r="4861">
      <c r="A4861" t="inlineStr">
        <is>
          <t>9314844516</t>
        </is>
      </c>
      <c r="B4861" t="inlineStr">
        <is>
          <t>隔日到貨🔥 Airpods 保護套 1代 2代 軟殼 保護殼 耳機套 A2 防摔套 附贈掛鉤 藍芽耳機套 耳機殼 矽膠</t>
        </is>
      </c>
      <c r="C4861">
        <f>IMAGE("https://cf.shopee.tw/file/c2e0a2012e044e22dd92afd1ef06a2a7_tn")</f>
        <v/>
      </c>
      <c r="D4861" t="inlineStr">
        <is>
          <t>1.白鞋,［3代］</t>
        </is>
      </c>
      <c r="E4861" t="inlineStr"/>
      <c r="F4861">
        <f>IMAGE("https://cf.shopee.tw/file/f2fdf3343c082ae511ce08c56290bcf8_tn")</f>
        <v/>
      </c>
    </row>
    <row r="4862">
      <c r="A4862" t="inlineStr">
        <is>
          <t>9314844516</t>
        </is>
      </c>
      <c r="B4862" t="inlineStr">
        <is>
          <t>隔日到貨🔥 Airpods 保護套 1代 2代 軟殼 保護殼 耳機套 A2 防摔套 附贈掛鉤 藍芽耳機套 耳機殼 矽膠</t>
        </is>
      </c>
      <c r="C4862">
        <f>IMAGE("https://cf.shopee.tw/file/c2e0a2012e044e22dd92afd1ef06a2a7_tn")</f>
        <v/>
      </c>
      <c r="D4862" t="inlineStr">
        <is>
          <t>3.機車,Pro1代/Pro2代 (通用）</t>
        </is>
      </c>
      <c r="E4862" t="inlineStr"/>
      <c r="F4862">
        <f>IMAGE("https://cf.shopee.tw/file/16e01971bfb1446a786d894c07b6823e_tn")</f>
        <v/>
      </c>
    </row>
    <row r="4863">
      <c r="A4863" t="inlineStr">
        <is>
          <t>9314844516</t>
        </is>
      </c>
      <c r="B4863" t="inlineStr">
        <is>
          <t>隔日到貨🔥 Airpods 保護套 1代 2代 軟殼 保護殼 耳機套 A2 防摔套 附贈掛鉤 藍芽耳機套 耳機殼 矽膠</t>
        </is>
      </c>
      <c r="C4863">
        <f>IMAGE("https://cf.shopee.tw/file/c2e0a2012e044e22dd92afd1ef06a2a7_tn")</f>
        <v/>
      </c>
      <c r="D4863" t="inlineStr">
        <is>
          <t>3.機車,［3代］</t>
        </is>
      </c>
      <c r="E4863" t="inlineStr">
        <is>
          <t>160229736566</t>
        </is>
      </c>
      <c r="F4863">
        <f>IMAGE("https://cf.shopee.tw/file/16e01971bfb1446a786d894c07b6823e_tn")</f>
        <v/>
      </c>
    </row>
    <row r="4864">
      <c r="A4864" t="inlineStr">
        <is>
          <t>9314844516</t>
        </is>
      </c>
      <c r="B4864" t="inlineStr">
        <is>
          <t>隔日到貨🔥 Airpods 保護套 1代 2代 軟殼 保護殼 耳機套 A2 防摔套 附贈掛鉤 藍芽耳機套 耳機殼 矽膠</t>
        </is>
      </c>
      <c r="C4864">
        <f>IMAGE("https://cf.shopee.tw/file/c2e0a2012e044e22dd92afd1ef06a2a7_tn")</f>
        <v/>
      </c>
      <c r="D4864" t="inlineStr">
        <is>
          <t>4.彩虹殼,1代 / 2代</t>
        </is>
      </c>
      <c r="E4864" t="inlineStr"/>
      <c r="F4864">
        <f>IMAGE("https://cf.shopee.tw/file/021361718daddb519ab12da43fcf5783_tn")</f>
        <v/>
      </c>
    </row>
    <row r="4865">
      <c r="A4865" t="inlineStr">
        <is>
          <t>9314844516</t>
        </is>
      </c>
      <c r="B4865" t="inlineStr">
        <is>
          <t>隔日到貨🔥 Airpods 保護套 1代 2代 軟殼 保護殼 耳機套 A2 防摔套 附贈掛鉤 藍芽耳機套 耳機殼 矽膠</t>
        </is>
      </c>
      <c r="C4865">
        <f>IMAGE("https://cf.shopee.tw/file/c2e0a2012e044e22dd92afd1ef06a2a7_tn")</f>
        <v/>
      </c>
      <c r="D4865" t="inlineStr">
        <is>
          <t>4.彩虹殼,Pro1代/Pro2代 (通用）</t>
        </is>
      </c>
      <c r="E4865" t="inlineStr"/>
      <c r="F4865">
        <f>IMAGE("https://cf.shopee.tw/file/021361718daddb519ab12da43fcf5783_tn")</f>
        <v/>
      </c>
    </row>
    <row r="4866">
      <c r="A4866" t="inlineStr">
        <is>
          <t>9314844516</t>
        </is>
      </c>
      <c r="B4866" t="inlineStr">
        <is>
          <t>隔日到貨🔥 Airpods 保護套 1代 2代 軟殼 保護殼 耳機套 A2 防摔套 附贈掛鉤 藍芽耳機套 耳機殼 矽膠</t>
        </is>
      </c>
      <c r="C4866">
        <f>IMAGE("https://cf.shopee.tw/file/c2e0a2012e044e22dd92afd1ef06a2a7_tn")</f>
        <v/>
      </c>
      <c r="D4866" t="inlineStr">
        <is>
          <t>5.機器人,1代 / 2代</t>
        </is>
      </c>
      <c r="E4866" t="inlineStr"/>
      <c r="F4866">
        <f>IMAGE("https://cf.shopee.tw/file/c22ec1849b4c8c41bb956038e27a12e3_tn")</f>
        <v/>
      </c>
    </row>
    <row r="4867">
      <c r="A4867" t="inlineStr">
        <is>
          <t>9314844516</t>
        </is>
      </c>
      <c r="B4867" t="inlineStr">
        <is>
          <t>隔日到貨🔥 Airpods 保護套 1代 2代 軟殼 保護殼 耳機套 A2 防摔套 附贈掛鉤 藍芽耳機套 耳機殼 矽膠</t>
        </is>
      </c>
      <c r="C4867">
        <f>IMAGE("https://cf.shopee.tw/file/c2e0a2012e044e22dd92afd1ef06a2a7_tn")</f>
        <v/>
      </c>
      <c r="D4867" t="inlineStr">
        <is>
          <t>5.機器人,Pro1代/Pro2代 (通用）</t>
        </is>
      </c>
      <c r="E4867" t="inlineStr">
        <is>
          <t>73688150964</t>
        </is>
      </c>
      <c r="F4867">
        <f>IMAGE("https://cf.shopee.tw/file/c22ec1849b4c8c41bb956038e27a12e3_tn")</f>
        <v/>
      </c>
    </row>
    <row r="4868">
      <c r="A4868" t="inlineStr">
        <is>
          <t>9314844516</t>
        </is>
      </c>
      <c r="B4868" t="inlineStr">
        <is>
          <t>隔日到貨🔥 Airpods 保護套 1代 2代 軟殼 保護殼 耳機套 A2 防摔套 附贈掛鉤 藍芽耳機套 耳機殼 矽膠</t>
        </is>
      </c>
      <c r="C4868">
        <f>IMAGE("https://cf.shopee.tw/file/c2e0a2012e044e22dd92afd1ef06a2a7_tn")</f>
        <v/>
      </c>
      <c r="D4868" t="inlineStr">
        <is>
          <t>5.機器人,［3代］</t>
        </is>
      </c>
      <c r="E4868" t="inlineStr"/>
      <c r="F4868">
        <f>IMAGE("https://cf.shopee.tw/file/c22ec1849b4c8c41bb956038e27a12e3_tn")</f>
        <v/>
      </c>
    </row>
    <row r="4869">
      <c r="A4869" t="inlineStr">
        <is>
          <t>9314844516</t>
        </is>
      </c>
      <c r="B4869" t="inlineStr">
        <is>
          <t>隔日到貨🔥 Airpods 保護套 1代 2代 軟殼 保護殼 耳機套 A2 防摔套 附贈掛鉤 藍芽耳機套 耳機殼 矽膠</t>
        </is>
      </c>
      <c r="C4869">
        <f>IMAGE("https://cf.shopee.tw/file/c2e0a2012e044e22dd92afd1ef06a2a7_tn")</f>
        <v/>
      </c>
      <c r="D4869" t="inlineStr">
        <is>
          <t>6.雷神之鎚,1代 / 2代</t>
        </is>
      </c>
      <c r="E4869" t="inlineStr"/>
      <c r="F4869">
        <f>IMAGE("https://cf.shopee.tw/file/e569233b1d285b988cbc0a2ac8503436_tn")</f>
        <v/>
      </c>
    </row>
    <row r="4870">
      <c r="A4870" t="inlineStr">
        <is>
          <t>9314844516</t>
        </is>
      </c>
      <c r="B4870" t="inlineStr">
        <is>
          <t>隔日到貨🔥 Airpods 保護套 1代 2代 軟殼 保護殼 耳機套 A2 防摔套 附贈掛鉤 藍芽耳機套 耳機殼 矽膠</t>
        </is>
      </c>
      <c r="C4870">
        <f>IMAGE("https://cf.shopee.tw/file/c2e0a2012e044e22dd92afd1ef06a2a7_tn")</f>
        <v/>
      </c>
      <c r="D4870" t="inlineStr">
        <is>
          <t>6.雷神之鎚,［3代］</t>
        </is>
      </c>
      <c r="E4870" t="inlineStr"/>
      <c r="F4870">
        <f>IMAGE("https://cf.shopee.tw/file/e569233b1d285b988cbc0a2ac8503436_tn")</f>
        <v/>
      </c>
    </row>
    <row r="4871">
      <c r="A4871" t="inlineStr">
        <is>
          <t>9314844516</t>
        </is>
      </c>
      <c r="B4871" t="inlineStr">
        <is>
          <t>隔日到貨🔥 Airpods 保護套 1代 2代 軟殼 保護殼 耳機套 A2 防摔套 附贈掛鉤 藍芽耳機套 耳機殼 矽膠</t>
        </is>
      </c>
      <c r="C4871">
        <f>IMAGE("https://cf.shopee.tw/file/c2e0a2012e044e22dd92afd1ef06a2a7_tn")</f>
        <v/>
      </c>
      <c r="D4871" t="inlineStr">
        <is>
          <t>6.索爾大頭,1代 / 2代</t>
        </is>
      </c>
      <c r="E4871" t="inlineStr"/>
      <c r="F4871">
        <f>IMAGE("https://cf.shopee.tw/file/1484601202bb31e2fb54e56744f9e30c_tn")</f>
        <v/>
      </c>
    </row>
    <row r="4872">
      <c r="A4872" t="inlineStr">
        <is>
          <t>9314844516</t>
        </is>
      </c>
      <c r="B4872" t="inlineStr">
        <is>
          <t>隔日到貨🔥 Airpods 保護套 1代 2代 軟殼 保護殼 耳機套 A2 防摔套 附贈掛鉤 藍芽耳機套 耳機殼 矽膠</t>
        </is>
      </c>
      <c r="C4872">
        <f>IMAGE("https://cf.shopee.tw/file/c2e0a2012e044e22dd92afd1ef06a2a7_tn")</f>
        <v/>
      </c>
      <c r="D4872" t="inlineStr">
        <is>
          <t>6.索爾大頭,Pro1代/Pro2代 (通用）</t>
        </is>
      </c>
      <c r="E4872" t="inlineStr"/>
      <c r="F4872">
        <f>IMAGE("https://cf.shopee.tw/file/1484601202bb31e2fb54e56744f9e30c_tn")</f>
        <v/>
      </c>
    </row>
    <row r="4873">
      <c r="A4873" t="inlineStr">
        <is>
          <t>9314844516</t>
        </is>
      </c>
      <c r="B4873" t="inlineStr">
        <is>
          <t>隔日到貨🔥 Airpods 保護套 1代 2代 軟殼 保護殼 耳機套 A2 防摔套 附贈掛鉤 藍芽耳機套 耳機殼 矽膠</t>
        </is>
      </c>
      <c r="C4873">
        <f>IMAGE("https://cf.shopee.tw/file/c2e0a2012e044e22dd92afd1ef06a2a7_tn")</f>
        <v/>
      </c>
      <c r="D4873" t="inlineStr">
        <is>
          <t>7.鸚鵡車,1代 / 2代</t>
        </is>
      </c>
      <c r="E4873" t="inlineStr"/>
      <c r="F4873">
        <f>IMAGE("https://cf.shopee.tw/file/414dc3a943670cd28d792e926b45f897_tn")</f>
        <v/>
      </c>
    </row>
    <row r="4874">
      <c r="A4874" t="inlineStr">
        <is>
          <t>9314844516</t>
        </is>
      </c>
      <c r="B4874" t="inlineStr">
        <is>
          <t>隔日到貨🔥 Airpods 保護套 1代 2代 軟殼 保護殼 耳機套 A2 防摔套 附贈掛鉤 藍芽耳機套 耳機殼 矽膠</t>
        </is>
      </c>
      <c r="C4874">
        <f>IMAGE("https://cf.shopee.tw/file/c2e0a2012e044e22dd92afd1ef06a2a7_tn")</f>
        <v/>
      </c>
      <c r="D4874" t="inlineStr">
        <is>
          <t>8.鳳梨屋,1代 / 2代</t>
        </is>
      </c>
      <c r="E4874" t="inlineStr"/>
      <c r="F4874">
        <f>IMAGE("https://cf.shopee.tw/file/81254bf584eebe96775dd4d63df3ad46_tn")</f>
        <v/>
      </c>
    </row>
    <row r="4875">
      <c r="A4875" t="inlineStr">
        <is>
          <t>9314844516</t>
        </is>
      </c>
      <c r="B4875" t="inlineStr">
        <is>
          <t>隔日到貨🔥 Airpods 保護套 1代 2代 軟殼 保護殼 耳機套 A2 防摔套 附贈掛鉤 藍芽耳機套 耳機殼 矽膠</t>
        </is>
      </c>
      <c r="C4875">
        <f>IMAGE("https://cf.shopee.tw/file/c2e0a2012e044e22dd92afd1ef06a2a7_tn")</f>
        <v/>
      </c>
      <c r="D4875" t="inlineStr">
        <is>
          <t>8.鳳梨屋,Pro1代/Pro2代 (通用）</t>
        </is>
      </c>
      <c r="E4875" t="inlineStr"/>
      <c r="F4875">
        <f>IMAGE("https://cf.shopee.tw/file/81254bf584eebe96775dd4d63df3ad46_tn")</f>
        <v/>
      </c>
    </row>
    <row r="4876">
      <c r="A4876" t="inlineStr">
        <is>
          <t>9314844516</t>
        </is>
      </c>
      <c r="B4876" t="inlineStr">
        <is>
          <t>隔日到貨🔥 Airpods 保護套 1代 2代 軟殼 保護殼 耳機套 A2 防摔套 附贈掛鉤 藍芽耳機套 耳機殼 矽膠</t>
        </is>
      </c>
      <c r="C4876">
        <f>IMAGE("https://cf.shopee.tw/file/c2e0a2012e044e22dd92afd1ef06a2a7_tn")</f>
        <v/>
      </c>
      <c r="D4876" t="inlineStr">
        <is>
          <t>8.鳳梨屋,［3代］</t>
        </is>
      </c>
      <c r="E4876" t="inlineStr"/>
      <c r="F4876">
        <f>IMAGE("https://cf.shopee.tw/file/81254bf584eebe96775dd4d63df3ad46_tn")</f>
        <v/>
      </c>
    </row>
    <row r="4877">
      <c r="A4877" t="inlineStr">
        <is>
          <t>9314844516</t>
        </is>
      </c>
      <c r="B4877" t="inlineStr">
        <is>
          <t>隔日到貨🔥 Airpods 保護套 1代 2代 軟殼 保護殼 耳機套 A2 防摔套 附贈掛鉤 藍芽耳機套 耳機殼 矽膠</t>
        </is>
      </c>
      <c r="C4877">
        <f>IMAGE("https://cf.shopee.tw/file/c2e0a2012e044e22dd92afd1ef06a2a7_tn")</f>
        <v/>
      </c>
      <c r="D4877" t="inlineStr">
        <is>
          <t>8.章魚哥家,1代 / 2代</t>
        </is>
      </c>
      <c r="E4877" t="inlineStr"/>
      <c r="F4877">
        <f>IMAGE("https://cf.shopee.tw/file/8f72a8724c2a3885ba9fddad623918e2_tn")</f>
        <v/>
      </c>
    </row>
    <row r="4878">
      <c r="A4878" t="inlineStr">
        <is>
          <t>9314844516</t>
        </is>
      </c>
      <c r="B4878" t="inlineStr">
        <is>
          <t>隔日到貨🔥 Airpods 保護套 1代 2代 軟殼 保護殼 耳機套 A2 防摔套 附贈掛鉤 藍芽耳機套 耳機殼 矽膠</t>
        </is>
      </c>
      <c r="C4878">
        <f>IMAGE("https://cf.shopee.tw/file/c2e0a2012e044e22dd92afd1ef06a2a7_tn")</f>
        <v/>
      </c>
      <c r="D4878" t="inlineStr">
        <is>
          <t>8.章魚哥家,Pro1代/Pro2代 (通用）</t>
        </is>
      </c>
      <c r="E4878" t="inlineStr"/>
      <c r="F4878">
        <f>IMAGE("https://cf.shopee.tw/file/8f72a8724c2a3885ba9fddad623918e2_tn")</f>
        <v/>
      </c>
    </row>
    <row r="4879">
      <c r="A4879" t="inlineStr">
        <is>
          <t>9314844516</t>
        </is>
      </c>
      <c r="B4879" t="inlineStr">
        <is>
          <t>隔日到貨🔥 Airpods 保護套 1代 2代 軟殼 保護殼 耳機套 A2 防摔套 附贈掛鉤 藍芽耳機套 耳機殼 矽膠</t>
        </is>
      </c>
      <c r="C4879">
        <f>IMAGE("https://cf.shopee.tw/file/c2e0a2012e044e22dd92afd1ef06a2a7_tn")</f>
        <v/>
      </c>
      <c r="D4879" t="inlineStr">
        <is>
          <t>8.章魚哥家,［3代］</t>
        </is>
      </c>
      <c r="E4879" t="inlineStr"/>
      <c r="F4879">
        <f>IMAGE("https://cf.shopee.tw/file/8f72a8724c2a3885ba9fddad623918e2_tn")</f>
        <v/>
      </c>
    </row>
    <row r="4880">
      <c r="A4880" t="inlineStr">
        <is>
          <t>9314844516</t>
        </is>
      </c>
      <c r="B4880" t="inlineStr">
        <is>
          <t>隔日到貨🔥 Airpods 保護套 1代 2代 軟殼 保護殼 耳機套 A2 防摔套 附贈掛鉤 藍芽耳機套 耳機殼 矽膠</t>
        </is>
      </c>
      <c r="C4880">
        <f>IMAGE("https://cf.shopee.tw/file/c2e0a2012e044e22dd92afd1ef06a2a7_tn")</f>
        <v/>
      </c>
      <c r="D4880" t="inlineStr">
        <is>
          <t>9.鯊魚,1代 / 2代</t>
        </is>
      </c>
      <c r="E4880" t="inlineStr"/>
      <c r="F4880">
        <f>IMAGE("https://cf.shopee.tw/file/f4877c7d1f9e74b60e1c2bb76440e488_tn")</f>
        <v/>
      </c>
    </row>
    <row r="4881">
      <c r="A4881" t="inlineStr">
        <is>
          <t>9314844516</t>
        </is>
      </c>
      <c r="B4881" t="inlineStr">
        <is>
          <t>隔日到貨🔥 Airpods 保護套 1代 2代 軟殼 保護殼 耳機套 A2 防摔套 附贈掛鉤 藍芽耳機套 耳機殼 矽膠</t>
        </is>
      </c>
      <c r="C4881">
        <f>IMAGE("https://cf.shopee.tw/file/c2e0a2012e044e22dd92afd1ef06a2a7_tn")</f>
        <v/>
      </c>
      <c r="D4881" t="inlineStr">
        <is>
          <t>9.鯊魚,Pro1代/Pro2代 (通用）</t>
        </is>
      </c>
      <c r="E4881" t="inlineStr"/>
      <c r="F4881">
        <f>IMAGE("https://cf.shopee.tw/file/f4877c7d1f9e74b60e1c2bb76440e488_tn")</f>
        <v/>
      </c>
    </row>
    <row r="4882">
      <c r="A4882" t="inlineStr">
        <is>
          <t>9314844516</t>
        </is>
      </c>
      <c r="B4882" t="inlineStr">
        <is>
          <t>隔日到貨🔥 Airpods 保護套 1代 2代 軟殼 保護殼 耳機套 A2 防摔套 附贈掛鉤 藍芽耳機套 耳機殼 矽膠</t>
        </is>
      </c>
      <c r="C4882">
        <f>IMAGE("https://cf.shopee.tw/file/c2e0a2012e044e22dd92afd1ef06a2a7_tn")</f>
        <v/>
      </c>
      <c r="D4882" t="inlineStr">
        <is>
          <t>9.鯊魚,［3代］</t>
        </is>
      </c>
      <c r="E4882" t="inlineStr"/>
      <c r="F4882">
        <f>IMAGE("https://cf.shopee.tw/file/f4877c7d1f9e74b60e1c2bb76440e488_tn")</f>
        <v/>
      </c>
    </row>
    <row r="4883">
      <c r="A4883" t="inlineStr">
        <is>
          <t>20669904088</t>
        </is>
      </c>
      <c r="B4883" t="inlineStr">
        <is>
          <t>隔日到貨🔥 Airpods 保護套1 2 3 pro pro2 A8 耳機套 耳機殼 軟殼 保護殼 藍牙耳機套 蘋果</t>
        </is>
      </c>
      <c r="C4883">
        <f>IMAGE("https://cf.shopee.tw/file/sg-11134201-23010-cx2yfu0n8emvba_tn")</f>
        <v/>
      </c>
      <c r="D4883" t="inlineStr">
        <is>
          <t>1. 波浪款奶酪,1代/2代</t>
        </is>
      </c>
      <c r="E4883" t="inlineStr">
        <is>
          <t>183637444844</t>
        </is>
      </c>
      <c r="F4883">
        <f>IMAGE("https://cf.shopee.tw/file/sg-11134201-22120-kuuc5zzxhllv60_tn")</f>
        <v/>
      </c>
    </row>
    <row r="4884">
      <c r="A4884" t="inlineStr">
        <is>
          <t>20669904088</t>
        </is>
      </c>
      <c r="B4884" t="inlineStr">
        <is>
          <t>隔日到貨🔥 Airpods 保護套1 2 3 pro pro2 A8 耳機套 耳機殼 軟殼 保護殼 藍牙耳機套 蘋果</t>
        </is>
      </c>
      <c r="C4884">
        <f>IMAGE("https://cf.shopee.tw/file/sg-11134201-23010-cx2yfu0n8emvba_tn")</f>
        <v/>
      </c>
      <c r="D4884" t="inlineStr">
        <is>
          <t>1. 波浪款奶酪,Pro1代/Pro2代 (通用）</t>
        </is>
      </c>
      <c r="E4884" t="inlineStr"/>
      <c r="F4884">
        <f>IMAGE("https://cf.shopee.tw/file/sg-11134201-22120-kuuc5zzxhllv60_tn")</f>
        <v/>
      </c>
    </row>
    <row r="4885">
      <c r="A4885" t="inlineStr">
        <is>
          <t>20669904088</t>
        </is>
      </c>
      <c r="B4885" t="inlineStr">
        <is>
          <t>隔日到貨🔥 Airpods 保護套1 2 3 pro pro2 A8 耳機套 耳機殼 軟殼 保護殼 藍牙耳機套 蘋果</t>
        </is>
      </c>
      <c r="C4885">
        <f>IMAGE("https://cf.shopee.tw/file/sg-11134201-23010-cx2yfu0n8emvba_tn")</f>
        <v/>
      </c>
      <c r="D4885" t="inlineStr">
        <is>
          <t>1. 波浪款奶酪,3代</t>
        </is>
      </c>
      <c r="E4885" t="inlineStr">
        <is>
          <t>193690639070</t>
        </is>
      </c>
      <c r="F4885">
        <f>IMAGE("https://cf.shopee.tw/file/sg-11134201-22120-kuuc5zzxhllv60_tn")</f>
        <v/>
      </c>
    </row>
    <row r="4886">
      <c r="A4886" t="inlineStr">
        <is>
          <t>20669904088</t>
        </is>
      </c>
      <c r="B4886" t="inlineStr">
        <is>
          <t>隔日到貨🔥 Airpods 保護套1 2 3 pro pro2 A8 耳機套 耳機殼 軟殼 保護殼 藍牙耳機套 蘋果</t>
        </is>
      </c>
      <c r="C4886">
        <f>IMAGE("https://cf.shopee.tw/file/sg-11134201-23010-cx2yfu0n8emvba_tn")</f>
        <v/>
      </c>
      <c r="D4886" t="inlineStr">
        <is>
          <t>2. 波浪粉色蝴蝶結,1代/2代</t>
        </is>
      </c>
      <c r="E4886" t="inlineStr"/>
      <c r="F4886">
        <f>IMAGE("https://cf.shopee.tw/file/sg-11134201-22120-zvixlydyhllv53_tn")</f>
        <v/>
      </c>
    </row>
    <row r="4887">
      <c r="A4887" t="inlineStr">
        <is>
          <t>20669904088</t>
        </is>
      </c>
      <c r="B4887" t="inlineStr">
        <is>
          <t>隔日到貨🔥 Airpods 保護套1 2 3 pro pro2 A8 耳機套 耳機殼 軟殼 保護殼 藍牙耳機套 蘋果</t>
        </is>
      </c>
      <c r="C4887">
        <f>IMAGE("https://cf.shopee.tw/file/sg-11134201-23010-cx2yfu0n8emvba_tn")</f>
        <v/>
      </c>
      <c r="D4887" t="inlineStr">
        <is>
          <t>2. 波浪粉色蝴蝶結,Pro1代/Pro2代 (通用）</t>
        </is>
      </c>
      <c r="E4887" t="inlineStr"/>
      <c r="F4887">
        <f>IMAGE("https://cf.shopee.tw/file/sg-11134201-22120-zvixlydyhllv53_tn")</f>
        <v/>
      </c>
    </row>
    <row r="4888">
      <c r="A4888" t="inlineStr">
        <is>
          <t>20669904088</t>
        </is>
      </c>
      <c r="B4888" t="inlineStr">
        <is>
          <t>隔日到貨🔥 Airpods 保護套1 2 3 pro pro2 A8 耳機套 耳機殼 軟殼 保護殼 藍牙耳機套 蘋果</t>
        </is>
      </c>
      <c r="C4888">
        <f>IMAGE("https://cf.shopee.tw/file/sg-11134201-23010-cx2yfu0n8emvba_tn")</f>
        <v/>
      </c>
      <c r="D4888" t="inlineStr">
        <is>
          <t>2. 波浪粉色蝴蝶結,3代</t>
        </is>
      </c>
      <c r="E4888" t="inlineStr"/>
      <c r="F4888">
        <f>IMAGE("https://cf.shopee.tw/file/sg-11134201-22120-zvixlydyhllv53_tn")</f>
        <v/>
      </c>
    </row>
    <row r="4889">
      <c r="A4889" t="inlineStr">
        <is>
          <t>20669904088</t>
        </is>
      </c>
      <c r="B4889" t="inlineStr">
        <is>
          <t>隔日到貨🔥 Airpods 保護套1 2 3 pro pro2 A8 耳機套 耳機殼 軟殼 保護殼 藍牙耳機套 蘋果</t>
        </is>
      </c>
      <c r="C4889">
        <f>IMAGE("https://cf.shopee.tw/file/sg-11134201-23010-cx2yfu0n8emvba_tn")</f>
        <v/>
      </c>
      <c r="D4889" t="inlineStr">
        <is>
          <t>3. 波浪彩色熊,1代/2代</t>
        </is>
      </c>
      <c r="E4889" t="inlineStr">
        <is>
          <t>183637444857</t>
        </is>
      </c>
      <c r="F4889">
        <f>IMAGE("https://cf.shopee.tw/file/sg-11134201-23010-wd4f3smm8emv1a_tn")</f>
        <v/>
      </c>
    </row>
    <row r="4890">
      <c r="A4890" t="inlineStr">
        <is>
          <t>20669904088</t>
        </is>
      </c>
      <c r="B4890" t="inlineStr">
        <is>
          <t>隔日到貨🔥 Airpods 保護套1 2 3 pro pro2 A8 耳機套 耳機殼 軟殼 保護殼 藍牙耳機套 蘋果</t>
        </is>
      </c>
      <c r="C4890">
        <f>IMAGE("https://cf.shopee.tw/file/sg-11134201-23010-cx2yfu0n8emvba_tn")</f>
        <v/>
      </c>
      <c r="D4890" t="inlineStr">
        <is>
          <t>3. 波浪彩色熊,Pro1代/Pro2代 (通用）</t>
        </is>
      </c>
      <c r="E4890" t="inlineStr">
        <is>
          <t>183637444852</t>
        </is>
      </c>
      <c r="F4890">
        <f>IMAGE("https://cf.shopee.tw/file/sg-11134201-23010-wd4f3smm8emv1a_tn")</f>
        <v/>
      </c>
    </row>
    <row r="4891">
      <c r="A4891" t="inlineStr">
        <is>
          <t>20669904088</t>
        </is>
      </c>
      <c r="B4891" t="inlineStr">
        <is>
          <t>隔日到貨🔥 Airpods 保護套1 2 3 pro pro2 A8 耳機套 耳機殼 軟殼 保護殼 藍牙耳機套 蘋果</t>
        </is>
      </c>
      <c r="C4891">
        <f>IMAGE("https://cf.shopee.tw/file/sg-11134201-23010-cx2yfu0n8emvba_tn")</f>
        <v/>
      </c>
      <c r="D4891" t="inlineStr">
        <is>
          <t>3. 波浪彩色熊,3代</t>
        </is>
      </c>
      <c r="E4891" t="inlineStr">
        <is>
          <t>193690639072</t>
        </is>
      </c>
      <c r="F4891">
        <f>IMAGE("https://cf.shopee.tw/file/sg-11134201-23010-wd4f3smm8emv1a_tn")</f>
        <v/>
      </c>
    </row>
    <row r="4892">
      <c r="A4892" t="inlineStr">
        <is>
          <t>20669904088</t>
        </is>
      </c>
      <c r="B4892" t="inlineStr">
        <is>
          <t>隔日到貨🔥 Airpods 保護套1 2 3 pro pro2 A8 耳機套 耳機殼 軟殼 保護殼 藍牙耳機套 蘋果</t>
        </is>
      </c>
      <c r="C4892">
        <f>IMAGE("https://cf.shopee.tw/file/sg-11134201-23010-cx2yfu0n8emvba_tn")</f>
        <v/>
      </c>
      <c r="D4892" t="inlineStr">
        <is>
          <t>4. 波浪藍鴨子,1代/2代</t>
        </is>
      </c>
      <c r="E4892" t="inlineStr"/>
      <c r="F4892">
        <f>IMAGE("https://cf.shopee.tw/file/sg-11134201-22120-mtivyq4xhllv7d_tn")</f>
        <v/>
      </c>
    </row>
    <row r="4893">
      <c r="A4893" t="inlineStr">
        <is>
          <t>20669904088</t>
        </is>
      </c>
      <c r="B4893" t="inlineStr">
        <is>
          <t>隔日到貨🔥 Airpods 保護套1 2 3 pro pro2 A8 耳機套 耳機殼 軟殼 保護殼 藍牙耳機套 蘋果</t>
        </is>
      </c>
      <c r="C4893">
        <f>IMAGE("https://cf.shopee.tw/file/sg-11134201-23010-cx2yfu0n8emvba_tn")</f>
        <v/>
      </c>
      <c r="D4893" t="inlineStr">
        <is>
          <t>4. 波浪藍鴨子,Pro1代/Pro2代 (通用）</t>
        </is>
      </c>
      <c r="E4893" t="inlineStr"/>
      <c r="F4893">
        <f>IMAGE("https://cf.shopee.tw/file/sg-11134201-22120-mtivyq4xhllv7d_tn")</f>
        <v/>
      </c>
    </row>
    <row r="4894">
      <c r="A4894" t="inlineStr">
        <is>
          <t>20669904088</t>
        </is>
      </c>
      <c r="B4894" t="inlineStr">
        <is>
          <t>隔日到貨🔥 Airpods 保護套1 2 3 pro pro2 A8 耳機套 耳機殼 軟殼 保護殼 藍牙耳機套 蘋果</t>
        </is>
      </c>
      <c r="C4894">
        <f>IMAGE("https://cf.shopee.tw/file/sg-11134201-23010-cx2yfu0n8emvba_tn")</f>
        <v/>
      </c>
      <c r="D4894" t="inlineStr">
        <is>
          <t>4. 波浪藍鴨子,3代</t>
        </is>
      </c>
      <c r="E4894" t="inlineStr"/>
      <c r="F4894">
        <f>IMAGE("https://cf.shopee.tw/file/sg-11134201-22120-mtivyq4xhllv7d_tn")</f>
        <v/>
      </c>
    </row>
    <row r="4895">
      <c r="A4895" t="inlineStr">
        <is>
          <t>23982663169</t>
        </is>
      </c>
      <c r="B4895" t="inlineStr">
        <is>
          <t>隔日到貨🔥 大容量 背包 後背包 學生後背包 筆電背包 電腦背包 B48 防潑水 減壓背帶 雙肩包 15.6吋 筆電</t>
        </is>
      </c>
      <c r="C4895">
        <f>IMAGE("https://cf.shopee.tw/file/tw-11134207-7r98q-lmmywhbfbvyz18_tn")</f>
        <v/>
      </c>
      <c r="D4895" t="inlineStr">
        <is>
          <t>白色 （不含掛件）</t>
        </is>
      </c>
      <c r="E4895" t="inlineStr"/>
      <c r="F4895">
        <f>IMAGE("https://cf.shopee.tw/file/tw-11134207-7r991-lmlkiyo8gtjv72_tn")</f>
        <v/>
      </c>
    </row>
    <row r="4896">
      <c r="A4896" t="inlineStr">
        <is>
          <t>23982663169</t>
        </is>
      </c>
      <c r="B4896" t="inlineStr">
        <is>
          <t>隔日到貨🔥 大容量 背包 後背包 學生後背包 筆電背包 電腦背包 B48 防潑水 減壓背帶 雙肩包 15.6吋 筆電</t>
        </is>
      </c>
      <c r="C4896">
        <f>IMAGE("https://cf.shopee.tw/file/tw-11134207-7r98q-lmmywhbfbvyz18_tn")</f>
        <v/>
      </c>
      <c r="D4896" t="inlineStr">
        <is>
          <t>藍色 （不含掛件）</t>
        </is>
      </c>
      <c r="E4896" t="inlineStr"/>
      <c r="F4896">
        <f>IMAGE("https://cf.shopee.tw/file/tw-11134207-7r98v-lmlkiyo8gtqx1b_tn")</f>
        <v/>
      </c>
    </row>
    <row r="4897">
      <c r="A4897" t="inlineStr">
        <is>
          <t>23982663169</t>
        </is>
      </c>
      <c r="B4897" t="inlineStr">
        <is>
          <t>隔日到貨🔥 大容量 背包 後背包 學生後背包 筆電背包 電腦背包 B48 防潑水 減壓背帶 雙肩包 15.6吋 筆電</t>
        </is>
      </c>
      <c r="C4897">
        <f>IMAGE("https://cf.shopee.tw/file/tw-11134207-7r98q-lmmywhbfbvyz18_tn")</f>
        <v/>
      </c>
      <c r="D4897" t="inlineStr">
        <is>
          <t>黑色 （不含掛件）</t>
        </is>
      </c>
      <c r="E4897" t="inlineStr"/>
      <c r="F4897">
        <f>IMAGE("https://cf.shopee.tw/file/tw-11134207-7r98x-lmlkiyo8w9zt02_tn")</f>
        <v/>
      </c>
    </row>
    <row r="4898">
      <c r="A4898" t="inlineStr">
        <is>
          <t>23982663169</t>
        </is>
      </c>
      <c r="B4898" t="inlineStr">
        <is>
          <t>隔日到貨🔥 大容量 背包 後背包 學生後背包 筆電背包 電腦背包 B48 防潑水 減壓背帶 雙肩包 15.6吋 筆電</t>
        </is>
      </c>
      <c r="C4898">
        <f>IMAGE("https://cf.shopee.tw/file/tw-11134207-7r98q-lmmywhbfbvyz18_tn")</f>
        <v/>
      </c>
      <c r="D4898" t="inlineStr">
        <is>
          <t>紫色 （不含掛件）</t>
        </is>
      </c>
      <c r="E4898" t="inlineStr">
        <is>
          <t>207086393900</t>
        </is>
      </c>
      <c r="F4898">
        <f>IMAGE("https://cf.shopee.tw/file/tw-11134207-7r98u-lmlkiyo8w9srfb_tn")</f>
        <v/>
      </c>
    </row>
    <row r="4899">
      <c r="A4899" t="inlineStr">
        <is>
          <t>9635638491</t>
        </is>
      </c>
      <c r="B4899" t="inlineStr">
        <is>
          <t>隔日到貨🔥 iPhone 手機殼 16 15 14 13 12 11 XS XR SE X 7 8 保護殼 軟殼 蘋果</t>
        </is>
      </c>
      <c r="C4899">
        <f>IMAGE("https://cf.shopee.tw/file/d94c5ea2cbf3eb9e01c24b572c907495_tn")</f>
        <v/>
      </c>
      <c r="D4899" t="inlineStr">
        <is>
          <t>懶,12</t>
        </is>
      </c>
      <c r="E4899" t="inlineStr"/>
      <c r="F4899">
        <f>IMAGE("https://cf.shopee.tw/file/f8bedfb899f4c2abef687f142dd8135c_tn")</f>
        <v/>
      </c>
    </row>
    <row r="4900">
      <c r="A4900" t="inlineStr">
        <is>
          <t>9635638491</t>
        </is>
      </c>
      <c r="B4900" t="inlineStr">
        <is>
          <t>隔日到貨🔥 iPhone 手機殼 16 15 14 13 12 11 XS XR SE X 7 8 保護殼 軟殼 蘋果</t>
        </is>
      </c>
      <c r="C4900">
        <f>IMAGE("https://cf.shopee.tw/file/d94c5ea2cbf3eb9e01c24b572c907495_tn")</f>
        <v/>
      </c>
      <c r="D4900" t="inlineStr">
        <is>
          <t>嗯,7Plus / 8Plus</t>
        </is>
      </c>
      <c r="E4900" t="inlineStr"/>
      <c r="F4900">
        <f>IMAGE("https://cf.shopee.tw/file/0ef29c665174b5b3f025ac6d259a309c_tn")</f>
        <v/>
      </c>
    </row>
    <row r="4901">
      <c r="A4901" t="inlineStr">
        <is>
          <t>9635638491</t>
        </is>
      </c>
      <c r="B4901" t="inlineStr">
        <is>
          <t>隔日到貨🔥 iPhone 手機殼 16 15 14 13 12 11 XS XR SE X 7 8 保護殼 軟殼 蘋果</t>
        </is>
      </c>
      <c r="C4901">
        <f>IMAGE("https://cf.shopee.tw/file/d94c5ea2cbf3eb9e01c24b572c907495_tn")</f>
        <v/>
      </c>
      <c r="D4901" t="inlineStr">
        <is>
          <t>嗯,XR</t>
        </is>
      </c>
      <c r="E4901" t="inlineStr"/>
      <c r="F4901">
        <f>IMAGE("https://cf.shopee.tw/file/0ef29c665174b5b3f025ac6d259a309c_tn")</f>
        <v/>
      </c>
    </row>
    <row r="4902">
      <c r="A4902" t="inlineStr">
        <is>
          <t>9635638491</t>
        </is>
      </c>
      <c r="B4902" t="inlineStr">
        <is>
          <t>隔日到貨🔥 iPhone 手機殼 16 15 14 13 12 11 XS XR SE X 7 8 保護殼 軟殼 蘋果</t>
        </is>
      </c>
      <c r="C4902">
        <f>IMAGE("https://cf.shopee.tw/file/d94c5ea2cbf3eb9e01c24b572c907495_tn")</f>
        <v/>
      </c>
      <c r="D4902" t="inlineStr">
        <is>
          <t>嗯,11</t>
        </is>
      </c>
      <c r="E4902" t="inlineStr"/>
      <c r="F4902">
        <f>IMAGE("https://cf.shopee.tw/file/0ef29c665174b5b3f025ac6d259a309c_tn")</f>
        <v/>
      </c>
    </row>
    <row r="4903">
      <c r="A4903" t="inlineStr">
        <is>
          <t>9635638491</t>
        </is>
      </c>
      <c r="B4903" t="inlineStr">
        <is>
          <t>隔日到貨🔥 iPhone 手機殼 16 15 14 13 12 11 XS XR SE X 7 8 保護殼 軟殼 蘋果</t>
        </is>
      </c>
      <c r="C4903">
        <f>IMAGE("https://cf.shopee.tw/file/d94c5ea2cbf3eb9e01c24b572c907495_tn")</f>
        <v/>
      </c>
      <c r="D4903" t="inlineStr">
        <is>
          <t>懶,7 / 8 / SE2 / SE3</t>
        </is>
      </c>
      <c r="E4903" t="inlineStr"/>
      <c r="F4903">
        <f>IMAGE("https://cf.shopee.tw/file/f8bedfb899f4c2abef687f142dd8135c_tn")</f>
        <v/>
      </c>
    </row>
    <row r="4904">
      <c r="A4904" t="inlineStr">
        <is>
          <t>9635638491</t>
        </is>
      </c>
      <c r="B4904" t="inlineStr">
        <is>
          <t>隔日到貨🔥 iPhone 手機殼 16 15 14 13 12 11 XS XR SE X 7 8 保護殼 軟殼 蘋果</t>
        </is>
      </c>
      <c r="C4904">
        <f>IMAGE("https://cf.shopee.tw/file/d94c5ea2cbf3eb9e01c24b572c907495_tn")</f>
        <v/>
      </c>
      <c r="D4904" t="inlineStr">
        <is>
          <t>懶,7Plus / 8Plus</t>
        </is>
      </c>
      <c r="E4904" t="inlineStr"/>
      <c r="F4904">
        <f>IMAGE("https://cf.shopee.tw/file/f8bedfb899f4c2abef687f142dd8135c_tn")</f>
        <v/>
      </c>
    </row>
    <row r="4905">
      <c r="A4905" t="inlineStr">
        <is>
          <t>9635638491</t>
        </is>
      </c>
      <c r="B4905" t="inlineStr">
        <is>
          <t>隔日到貨🔥 iPhone 手機殼 16 15 14 13 12 11 XS XR SE X 7 8 保護殼 軟殼 蘋果</t>
        </is>
      </c>
      <c r="C4905">
        <f>IMAGE("https://cf.shopee.tw/file/d94c5ea2cbf3eb9e01c24b572c907495_tn")</f>
        <v/>
      </c>
      <c r="D4905" t="inlineStr">
        <is>
          <t>懶,X / XS</t>
        </is>
      </c>
      <c r="E4905" t="inlineStr"/>
      <c r="F4905">
        <f>IMAGE("https://cf.shopee.tw/file/f8bedfb899f4c2abef687f142dd8135c_tn")</f>
        <v/>
      </c>
    </row>
    <row r="4906">
      <c r="A4906" t="inlineStr">
        <is>
          <t>9635638491</t>
        </is>
      </c>
      <c r="B4906" t="inlineStr">
        <is>
          <t>隔日到貨🔥 iPhone 手機殼 16 15 14 13 12 11 XS XR SE X 7 8 保護殼 軟殼 蘋果</t>
        </is>
      </c>
      <c r="C4906">
        <f>IMAGE("https://cf.shopee.tw/file/d94c5ea2cbf3eb9e01c24b572c907495_tn")</f>
        <v/>
      </c>
      <c r="D4906" t="inlineStr">
        <is>
          <t>懶,XR</t>
        </is>
      </c>
      <c r="E4906" t="inlineStr">
        <is>
          <t>25108990386</t>
        </is>
      </c>
      <c r="F4906">
        <f>IMAGE("https://cf.shopee.tw/file/f8bedfb899f4c2abef687f142dd8135c_tn")</f>
        <v/>
      </c>
    </row>
    <row r="4907">
      <c r="A4907" t="inlineStr">
        <is>
          <t>9635638491</t>
        </is>
      </c>
      <c r="B4907" t="inlineStr">
        <is>
          <t>隔日到貨🔥 iPhone 手機殼 16 15 14 13 12 11 XS XR SE X 7 8 保護殼 軟殼 蘋果</t>
        </is>
      </c>
      <c r="C4907">
        <f>IMAGE("https://cf.shopee.tw/file/d94c5ea2cbf3eb9e01c24b572c907495_tn")</f>
        <v/>
      </c>
      <c r="D4907" t="inlineStr">
        <is>
          <t>懶,11</t>
        </is>
      </c>
      <c r="E4907" t="inlineStr"/>
      <c r="F4907">
        <f>IMAGE("https://cf.shopee.tw/file/f8bedfb899f4c2abef687f142dd8135c_tn")</f>
        <v/>
      </c>
    </row>
    <row r="4908">
      <c r="A4908" t="inlineStr">
        <is>
          <t>9635638491</t>
        </is>
      </c>
      <c r="B4908" t="inlineStr">
        <is>
          <t>隔日到貨🔥 iPhone 手機殼 16 15 14 13 12 11 XS XR SE X 7 8 保護殼 軟殼 蘋果</t>
        </is>
      </c>
      <c r="C4908">
        <f>IMAGE("https://cf.shopee.tw/file/d94c5ea2cbf3eb9e01c24b572c907495_tn")</f>
        <v/>
      </c>
      <c r="D4908" t="inlineStr">
        <is>
          <t>懶,12 pro</t>
        </is>
      </c>
      <c r="E4908" t="inlineStr">
        <is>
          <t>25108990387</t>
        </is>
      </c>
      <c r="F4908">
        <f>IMAGE("https://cf.shopee.tw/file/f8bedfb899f4c2abef687f142dd8135c_tn")</f>
        <v/>
      </c>
    </row>
    <row r="4909">
      <c r="A4909" t="inlineStr">
        <is>
          <t>9635638491</t>
        </is>
      </c>
      <c r="B4909" t="inlineStr">
        <is>
          <t>隔日到貨🔥 iPhone 手機殼 16 15 14 13 12 11 XS XR SE X 7 8 保護殼 軟殼 蘋果</t>
        </is>
      </c>
      <c r="C4909">
        <f>IMAGE("https://cf.shopee.tw/file/d94c5ea2cbf3eb9e01c24b572c907495_tn")</f>
        <v/>
      </c>
      <c r="D4909" t="inlineStr">
        <is>
          <t>懶,12 mini</t>
        </is>
      </c>
      <c r="E4909" t="inlineStr"/>
      <c r="F4909">
        <f>IMAGE("https://cf.shopee.tw/file/f8bedfb899f4c2abef687f142dd8135c_tn")</f>
        <v/>
      </c>
    </row>
    <row r="4910">
      <c r="A4910" t="inlineStr">
        <is>
          <t>9635638491</t>
        </is>
      </c>
      <c r="B4910" t="inlineStr">
        <is>
          <t>隔日到貨🔥 iPhone 手機殼 16 15 14 13 12 11 XS XR SE X 7 8 保護殼 軟殼 蘋果</t>
        </is>
      </c>
      <c r="C4910">
        <f>IMAGE("https://cf.shopee.tw/file/d94c5ea2cbf3eb9e01c24b572c907495_tn")</f>
        <v/>
      </c>
      <c r="D4910" t="inlineStr">
        <is>
          <t>懶,12 pro Max</t>
        </is>
      </c>
      <c r="E4910" t="inlineStr"/>
      <c r="F4910">
        <f>IMAGE("https://cf.shopee.tw/file/f8bedfb899f4c2abef687f142dd8135c_tn")</f>
        <v/>
      </c>
    </row>
    <row r="4911">
      <c r="A4911" t="inlineStr">
        <is>
          <t>9635638491</t>
        </is>
      </c>
      <c r="B4911" t="inlineStr">
        <is>
          <t>隔日到貨🔥 iPhone 手機殼 16 15 14 13 12 11 XS XR SE X 7 8 保護殼 軟殼 蘋果</t>
        </is>
      </c>
      <c r="C4911">
        <f>IMAGE("https://cf.shopee.tw/file/d94c5ea2cbf3eb9e01c24b572c907495_tn")</f>
        <v/>
      </c>
      <c r="D4911" t="inlineStr">
        <is>
          <t>懶,13</t>
        </is>
      </c>
      <c r="E4911" t="inlineStr"/>
      <c r="F4911">
        <f>IMAGE("https://cf.shopee.tw/file/f8bedfb899f4c2abef687f142dd8135c_tn")</f>
        <v/>
      </c>
    </row>
    <row r="4912">
      <c r="A4912" t="inlineStr">
        <is>
          <t>9635638491</t>
        </is>
      </c>
      <c r="B4912" t="inlineStr">
        <is>
          <t>隔日到貨🔥 iPhone 手機殼 16 15 14 13 12 11 XS XR SE X 7 8 保護殼 軟殼 蘋果</t>
        </is>
      </c>
      <c r="C4912">
        <f>IMAGE("https://cf.shopee.tw/file/d94c5ea2cbf3eb9e01c24b572c907495_tn")</f>
        <v/>
      </c>
      <c r="D4912" t="inlineStr">
        <is>
          <t>懶,13 pro</t>
        </is>
      </c>
      <c r="E4912" t="inlineStr"/>
      <c r="F4912">
        <f>IMAGE("https://cf.shopee.tw/file/f8bedfb899f4c2abef687f142dd8135c_tn")</f>
        <v/>
      </c>
    </row>
    <row r="4913">
      <c r="A4913" t="inlineStr">
        <is>
          <t>9635638491</t>
        </is>
      </c>
      <c r="B4913" t="inlineStr">
        <is>
          <t>隔日到貨🔥 iPhone 手機殼 16 15 14 13 12 11 XS XR SE X 7 8 保護殼 軟殼 蘋果</t>
        </is>
      </c>
      <c r="C4913">
        <f>IMAGE("https://cf.shopee.tw/file/d94c5ea2cbf3eb9e01c24b572c907495_tn")</f>
        <v/>
      </c>
      <c r="D4913" t="inlineStr">
        <is>
          <t>懶,13 Pro Max</t>
        </is>
      </c>
      <c r="E4913" t="inlineStr"/>
      <c r="F4913">
        <f>IMAGE("https://cf.shopee.tw/file/f8bedfb899f4c2abef687f142dd8135c_tn")</f>
        <v/>
      </c>
    </row>
    <row r="4914">
      <c r="A4914" t="inlineStr">
        <is>
          <t>9635638491</t>
        </is>
      </c>
      <c r="B4914" t="inlineStr">
        <is>
          <t>隔日到貨🔥 iPhone 手機殼 16 15 14 13 12 11 XS XR SE X 7 8 保護殼 軟殼 蘋果</t>
        </is>
      </c>
      <c r="C4914">
        <f>IMAGE("https://cf.shopee.tw/file/d94c5ea2cbf3eb9e01c24b572c907495_tn")</f>
        <v/>
      </c>
      <c r="D4914" t="inlineStr">
        <is>
          <t>懶,13 mini</t>
        </is>
      </c>
      <c r="E4914" t="inlineStr"/>
      <c r="F4914">
        <f>IMAGE("https://cf.shopee.tw/file/f8bedfb899f4c2abef687f142dd8135c_tn")</f>
        <v/>
      </c>
    </row>
    <row r="4915">
      <c r="A4915" t="inlineStr">
        <is>
          <t>9635638491</t>
        </is>
      </c>
      <c r="B4915" t="inlineStr">
        <is>
          <t>隔日到貨🔥 iPhone 手機殼 16 15 14 13 12 11 XS XR SE X 7 8 保護殼 軟殼 蘋果</t>
        </is>
      </c>
      <c r="C4915">
        <f>IMAGE("https://cf.shopee.tw/file/d94c5ea2cbf3eb9e01c24b572c907495_tn")</f>
        <v/>
      </c>
      <c r="D4915" t="inlineStr">
        <is>
          <t>懶,14</t>
        </is>
      </c>
      <c r="E4915" t="inlineStr"/>
      <c r="F4915">
        <f>IMAGE("https://cf.shopee.tw/file/f8bedfb899f4c2abef687f142dd8135c_tn")</f>
        <v/>
      </c>
    </row>
    <row r="4916">
      <c r="A4916" t="inlineStr">
        <is>
          <t>9635638491</t>
        </is>
      </c>
      <c r="B4916" t="inlineStr">
        <is>
          <t>隔日到貨🔥 iPhone 手機殼 16 15 14 13 12 11 XS XR SE X 7 8 保護殼 軟殼 蘋果</t>
        </is>
      </c>
      <c r="C4916">
        <f>IMAGE("https://cf.shopee.tw/file/d94c5ea2cbf3eb9e01c24b572c907495_tn")</f>
        <v/>
      </c>
      <c r="D4916" t="inlineStr">
        <is>
          <t>懶,14 plus</t>
        </is>
      </c>
      <c r="E4916" t="inlineStr"/>
      <c r="F4916">
        <f>IMAGE("https://cf.shopee.tw/file/f8bedfb899f4c2abef687f142dd8135c_tn")</f>
        <v/>
      </c>
    </row>
    <row r="4917">
      <c r="A4917" t="inlineStr">
        <is>
          <t>9635638491</t>
        </is>
      </c>
      <c r="B4917" t="inlineStr">
        <is>
          <t>隔日到貨🔥 iPhone 手機殼 16 15 14 13 12 11 XS XR SE X 7 8 保護殼 軟殼 蘋果</t>
        </is>
      </c>
      <c r="C4917">
        <f>IMAGE("https://cf.shopee.tw/file/d94c5ea2cbf3eb9e01c24b572c907495_tn")</f>
        <v/>
      </c>
      <c r="D4917" t="inlineStr">
        <is>
          <t>懶,14 pro</t>
        </is>
      </c>
      <c r="E4917" t="inlineStr">
        <is>
          <t>203081730051</t>
        </is>
      </c>
      <c r="F4917">
        <f>IMAGE("https://cf.shopee.tw/file/f8bedfb899f4c2abef687f142dd8135c_tn")</f>
        <v/>
      </c>
    </row>
    <row r="4918">
      <c r="A4918" t="inlineStr">
        <is>
          <t>9635638491</t>
        </is>
      </c>
      <c r="B4918" t="inlineStr">
        <is>
          <t>隔日到貨🔥 iPhone 手機殼 16 15 14 13 12 11 XS XR SE X 7 8 保護殼 軟殼 蘋果</t>
        </is>
      </c>
      <c r="C4918">
        <f>IMAGE("https://cf.shopee.tw/file/d94c5ea2cbf3eb9e01c24b572c907495_tn")</f>
        <v/>
      </c>
      <c r="D4918" t="inlineStr">
        <is>
          <t>懶,14 pro Max</t>
        </is>
      </c>
      <c r="E4918" t="inlineStr">
        <is>
          <t>203081730048</t>
        </is>
      </c>
      <c r="F4918">
        <f>IMAGE("https://cf.shopee.tw/file/f8bedfb899f4c2abef687f142dd8135c_tn")</f>
        <v/>
      </c>
    </row>
    <row r="4919">
      <c r="A4919" t="inlineStr">
        <is>
          <t>9635638491</t>
        </is>
      </c>
      <c r="B4919" t="inlineStr">
        <is>
          <t>隔日到貨🔥 iPhone 手機殼 16 15 14 13 12 11 XS XR SE X 7 8 保護殼 軟殼 蘋果</t>
        </is>
      </c>
      <c r="C4919">
        <f>IMAGE("https://cf.shopee.tw/file/d94c5ea2cbf3eb9e01c24b572c907495_tn")</f>
        <v/>
      </c>
      <c r="D4919" t="inlineStr">
        <is>
          <t>懶,15</t>
        </is>
      </c>
      <c r="E4919" t="inlineStr"/>
      <c r="F4919">
        <f>IMAGE("https://cf.shopee.tw/file/f8bedfb899f4c2abef687f142dd8135c_tn")</f>
        <v/>
      </c>
    </row>
    <row r="4920">
      <c r="A4920" t="inlineStr">
        <is>
          <t>9635638491</t>
        </is>
      </c>
      <c r="B4920" t="inlineStr">
        <is>
          <t>隔日到貨🔥 iPhone 手機殼 16 15 14 13 12 11 XS XR SE X 7 8 保護殼 軟殼 蘋果</t>
        </is>
      </c>
      <c r="C4920">
        <f>IMAGE("https://cf.shopee.tw/file/d94c5ea2cbf3eb9e01c24b572c907495_tn")</f>
        <v/>
      </c>
      <c r="D4920" t="inlineStr">
        <is>
          <t>懶,15 Plus</t>
        </is>
      </c>
      <c r="E4920" t="inlineStr"/>
      <c r="F4920">
        <f>IMAGE("https://cf.shopee.tw/file/f8bedfb899f4c2abef687f142dd8135c_tn")</f>
        <v/>
      </c>
    </row>
    <row r="4921">
      <c r="A4921" t="inlineStr">
        <is>
          <t>9635638491</t>
        </is>
      </c>
      <c r="B4921" t="inlineStr">
        <is>
          <t>隔日到貨🔥 iPhone 手機殼 16 15 14 13 12 11 XS XR SE X 7 8 保護殼 軟殼 蘋果</t>
        </is>
      </c>
      <c r="C4921">
        <f>IMAGE("https://cf.shopee.tw/file/d94c5ea2cbf3eb9e01c24b572c907495_tn")</f>
        <v/>
      </c>
      <c r="D4921" t="inlineStr">
        <is>
          <t>懶,15 pro</t>
        </is>
      </c>
      <c r="E4921" t="inlineStr">
        <is>
          <t>148367323595</t>
        </is>
      </c>
      <c r="F4921">
        <f>IMAGE("https://cf.shopee.tw/file/f8bedfb899f4c2abef687f142dd8135c_tn")</f>
        <v/>
      </c>
    </row>
    <row r="4922">
      <c r="A4922" t="inlineStr">
        <is>
          <t>9635638491</t>
        </is>
      </c>
      <c r="B4922" t="inlineStr">
        <is>
          <t>隔日到貨🔥 iPhone 手機殼 16 15 14 13 12 11 XS XR SE X 7 8 保護殼 軟殼 蘋果</t>
        </is>
      </c>
      <c r="C4922">
        <f>IMAGE("https://cf.shopee.tw/file/d94c5ea2cbf3eb9e01c24b572c907495_tn")</f>
        <v/>
      </c>
      <c r="D4922" t="inlineStr">
        <is>
          <t>懶,15 pro Max</t>
        </is>
      </c>
      <c r="E4922" t="inlineStr"/>
      <c r="F4922">
        <f>IMAGE("https://cf.shopee.tw/file/f8bedfb899f4c2abef687f142dd8135c_tn")</f>
        <v/>
      </c>
    </row>
    <row r="4923">
      <c r="A4923" t="inlineStr">
        <is>
          <t>9635638491</t>
        </is>
      </c>
      <c r="B4923" t="inlineStr">
        <is>
          <t>隔日到貨🔥 iPhone 手機殼 16 15 14 13 12 11 XS XR SE X 7 8 保護殼 軟殼 蘋果</t>
        </is>
      </c>
      <c r="C4923">
        <f>IMAGE("https://cf.shopee.tw/file/d94c5ea2cbf3eb9e01c24b572c907495_tn")</f>
        <v/>
      </c>
      <c r="D4923" t="inlineStr">
        <is>
          <t>懶,16</t>
        </is>
      </c>
      <c r="E4923" t="inlineStr">
        <is>
          <t>118475876981</t>
        </is>
      </c>
      <c r="F4923">
        <f>IMAGE("https://cf.shopee.tw/file/f8bedfb899f4c2abef687f142dd8135c_tn")</f>
        <v/>
      </c>
    </row>
    <row r="4924">
      <c r="A4924" t="inlineStr">
        <is>
          <t>9635638491</t>
        </is>
      </c>
      <c r="B4924" t="inlineStr">
        <is>
          <t>隔日到貨🔥 iPhone 手機殼 16 15 14 13 12 11 XS XR SE X 7 8 保護殼 軟殼 蘋果</t>
        </is>
      </c>
      <c r="C4924">
        <f>IMAGE("https://cf.shopee.tw/file/d94c5ea2cbf3eb9e01c24b572c907495_tn")</f>
        <v/>
      </c>
      <c r="D4924" t="inlineStr">
        <is>
          <t>懶,16 Plus</t>
        </is>
      </c>
      <c r="E4924" t="inlineStr">
        <is>
          <t>118475876982</t>
        </is>
      </c>
      <c r="F4924">
        <f>IMAGE("https://cf.shopee.tw/file/f8bedfb899f4c2abef687f142dd8135c_tn")</f>
        <v/>
      </c>
    </row>
    <row r="4925">
      <c r="A4925" t="inlineStr">
        <is>
          <t>9635638491</t>
        </is>
      </c>
      <c r="B4925" t="inlineStr">
        <is>
          <t>隔日到貨🔥 iPhone 手機殼 16 15 14 13 12 11 XS XR SE X 7 8 保護殼 軟殼 蘋果</t>
        </is>
      </c>
      <c r="C4925">
        <f>IMAGE("https://cf.shopee.tw/file/d94c5ea2cbf3eb9e01c24b572c907495_tn")</f>
        <v/>
      </c>
      <c r="D4925" t="inlineStr">
        <is>
          <t>懶,16 pro</t>
        </is>
      </c>
      <c r="E4925" t="inlineStr">
        <is>
          <t>118475876983</t>
        </is>
      </c>
      <c r="F4925">
        <f>IMAGE("https://cf.shopee.tw/file/f8bedfb899f4c2abef687f142dd8135c_tn")</f>
        <v/>
      </c>
    </row>
    <row r="4926">
      <c r="A4926" t="inlineStr">
        <is>
          <t>9635638491</t>
        </is>
      </c>
      <c r="B4926" t="inlineStr">
        <is>
          <t>隔日到貨🔥 iPhone 手機殼 16 15 14 13 12 11 XS XR SE X 7 8 保護殼 軟殼 蘋果</t>
        </is>
      </c>
      <c r="C4926">
        <f>IMAGE("https://cf.shopee.tw/file/d94c5ea2cbf3eb9e01c24b572c907495_tn")</f>
        <v/>
      </c>
      <c r="D4926" t="inlineStr">
        <is>
          <t>懶,16 pro Max</t>
        </is>
      </c>
      <c r="E4926" t="inlineStr"/>
      <c r="F4926">
        <f>IMAGE("https://cf.shopee.tw/file/f8bedfb899f4c2abef687f142dd8135c_tn")</f>
        <v/>
      </c>
    </row>
    <row r="4927">
      <c r="A4927" t="inlineStr">
        <is>
          <t>9635638491</t>
        </is>
      </c>
      <c r="B4927" t="inlineStr">
        <is>
          <t>隔日到貨🔥 iPhone 手機殼 16 15 14 13 12 11 XS XR SE X 7 8 保護殼 軟殼 蘋果</t>
        </is>
      </c>
      <c r="C4927">
        <f>IMAGE("https://cf.shopee.tw/file/d94c5ea2cbf3eb9e01c24b572c907495_tn")</f>
        <v/>
      </c>
      <c r="D4927" t="inlineStr">
        <is>
          <t>嗯,7 / 8 / SE2 / SE3</t>
        </is>
      </c>
      <c r="E4927" t="inlineStr"/>
      <c r="F4927">
        <f>IMAGE("https://cf.shopee.tw/file/0ef29c665174b5b3f025ac6d259a309c_tn")</f>
        <v/>
      </c>
    </row>
    <row r="4928">
      <c r="A4928" t="inlineStr">
        <is>
          <t>9635638491</t>
        </is>
      </c>
      <c r="B4928" t="inlineStr">
        <is>
          <t>隔日到貨🔥 iPhone 手機殼 16 15 14 13 12 11 XS XR SE X 7 8 保護殼 軟殼 蘋果</t>
        </is>
      </c>
      <c r="C4928">
        <f>IMAGE("https://cf.shopee.tw/file/d94c5ea2cbf3eb9e01c24b572c907495_tn")</f>
        <v/>
      </c>
      <c r="D4928" t="inlineStr">
        <is>
          <t>嗯,X / XS</t>
        </is>
      </c>
      <c r="E4928" t="inlineStr"/>
      <c r="F4928">
        <f>IMAGE("https://cf.shopee.tw/file/0ef29c665174b5b3f025ac6d259a309c_tn")</f>
        <v/>
      </c>
    </row>
    <row r="4929">
      <c r="A4929" t="inlineStr">
        <is>
          <t>9635638491</t>
        </is>
      </c>
      <c r="B4929" t="inlineStr">
        <is>
          <t>隔日到貨🔥 iPhone 手機殼 16 15 14 13 12 11 XS XR SE X 7 8 保護殼 軟殼 蘋果</t>
        </is>
      </c>
      <c r="C4929">
        <f>IMAGE("https://cf.shopee.tw/file/d94c5ea2cbf3eb9e01c24b572c907495_tn")</f>
        <v/>
      </c>
      <c r="D4929" t="inlineStr">
        <is>
          <t>嗯,12</t>
        </is>
      </c>
      <c r="E4929" t="inlineStr"/>
      <c r="F4929">
        <f>IMAGE("https://cf.shopee.tw/file/0ef29c665174b5b3f025ac6d259a309c_tn")</f>
        <v/>
      </c>
    </row>
    <row r="4930">
      <c r="A4930" t="inlineStr">
        <is>
          <t>9635638491</t>
        </is>
      </c>
      <c r="B4930" t="inlineStr">
        <is>
          <t>隔日到貨🔥 iPhone 手機殼 16 15 14 13 12 11 XS XR SE X 7 8 保護殼 軟殼 蘋果</t>
        </is>
      </c>
      <c r="C4930">
        <f>IMAGE("https://cf.shopee.tw/file/d94c5ea2cbf3eb9e01c24b572c907495_tn")</f>
        <v/>
      </c>
      <c r="D4930" t="inlineStr">
        <is>
          <t>嗯,12 pro</t>
        </is>
      </c>
      <c r="E4930" t="inlineStr"/>
      <c r="F4930">
        <f>IMAGE("https://cf.shopee.tw/file/0ef29c665174b5b3f025ac6d259a309c_tn")</f>
        <v/>
      </c>
    </row>
    <row r="4931">
      <c r="A4931" t="inlineStr">
        <is>
          <t>9635638491</t>
        </is>
      </c>
      <c r="B4931" t="inlineStr">
        <is>
          <t>隔日到貨🔥 iPhone 手機殼 16 15 14 13 12 11 XS XR SE X 7 8 保護殼 軟殼 蘋果</t>
        </is>
      </c>
      <c r="C4931">
        <f>IMAGE("https://cf.shopee.tw/file/d94c5ea2cbf3eb9e01c24b572c907495_tn")</f>
        <v/>
      </c>
      <c r="D4931" t="inlineStr">
        <is>
          <t>嗯,12 mini</t>
        </is>
      </c>
      <c r="E4931" t="inlineStr"/>
      <c r="F4931">
        <f>IMAGE("https://cf.shopee.tw/file/0ef29c665174b5b3f025ac6d259a309c_tn")</f>
        <v/>
      </c>
    </row>
    <row r="4932">
      <c r="A4932" t="inlineStr">
        <is>
          <t>9635638491</t>
        </is>
      </c>
      <c r="B4932" t="inlineStr">
        <is>
          <t>隔日到貨🔥 iPhone 手機殼 16 15 14 13 12 11 XS XR SE X 7 8 保護殼 軟殼 蘋果</t>
        </is>
      </c>
      <c r="C4932">
        <f>IMAGE("https://cf.shopee.tw/file/d94c5ea2cbf3eb9e01c24b572c907495_tn")</f>
        <v/>
      </c>
      <c r="D4932" t="inlineStr">
        <is>
          <t>嗯,12 pro Max</t>
        </is>
      </c>
      <c r="E4932" t="inlineStr"/>
      <c r="F4932">
        <f>IMAGE("https://cf.shopee.tw/file/0ef29c665174b5b3f025ac6d259a309c_tn")</f>
        <v/>
      </c>
    </row>
    <row r="4933">
      <c r="A4933" t="inlineStr">
        <is>
          <t>9635638491</t>
        </is>
      </c>
      <c r="B4933" t="inlineStr">
        <is>
          <t>隔日到貨🔥 iPhone 手機殼 16 15 14 13 12 11 XS XR SE X 7 8 保護殼 軟殼 蘋果</t>
        </is>
      </c>
      <c r="C4933">
        <f>IMAGE("https://cf.shopee.tw/file/d94c5ea2cbf3eb9e01c24b572c907495_tn")</f>
        <v/>
      </c>
      <c r="D4933" t="inlineStr">
        <is>
          <t>嗯,13</t>
        </is>
      </c>
      <c r="E4933" t="inlineStr">
        <is>
          <t>130934877698</t>
        </is>
      </c>
      <c r="F4933">
        <f>IMAGE("https://cf.shopee.tw/file/0ef29c665174b5b3f025ac6d259a309c_tn")</f>
        <v/>
      </c>
    </row>
    <row r="4934">
      <c r="A4934" t="inlineStr">
        <is>
          <t>9635638491</t>
        </is>
      </c>
      <c r="B4934" t="inlineStr">
        <is>
          <t>隔日到貨🔥 iPhone 手機殼 16 15 14 13 12 11 XS XR SE X 7 8 保護殼 軟殼 蘋果</t>
        </is>
      </c>
      <c r="C4934">
        <f>IMAGE("https://cf.shopee.tw/file/d94c5ea2cbf3eb9e01c24b572c907495_tn")</f>
        <v/>
      </c>
      <c r="D4934" t="inlineStr">
        <is>
          <t>嗯,13 pro</t>
        </is>
      </c>
      <c r="E4934" t="inlineStr"/>
      <c r="F4934">
        <f>IMAGE("https://cf.shopee.tw/file/0ef29c665174b5b3f025ac6d259a309c_tn")</f>
        <v/>
      </c>
    </row>
    <row r="4935">
      <c r="A4935" t="inlineStr">
        <is>
          <t>9635638491</t>
        </is>
      </c>
      <c r="B4935" t="inlineStr">
        <is>
          <t>隔日到貨🔥 iPhone 手機殼 16 15 14 13 12 11 XS XR SE X 7 8 保護殼 軟殼 蘋果</t>
        </is>
      </c>
      <c r="C4935">
        <f>IMAGE("https://cf.shopee.tw/file/d94c5ea2cbf3eb9e01c24b572c907495_tn")</f>
        <v/>
      </c>
      <c r="D4935" t="inlineStr">
        <is>
          <t>嗯,13 Pro Max</t>
        </is>
      </c>
      <c r="E4935" t="inlineStr"/>
      <c r="F4935">
        <f>IMAGE("https://cf.shopee.tw/file/0ef29c665174b5b3f025ac6d259a309c_tn")</f>
        <v/>
      </c>
    </row>
    <row r="4936">
      <c r="A4936" t="inlineStr">
        <is>
          <t>9635638491</t>
        </is>
      </c>
      <c r="B4936" t="inlineStr">
        <is>
          <t>隔日到貨🔥 iPhone 手機殼 16 15 14 13 12 11 XS XR SE X 7 8 保護殼 軟殼 蘋果</t>
        </is>
      </c>
      <c r="C4936">
        <f>IMAGE("https://cf.shopee.tw/file/d94c5ea2cbf3eb9e01c24b572c907495_tn")</f>
        <v/>
      </c>
      <c r="D4936" t="inlineStr">
        <is>
          <t>嗯,13 mini</t>
        </is>
      </c>
      <c r="E4936" t="inlineStr"/>
      <c r="F4936">
        <f>IMAGE("https://cf.shopee.tw/file/0ef29c665174b5b3f025ac6d259a309c_tn")</f>
        <v/>
      </c>
    </row>
    <row r="4937">
      <c r="A4937" t="inlineStr">
        <is>
          <t>9635638491</t>
        </is>
      </c>
      <c r="B4937" t="inlineStr">
        <is>
          <t>隔日到貨🔥 iPhone 手機殼 16 15 14 13 12 11 XS XR SE X 7 8 保護殼 軟殼 蘋果</t>
        </is>
      </c>
      <c r="C4937">
        <f>IMAGE("https://cf.shopee.tw/file/d94c5ea2cbf3eb9e01c24b572c907495_tn")</f>
        <v/>
      </c>
      <c r="D4937" t="inlineStr">
        <is>
          <t>嗯,14</t>
        </is>
      </c>
      <c r="E4937" t="inlineStr">
        <is>
          <t>203081730053</t>
        </is>
      </c>
      <c r="F4937">
        <f>IMAGE("https://cf.shopee.tw/file/0ef29c665174b5b3f025ac6d259a309c_tn")</f>
        <v/>
      </c>
    </row>
    <row r="4938">
      <c r="A4938" t="inlineStr">
        <is>
          <t>9635638491</t>
        </is>
      </c>
      <c r="B4938" t="inlineStr">
        <is>
          <t>隔日到貨🔥 iPhone 手機殼 16 15 14 13 12 11 XS XR SE X 7 8 保護殼 軟殼 蘋果</t>
        </is>
      </c>
      <c r="C4938">
        <f>IMAGE("https://cf.shopee.tw/file/d94c5ea2cbf3eb9e01c24b572c907495_tn")</f>
        <v/>
      </c>
      <c r="D4938" t="inlineStr">
        <is>
          <t>嗯,14 plus</t>
        </is>
      </c>
      <c r="E4938" t="inlineStr"/>
      <c r="F4938">
        <f>IMAGE("https://cf.shopee.tw/file/0ef29c665174b5b3f025ac6d259a309c_tn")</f>
        <v/>
      </c>
    </row>
    <row r="4939">
      <c r="A4939" t="inlineStr">
        <is>
          <t>9635638491</t>
        </is>
      </c>
      <c r="B4939" t="inlineStr">
        <is>
          <t>隔日到貨🔥 iPhone 手機殼 16 15 14 13 12 11 XS XR SE X 7 8 保護殼 軟殼 蘋果</t>
        </is>
      </c>
      <c r="C4939">
        <f>IMAGE("https://cf.shopee.tw/file/d94c5ea2cbf3eb9e01c24b572c907495_tn")</f>
        <v/>
      </c>
      <c r="D4939" t="inlineStr">
        <is>
          <t>嗯,14 pro</t>
        </is>
      </c>
      <c r="E4939" t="inlineStr"/>
      <c r="F4939">
        <f>IMAGE("https://cf.shopee.tw/file/0ef29c665174b5b3f025ac6d259a309c_tn")</f>
        <v/>
      </c>
    </row>
    <row r="4940">
      <c r="A4940" t="inlineStr">
        <is>
          <t>9635638491</t>
        </is>
      </c>
      <c r="B4940" t="inlineStr">
        <is>
          <t>隔日到貨🔥 iPhone 手機殼 16 15 14 13 12 11 XS XR SE X 7 8 保護殼 軟殼 蘋果</t>
        </is>
      </c>
      <c r="C4940">
        <f>IMAGE("https://cf.shopee.tw/file/d94c5ea2cbf3eb9e01c24b572c907495_tn")</f>
        <v/>
      </c>
      <c r="D4940" t="inlineStr">
        <is>
          <t>嗯,14 pro Max</t>
        </is>
      </c>
      <c r="E4940" t="inlineStr">
        <is>
          <t>203081730052</t>
        </is>
      </c>
      <c r="F4940">
        <f>IMAGE("https://cf.shopee.tw/file/0ef29c665174b5b3f025ac6d259a309c_tn")</f>
        <v/>
      </c>
    </row>
    <row r="4941">
      <c r="A4941" t="inlineStr">
        <is>
          <t>9635638491</t>
        </is>
      </c>
      <c r="B4941" t="inlineStr">
        <is>
          <t>隔日到貨🔥 iPhone 手機殼 16 15 14 13 12 11 XS XR SE X 7 8 保護殼 軟殼 蘋果</t>
        </is>
      </c>
      <c r="C4941">
        <f>IMAGE("https://cf.shopee.tw/file/d94c5ea2cbf3eb9e01c24b572c907495_tn")</f>
        <v/>
      </c>
      <c r="D4941" t="inlineStr">
        <is>
          <t>嗯,15</t>
        </is>
      </c>
      <c r="E4941" t="inlineStr"/>
      <c r="F4941">
        <f>IMAGE("https://cf.shopee.tw/file/0ef29c665174b5b3f025ac6d259a309c_tn")</f>
        <v/>
      </c>
    </row>
    <row r="4942">
      <c r="A4942" t="inlineStr">
        <is>
          <t>9635638491</t>
        </is>
      </c>
      <c r="B4942" t="inlineStr">
        <is>
          <t>隔日到貨🔥 iPhone 手機殼 16 15 14 13 12 11 XS XR SE X 7 8 保護殼 軟殼 蘋果</t>
        </is>
      </c>
      <c r="C4942">
        <f>IMAGE("https://cf.shopee.tw/file/d94c5ea2cbf3eb9e01c24b572c907495_tn")</f>
        <v/>
      </c>
      <c r="D4942" t="inlineStr">
        <is>
          <t>嗯,15 Plus</t>
        </is>
      </c>
      <c r="E4942" t="inlineStr"/>
      <c r="F4942">
        <f>IMAGE("https://cf.shopee.tw/file/0ef29c665174b5b3f025ac6d259a309c_tn")</f>
        <v/>
      </c>
    </row>
    <row r="4943">
      <c r="A4943" t="inlineStr">
        <is>
          <t>9635638491</t>
        </is>
      </c>
      <c r="B4943" t="inlineStr">
        <is>
          <t>隔日到貨🔥 iPhone 手機殼 16 15 14 13 12 11 XS XR SE X 7 8 保護殼 軟殼 蘋果</t>
        </is>
      </c>
      <c r="C4943">
        <f>IMAGE("https://cf.shopee.tw/file/d94c5ea2cbf3eb9e01c24b572c907495_tn")</f>
        <v/>
      </c>
      <c r="D4943" t="inlineStr">
        <is>
          <t>嗯,15 pro</t>
        </is>
      </c>
      <c r="E4943" t="inlineStr">
        <is>
          <t>148367323598</t>
        </is>
      </c>
      <c r="F4943">
        <f>IMAGE("https://cf.shopee.tw/file/0ef29c665174b5b3f025ac6d259a309c_tn")</f>
        <v/>
      </c>
    </row>
    <row r="4944">
      <c r="A4944" t="inlineStr">
        <is>
          <t>9635638491</t>
        </is>
      </c>
      <c r="B4944" t="inlineStr">
        <is>
          <t>隔日到貨🔥 iPhone 手機殼 16 15 14 13 12 11 XS XR SE X 7 8 保護殼 軟殼 蘋果</t>
        </is>
      </c>
      <c r="C4944">
        <f>IMAGE("https://cf.shopee.tw/file/d94c5ea2cbf3eb9e01c24b572c907495_tn")</f>
        <v/>
      </c>
      <c r="D4944" t="inlineStr">
        <is>
          <t>嗯,15 pro Max</t>
        </is>
      </c>
      <c r="E4944" t="inlineStr"/>
      <c r="F4944">
        <f>IMAGE("https://cf.shopee.tw/file/0ef29c665174b5b3f025ac6d259a309c_tn")</f>
        <v/>
      </c>
    </row>
    <row r="4945">
      <c r="A4945" t="inlineStr">
        <is>
          <t>9635638491</t>
        </is>
      </c>
      <c r="B4945" t="inlineStr">
        <is>
          <t>隔日到貨🔥 iPhone 手機殼 16 15 14 13 12 11 XS XR SE X 7 8 保護殼 軟殼 蘋果</t>
        </is>
      </c>
      <c r="C4945">
        <f>IMAGE("https://cf.shopee.tw/file/d94c5ea2cbf3eb9e01c24b572c907495_tn")</f>
        <v/>
      </c>
      <c r="D4945" t="inlineStr">
        <is>
          <t>嗯,16</t>
        </is>
      </c>
      <c r="E4945" t="inlineStr"/>
      <c r="F4945">
        <f>IMAGE("https://cf.shopee.tw/file/0ef29c665174b5b3f025ac6d259a309c_tn")</f>
        <v/>
      </c>
    </row>
    <row r="4946">
      <c r="A4946" t="inlineStr">
        <is>
          <t>9635638491</t>
        </is>
      </c>
      <c r="B4946" t="inlineStr">
        <is>
          <t>隔日到貨🔥 iPhone 手機殼 16 15 14 13 12 11 XS XR SE X 7 8 保護殼 軟殼 蘋果</t>
        </is>
      </c>
      <c r="C4946">
        <f>IMAGE("https://cf.shopee.tw/file/d94c5ea2cbf3eb9e01c24b572c907495_tn")</f>
        <v/>
      </c>
      <c r="D4946" t="inlineStr">
        <is>
          <t>嗯,16 Plus</t>
        </is>
      </c>
      <c r="E4946" t="inlineStr"/>
      <c r="F4946">
        <f>IMAGE("https://cf.shopee.tw/file/0ef29c665174b5b3f025ac6d259a309c_tn")</f>
        <v/>
      </c>
    </row>
    <row r="4947">
      <c r="A4947" t="inlineStr">
        <is>
          <t>9635638491</t>
        </is>
      </c>
      <c r="B4947" t="inlineStr">
        <is>
          <t>隔日到貨🔥 iPhone 手機殼 16 15 14 13 12 11 XS XR SE X 7 8 保護殼 軟殼 蘋果</t>
        </is>
      </c>
      <c r="C4947">
        <f>IMAGE("https://cf.shopee.tw/file/d94c5ea2cbf3eb9e01c24b572c907495_tn")</f>
        <v/>
      </c>
      <c r="D4947" t="inlineStr">
        <is>
          <t>嗯,16 pro</t>
        </is>
      </c>
      <c r="E4947" t="inlineStr"/>
      <c r="F4947">
        <f>IMAGE("https://cf.shopee.tw/file/0ef29c665174b5b3f025ac6d259a309c_tn")</f>
        <v/>
      </c>
    </row>
    <row r="4948">
      <c r="A4948" t="inlineStr">
        <is>
          <t>9635638491</t>
        </is>
      </c>
      <c r="B4948" t="inlineStr">
        <is>
          <t>隔日到貨🔥 iPhone 手機殼 16 15 14 13 12 11 XS XR SE X 7 8 保護殼 軟殼 蘋果</t>
        </is>
      </c>
      <c r="C4948">
        <f>IMAGE("https://cf.shopee.tw/file/d94c5ea2cbf3eb9e01c24b572c907495_tn")</f>
        <v/>
      </c>
      <c r="D4948" t="inlineStr">
        <is>
          <t>嗯,16 pro Max</t>
        </is>
      </c>
      <c r="E4948" t="inlineStr"/>
      <c r="F4948">
        <f>IMAGE("https://cf.shopee.tw/file/0ef29c665174b5b3f025ac6d259a309c_tn")</f>
        <v/>
      </c>
    </row>
    <row r="4949">
      <c r="A4949" t="inlineStr">
        <is>
          <t>9150720936</t>
        </is>
      </c>
      <c r="B4949" t="inlineStr">
        <is>
          <t>隔日到貨🔥 韓風熱銷款🏆 太空人 吊飾 鑰匙扣 鑰匙圈 汽車鑰匙圈 公仔 掛飾 吊墜 掛鉤 吊環 墜飾</t>
        </is>
      </c>
      <c r="C4949">
        <f>IMAGE("https://cf.shopee.tw/file/sg-11134201-22120-nj47opidlblvdb_tn")</f>
        <v/>
      </c>
      <c r="D4949" t="inlineStr">
        <is>
          <t>6. 恐龍</t>
        </is>
      </c>
      <c r="E4949" t="inlineStr"/>
      <c r="F4949">
        <f>IMAGE("https://cf.shopee.tw/file/bd48265904e9ce31f119d03924a5e30c_tn")</f>
        <v/>
      </c>
    </row>
    <row r="4950">
      <c r="A4950" t="inlineStr">
        <is>
          <t>9150720936</t>
        </is>
      </c>
      <c r="B4950" t="inlineStr">
        <is>
          <t>隔日到貨🔥 韓風熱銷款🏆 太空人 吊飾 鑰匙扣 鑰匙圈 汽車鑰匙圈 公仔 掛飾 吊墜 掛鉤 吊環 墜飾</t>
        </is>
      </c>
      <c r="C4950">
        <f>IMAGE("https://cf.shopee.tw/file/sg-11134201-22120-nj47opidlblvdb_tn")</f>
        <v/>
      </c>
      <c r="D4950" t="inlineStr">
        <is>
          <t>12. 綠色恐龍</t>
        </is>
      </c>
      <c r="E4950" t="inlineStr"/>
      <c r="F4950">
        <f>IMAGE("https://cf.shopee.tw/file/sg-11134201-22120-6r2ekk24kblvb7_tn")</f>
        <v/>
      </c>
    </row>
    <row r="4951">
      <c r="A4951" t="inlineStr">
        <is>
          <t>9150720936</t>
        </is>
      </c>
      <c r="B4951" t="inlineStr">
        <is>
          <t>隔日到貨🔥 韓風熱銷款🏆 太空人 吊飾 鑰匙扣 鑰匙圈 汽車鑰匙圈 公仔 掛飾 吊墜 掛鉤 吊環 墜飾</t>
        </is>
      </c>
      <c r="C4951">
        <f>IMAGE("https://cf.shopee.tw/file/sg-11134201-22120-nj47opidlblvdb_tn")</f>
        <v/>
      </c>
      <c r="D4951" t="inlineStr">
        <is>
          <t>1. 藍色太空人</t>
        </is>
      </c>
      <c r="E4951" t="inlineStr"/>
      <c r="F4951">
        <f>IMAGE("https://cf.shopee.tw/file/b092b22c55a7c6371270bf30f8b1f441_tn")</f>
        <v/>
      </c>
    </row>
    <row r="4952">
      <c r="A4952" t="inlineStr">
        <is>
          <t>9150720936</t>
        </is>
      </c>
      <c r="B4952" t="inlineStr">
        <is>
          <t>隔日到貨🔥 韓風熱銷款🏆 太空人 吊飾 鑰匙扣 鑰匙圈 汽車鑰匙圈 公仔 掛飾 吊墜 掛鉤 吊環 墜飾</t>
        </is>
      </c>
      <c r="C4952">
        <f>IMAGE("https://cf.shopee.tw/file/sg-11134201-22120-nj47opidlblvdb_tn")</f>
        <v/>
      </c>
      <c r="D4952" t="inlineStr">
        <is>
          <t>2. 灰色太空人</t>
        </is>
      </c>
      <c r="E4952" t="inlineStr"/>
      <c r="F4952">
        <f>IMAGE("https://cf.shopee.tw/file/0b3a5bd609782804990cb712b6bd86db_tn")</f>
        <v/>
      </c>
    </row>
    <row r="4953">
      <c r="A4953" t="inlineStr">
        <is>
          <t>9150720936</t>
        </is>
      </c>
      <c r="B4953" t="inlineStr">
        <is>
          <t>隔日到貨🔥 韓風熱銷款🏆 太空人 吊飾 鑰匙扣 鑰匙圈 汽車鑰匙圈 公仔 掛飾 吊墜 掛鉤 吊環 墜飾</t>
        </is>
      </c>
      <c r="C4953">
        <f>IMAGE("https://cf.shopee.tw/file/sg-11134201-22120-nj47opidlblvdb_tn")</f>
        <v/>
      </c>
      <c r="D4953" t="inlineStr">
        <is>
          <t>3. 橘色太空人</t>
        </is>
      </c>
      <c r="E4953" t="inlineStr"/>
      <c r="F4953">
        <f>IMAGE("https://cf.shopee.tw/file/11ace71adacf22e99322f9b0b2d529b8_tn")</f>
        <v/>
      </c>
    </row>
    <row r="4954">
      <c r="A4954" t="inlineStr">
        <is>
          <t>9150720936</t>
        </is>
      </c>
      <c r="B4954" t="inlineStr">
        <is>
          <t>隔日到貨🔥 韓風熱銷款🏆 太空人 吊飾 鑰匙扣 鑰匙圈 汽車鑰匙圈 公仔 掛飾 吊墜 掛鉤 吊環 墜飾</t>
        </is>
      </c>
      <c r="C4954">
        <f>IMAGE("https://cf.shopee.tw/file/sg-11134201-22120-nj47opidlblvdb_tn")</f>
        <v/>
      </c>
      <c r="D4954" t="inlineStr">
        <is>
          <t>4. 黑色太空人</t>
        </is>
      </c>
      <c r="E4954" t="inlineStr">
        <is>
          <t>91757189463</t>
        </is>
      </c>
      <c r="F4954">
        <f>IMAGE("https://cf.shopee.tw/file/0cae2d8756fd98ac9492d4df64247291_tn")</f>
        <v/>
      </c>
    </row>
    <row r="4955">
      <c r="A4955" t="inlineStr">
        <is>
          <t>9150720936</t>
        </is>
      </c>
      <c r="B4955" t="inlineStr">
        <is>
          <t>隔日到貨🔥 韓風熱銷款🏆 太空人 吊飾 鑰匙扣 鑰匙圈 汽車鑰匙圈 公仔 掛飾 吊墜 掛鉤 吊環 墜飾</t>
        </is>
      </c>
      <c r="C4955">
        <f>IMAGE("https://cf.shopee.tw/file/sg-11134201-22120-nj47opidlblvdb_tn")</f>
        <v/>
      </c>
      <c r="D4955" t="inlineStr">
        <is>
          <t>5. 黃色太空人</t>
        </is>
      </c>
      <c r="E4955" t="inlineStr"/>
      <c r="F4955">
        <f>IMAGE("https://cf.shopee.tw/file/22ba5fff763ef3ee7423196e7d0a2712_tn")</f>
        <v/>
      </c>
    </row>
    <row r="4956">
      <c r="A4956" t="inlineStr">
        <is>
          <t>9150720936</t>
        </is>
      </c>
      <c r="B4956" t="inlineStr">
        <is>
          <t>隔日到貨🔥 韓風熱銷款🏆 太空人 吊飾 鑰匙扣 鑰匙圈 汽車鑰匙圈 公仔 掛飾 吊墜 掛鉤 吊環 墜飾</t>
        </is>
      </c>
      <c r="C4956">
        <f>IMAGE("https://cf.shopee.tw/file/sg-11134201-22120-nj47opidlblvdb_tn")</f>
        <v/>
      </c>
      <c r="D4956" t="inlineStr">
        <is>
          <t>7. 小鹿</t>
        </is>
      </c>
      <c r="E4956" t="inlineStr"/>
      <c r="F4956">
        <f>IMAGE("https://cf.shopee.tw/file/bf51e51a54836756b1436a49619587b9_tn")</f>
        <v/>
      </c>
    </row>
    <row r="4957">
      <c r="A4957" t="inlineStr">
        <is>
          <t>9150720936</t>
        </is>
      </c>
      <c r="B4957" t="inlineStr">
        <is>
          <t>隔日到貨🔥 韓風熱銷款🏆 太空人 吊飾 鑰匙扣 鑰匙圈 汽車鑰匙圈 公仔 掛飾 吊墜 掛鉤 吊環 墜飾</t>
        </is>
      </c>
      <c r="C4957">
        <f>IMAGE("https://cf.shopee.tw/file/sg-11134201-22120-nj47opidlblvdb_tn")</f>
        <v/>
      </c>
      <c r="D4957" t="inlineStr">
        <is>
          <t>8. 粉兔</t>
        </is>
      </c>
      <c r="E4957" t="inlineStr"/>
      <c r="F4957">
        <f>IMAGE("https://cf.shopee.tw/file/668219caf9ac05c07460063ff5a3a49a_tn")</f>
        <v/>
      </c>
    </row>
    <row r="4958">
      <c r="A4958" t="inlineStr">
        <is>
          <t>9150720936</t>
        </is>
      </c>
      <c r="B4958" t="inlineStr">
        <is>
          <t>隔日到貨🔥 韓風熱銷款🏆 太空人 吊飾 鑰匙扣 鑰匙圈 汽車鑰匙圈 公仔 掛飾 吊墜 掛鉤 吊環 墜飾</t>
        </is>
      </c>
      <c r="C4958">
        <f>IMAGE("https://cf.shopee.tw/file/sg-11134201-22120-nj47opidlblvdb_tn")</f>
        <v/>
      </c>
      <c r="D4958" t="inlineStr">
        <is>
          <t>9. 小貓</t>
        </is>
      </c>
      <c r="E4958" t="inlineStr">
        <is>
          <t>91757189467</t>
        </is>
      </c>
      <c r="F4958">
        <f>IMAGE("https://cf.shopee.tw/file/ee5a882f81abb15db4a28792d3320027_tn")</f>
        <v/>
      </c>
    </row>
    <row r="4959">
      <c r="A4959" t="inlineStr">
        <is>
          <t>9150720936</t>
        </is>
      </c>
      <c r="B4959" t="inlineStr">
        <is>
          <t>隔日到貨🔥 韓風熱銷款🏆 太空人 吊飾 鑰匙扣 鑰匙圈 汽車鑰匙圈 公仔 掛飾 吊墜 掛鉤 吊環 墜飾</t>
        </is>
      </c>
      <c r="C4959">
        <f>IMAGE("https://cf.shopee.tw/file/sg-11134201-22120-nj47opidlblvdb_tn")</f>
        <v/>
      </c>
      <c r="D4959" t="inlineStr">
        <is>
          <t>10. 小熊</t>
        </is>
      </c>
      <c r="E4959" t="inlineStr"/>
      <c r="F4959">
        <f>IMAGE("https://cf.shopee.tw/file/39674d5ef8f0a99d7e854eba07240bcc_tn")</f>
        <v/>
      </c>
    </row>
    <row r="4960">
      <c r="A4960" t="inlineStr">
        <is>
          <t>9150720936</t>
        </is>
      </c>
      <c r="B4960" t="inlineStr">
        <is>
          <t>隔日到貨🔥 韓風熱銷款🏆 太空人 吊飾 鑰匙扣 鑰匙圈 汽車鑰匙圈 公仔 掛飾 吊墜 掛鉤 吊環 墜飾</t>
        </is>
      </c>
      <c r="C4960">
        <f>IMAGE("https://cf.shopee.tw/file/sg-11134201-22120-nj47opidlblvdb_tn")</f>
        <v/>
      </c>
      <c r="D4960" t="inlineStr">
        <is>
          <t>11. 熊貓</t>
        </is>
      </c>
      <c r="E4960" t="inlineStr"/>
      <c r="F4960">
        <f>IMAGE("https://cf.shopee.tw/file/sg-11134201-22120-9owz4dw4kblv70_tn")</f>
        <v/>
      </c>
    </row>
    <row r="4961">
      <c r="A4961" t="inlineStr">
        <is>
          <t>9150720936</t>
        </is>
      </c>
      <c r="B4961" t="inlineStr">
        <is>
          <t>隔日到貨🔥 韓風熱銷款🏆 太空人 吊飾 鑰匙扣 鑰匙圈 汽車鑰匙圈 公仔 掛飾 吊墜 掛鉤 吊環 墜飾</t>
        </is>
      </c>
      <c r="C4961">
        <f>IMAGE("https://cf.shopee.tw/file/sg-11134201-22120-nj47opidlblvdb_tn")</f>
        <v/>
      </c>
      <c r="D4961" t="inlineStr">
        <is>
          <t>13. 橙鹿</t>
        </is>
      </c>
      <c r="E4961" t="inlineStr"/>
      <c r="F4961">
        <f>IMAGE("https://cf.shopee.tw/file/sg-11134201-22120-cjhmhu54kblv58_tn")</f>
        <v/>
      </c>
    </row>
    <row r="4962">
      <c r="A4962" t="inlineStr">
        <is>
          <t>9150720936</t>
        </is>
      </c>
      <c r="B4962" t="inlineStr">
        <is>
          <t>隔日到貨🔥 韓風熱銷款🏆 太空人 吊飾 鑰匙扣 鑰匙圈 汽車鑰匙圈 公仔 掛飾 吊墜 掛鉤 吊環 墜飾</t>
        </is>
      </c>
      <c r="C4962">
        <f>IMAGE("https://cf.shopee.tw/file/sg-11134201-22120-nj47opidlblvdb_tn")</f>
        <v/>
      </c>
      <c r="D4962" t="inlineStr">
        <is>
          <t>14. 粉兔</t>
        </is>
      </c>
      <c r="E4962" t="inlineStr"/>
      <c r="F4962">
        <f>IMAGE("https://cf.shopee.tw/file/sg-11134201-22120-dap9wmy9tjlvd7_tn")</f>
        <v/>
      </c>
    </row>
    <row r="4963">
      <c r="A4963" t="inlineStr">
        <is>
          <t>9791809096</t>
        </is>
      </c>
      <c r="B4963" t="inlineStr">
        <is>
          <t>隔日到貨🔥 ins風 韓版 鏡子 化妝鏡 折疊鏡 隨身鏡 簡約 可愛 女學生必備 小鏡子</t>
        </is>
      </c>
      <c r="C4963">
        <f>IMAGE("https://cf.shopee.tw/file/5c4294b05a051493ee00aa1b72aaa0eb_tn")</f>
        <v/>
      </c>
      <c r="D4963" t="inlineStr">
        <is>
          <t>1.考拉</t>
        </is>
      </c>
      <c r="E4963" t="inlineStr"/>
      <c r="F4963">
        <f>IMAGE("https://cf.shopee.tw/file/8df6228e143917390b3a62ab764c639e_tn")</f>
        <v/>
      </c>
    </row>
    <row r="4964">
      <c r="A4964" t="inlineStr">
        <is>
          <t>9791809096</t>
        </is>
      </c>
      <c r="B4964" t="inlineStr">
        <is>
          <t>隔日到貨🔥 ins風 韓版 鏡子 化妝鏡 折疊鏡 隨身鏡 簡約 可愛 女學生必備 小鏡子</t>
        </is>
      </c>
      <c r="C4964">
        <f>IMAGE("https://cf.shopee.tw/file/5c4294b05a051493ee00aa1b72aaa0eb_tn")</f>
        <v/>
      </c>
      <c r="D4964" t="inlineStr">
        <is>
          <t>2.波點咖啡熊</t>
        </is>
      </c>
      <c r="E4964" t="inlineStr"/>
      <c r="F4964">
        <f>IMAGE("https://cf.shopee.tw/file/aeab2f76ae639a5807a76c434444b4fc_tn")</f>
        <v/>
      </c>
    </row>
    <row r="4965">
      <c r="A4965" t="inlineStr">
        <is>
          <t>9791809096</t>
        </is>
      </c>
      <c r="B4965" t="inlineStr">
        <is>
          <t>隔日到貨🔥 ins風 韓版 鏡子 化妝鏡 折疊鏡 隨身鏡 簡約 可愛 女學生必備 小鏡子</t>
        </is>
      </c>
      <c r="C4965">
        <f>IMAGE("https://cf.shopee.tw/file/5c4294b05a051493ee00aa1b72aaa0eb_tn")</f>
        <v/>
      </c>
      <c r="D4965" t="inlineStr">
        <is>
          <t>3.開心狗</t>
        </is>
      </c>
      <c r="E4965" t="inlineStr"/>
      <c r="F4965">
        <f>IMAGE("https://cf.shopee.tw/file/8b1650837e8576fe057d33641de3fca7_tn")</f>
        <v/>
      </c>
    </row>
    <row r="4966">
      <c r="A4966" t="inlineStr">
        <is>
          <t>9791809096</t>
        </is>
      </c>
      <c r="B4966" t="inlineStr">
        <is>
          <t>隔日到貨🔥 ins風 韓版 鏡子 化妝鏡 折疊鏡 隨身鏡 簡約 可愛 女學生必備 小鏡子</t>
        </is>
      </c>
      <c r="C4966">
        <f>IMAGE("https://cf.shopee.tw/file/5c4294b05a051493ee00aa1b72aaa0eb_tn")</f>
        <v/>
      </c>
      <c r="D4966" t="inlineStr">
        <is>
          <t>4.奶牛小熊</t>
        </is>
      </c>
      <c r="E4966" t="inlineStr"/>
      <c r="F4966">
        <f>IMAGE("https://cf.shopee.tw/file/7dc7a6d30e3b066596f41e3caaf247d2_tn")</f>
        <v/>
      </c>
    </row>
    <row r="4967">
      <c r="A4967" t="inlineStr">
        <is>
          <t>9791809096</t>
        </is>
      </c>
      <c r="B4967" t="inlineStr">
        <is>
          <t>隔日到貨🔥 ins風 韓版 鏡子 化妝鏡 折疊鏡 隨身鏡 簡約 可愛 女學生必備 小鏡子</t>
        </is>
      </c>
      <c r="C4967">
        <f>IMAGE("https://cf.shopee.tw/file/5c4294b05a051493ee00aa1b72aaa0eb_tn")</f>
        <v/>
      </c>
      <c r="D4967" t="inlineStr">
        <is>
          <t>5.歪耳狗</t>
        </is>
      </c>
      <c r="E4967" t="inlineStr"/>
      <c r="F4967">
        <f>IMAGE("https://cf.shopee.tw/file/ee6dfc0624176009f7d9ca56af713b1d_tn")</f>
        <v/>
      </c>
    </row>
    <row r="4968">
      <c r="A4968" t="inlineStr">
        <is>
          <t>9791809096</t>
        </is>
      </c>
      <c r="B4968" t="inlineStr">
        <is>
          <t>隔日到貨🔥 ins風 韓版 鏡子 化妝鏡 折疊鏡 隨身鏡 簡約 可愛 女學生必備 小鏡子</t>
        </is>
      </c>
      <c r="C4968">
        <f>IMAGE("https://cf.shopee.tw/file/5c4294b05a051493ee00aa1b72aaa0eb_tn")</f>
        <v/>
      </c>
      <c r="D4968" t="inlineStr">
        <is>
          <t>6.蘋果狗</t>
        </is>
      </c>
      <c r="E4968" t="inlineStr">
        <is>
          <t>138072140120</t>
        </is>
      </c>
      <c r="F4968">
        <f>IMAGE("https://cf.shopee.tw/file/tw-11134207-7rasd-m16r8imkpknsf1_tn")</f>
        <v/>
      </c>
    </row>
    <row r="4969">
      <c r="A4969" t="inlineStr">
        <is>
          <t>6540247859</t>
        </is>
      </c>
      <c r="B4969" t="inlineStr">
        <is>
          <t>隔日到貨🔥 韓風熱銷款🏆 熊貓 鑰匙扣 鑰匙圈 軟膠 公仔 掛飾 吊墜 掛鉤 吊飾 吊環 墜飾</t>
        </is>
      </c>
      <c r="C4969">
        <f>IMAGE("https://cf.shopee.tw/file/61862291c82c4974ada2de1fb04bb9a2_tn")</f>
        <v/>
      </c>
      <c r="D4969" t="inlineStr">
        <is>
          <t>黑色法鬥犬</t>
        </is>
      </c>
      <c r="E4969" t="inlineStr"/>
      <c r="F4969">
        <f>IMAGE("https://cf.shopee.tw/file/12e9e0daf799e6fb8714c3d7a7806d56_tn")</f>
        <v/>
      </c>
    </row>
    <row r="4970">
      <c r="A4970" t="inlineStr">
        <is>
          <t>6540247859</t>
        </is>
      </c>
      <c r="B4970" t="inlineStr">
        <is>
          <t>隔日到貨🔥 韓風熱銷款🏆 熊貓 鑰匙扣 鑰匙圈 軟膠 公仔 掛飾 吊墜 掛鉤 吊飾 吊環 墜飾</t>
        </is>
      </c>
      <c r="C4970">
        <f>IMAGE("https://cf.shopee.tw/file/61862291c82c4974ada2de1fb04bb9a2_tn")</f>
        <v/>
      </c>
      <c r="D4970" t="inlineStr">
        <is>
          <t>黑色切面貓</t>
        </is>
      </c>
      <c r="E4970" t="inlineStr"/>
      <c r="F4970">
        <f>IMAGE("https://cf.shopee.tw/file/866ea084ede66bc3707cf2159c73f03c_tn")</f>
        <v/>
      </c>
    </row>
    <row r="4971">
      <c r="A4971" t="inlineStr">
        <is>
          <t>6540247859</t>
        </is>
      </c>
      <c r="B4971" t="inlineStr">
        <is>
          <t>隔日到貨🔥 韓風熱銷款🏆 熊貓 鑰匙扣 鑰匙圈 軟膠 公仔 掛飾 吊墜 掛鉤 吊飾 吊環 墜飾</t>
        </is>
      </c>
      <c r="C4971">
        <f>IMAGE("https://cf.shopee.tw/file/61862291c82c4974ada2de1fb04bb9a2_tn")</f>
        <v/>
      </c>
      <c r="D4971" t="inlineStr">
        <is>
          <t>黃色切面貓</t>
        </is>
      </c>
      <c r="E4971" t="inlineStr"/>
      <c r="F4971">
        <f>IMAGE("https://cf.shopee.tw/file/f4b58385b7d5257cc972c48c23729539_tn")</f>
        <v/>
      </c>
    </row>
    <row r="4972">
      <c r="A4972" t="inlineStr">
        <is>
          <t>6540247859</t>
        </is>
      </c>
      <c r="B4972" t="inlineStr">
        <is>
          <t>隔日到貨🔥 韓風熱銷款🏆 熊貓 鑰匙扣 鑰匙圈 軟膠 公仔 掛飾 吊墜 掛鉤 吊飾 吊環 墜飾</t>
        </is>
      </c>
      <c r="C4972">
        <f>IMAGE("https://cf.shopee.tw/file/61862291c82c4974ada2de1fb04bb9a2_tn")</f>
        <v/>
      </c>
      <c r="D4972" t="inlineStr">
        <is>
          <t>黑色宇航員</t>
        </is>
      </c>
      <c r="E4972" t="inlineStr"/>
      <c r="F4972">
        <f>IMAGE("https://cf.shopee.tw/file/5e9334172f2e94dcfc8c2f1a28612f5f_tn")</f>
        <v/>
      </c>
    </row>
    <row r="4973">
      <c r="A4973" t="inlineStr">
        <is>
          <t>6540247859</t>
        </is>
      </c>
      <c r="B4973" t="inlineStr">
        <is>
          <t>隔日到貨🔥 韓風熱銷款🏆 熊貓 鑰匙扣 鑰匙圈 軟膠 公仔 掛飾 吊墜 掛鉤 吊飾 吊環 墜飾</t>
        </is>
      </c>
      <c r="C4973">
        <f>IMAGE("https://cf.shopee.tw/file/61862291c82c4974ada2de1fb04bb9a2_tn")</f>
        <v/>
      </c>
      <c r="D4973" t="inlineStr">
        <is>
          <t>黃色宇航員</t>
        </is>
      </c>
      <c r="E4973" t="inlineStr"/>
      <c r="F4973">
        <f>IMAGE("https://cf.shopee.tw/file/eb1c5bb141cd623312b0410796a3130e_tn")</f>
        <v/>
      </c>
    </row>
    <row r="4974">
      <c r="A4974" t="inlineStr">
        <is>
          <t>6540247859</t>
        </is>
      </c>
      <c r="B4974" t="inlineStr">
        <is>
          <t>隔日到貨🔥 韓風熱銷款🏆 熊貓 鑰匙扣 鑰匙圈 軟膠 公仔 掛飾 吊墜 掛鉤 吊飾 吊環 墜飾</t>
        </is>
      </c>
      <c r="C4974">
        <f>IMAGE("https://cf.shopee.tw/file/61862291c82c4974ada2de1fb04bb9a2_tn")</f>
        <v/>
      </c>
      <c r="D4974" t="inlineStr">
        <is>
          <t>藍色宇航員</t>
        </is>
      </c>
      <c r="E4974" t="inlineStr"/>
      <c r="F4974">
        <f>IMAGE("https://cf.shopee.tw/file/29b489a6c866859f451a12a168cbeba6_tn")</f>
        <v/>
      </c>
    </row>
    <row r="4975">
      <c r="A4975" t="inlineStr">
        <is>
          <t>6540247859</t>
        </is>
      </c>
      <c r="B4975" t="inlineStr">
        <is>
          <t>隔日到貨🔥 韓風熱銷款🏆 熊貓 鑰匙扣 鑰匙圈 軟膠 公仔 掛飾 吊墜 掛鉤 吊飾 吊環 墜飾</t>
        </is>
      </c>
      <c r="C4975">
        <f>IMAGE("https://cf.shopee.tw/file/61862291c82c4974ada2de1fb04bb9a2_tn")</f>
        <v/>
      </c>
      <c r="D4975" t="inlineStr">
        <is>
          <t>白色宇航員</t>
        </is>
      </c>
      <c r="E4975" t="inlineStr"/>
      <c r="F4975">
        <f>IMAGE("https://cf.shopee.tw/file/d3affb7d7af6d108f631cfa987e3fd29_tn")</f>
        <v/>
      </c>
    </row>
    <row r="4976">
      <c r="A4976" t="inlineStr">
        <is>
          <t>6540247859</t>
        </is>
      </c>
      <c r="B4976" t="inlineStr">
        <is>
          <t>隔日到貨🔥 韓風熱銷款🏆 熊貓 鑰匙扣 鑰匙圈 軟膠 公仔 掛飾 吊墜 掛鉤 吊飾 吊環 墜飾</t>
        </is>
      </c>
      <c r="C4976">
        <f>IMAGE("https://cf.shopee.tw/file/61862291c82c4974ada2de1fb04bb9a2_tn")</f>
        <v/>
      </c>
      <c r="D4976" t="inlineStr">
        <is>
          <t>藍熊貓</t>
        </is>
      </c>
      <c r="E4976" t="inlineStr"/>
      <c r="F4976">
        <f>IMAGE("https://cf.shopee.tw/file/fedc87b60ea517e1ae2de7de1ef66a32_tn")</f>
        <v/>
      </c>
    </row>
    <row r="4977">
      <c r="A4977" t="inlineStr">
        <is>
          <t>6540247859</t>
        </is>
      </c>
      <c r="B4977" t="inlineStr">
        <is>
          <t>隔日到貨🔥 韓風熱銷款🏆 熊貓 鑰匙扣 鑰匙圈 軟膠 公仔 掛飾 吊墜 掛鉤 吊飾 吊環 墜飾</t>
        </is>
      </c>
      <c r="C4977">
        <f>IMAGE("https://cf.shopee.tw/file/61862291c82c4974ada2de1fb04bb9a2_tn")</f>
        <v/>
      </c>
      <c r="D4977" t="inlineStr">
        <is>
          <t>綠熊貓</t>
        </is>
      </c>
      <c r="E4977" t="inlineStr">
        <is>
          <t>40141509746</t>
        </is>
      </c>
      <c r="F4977">
        <f>IMAGE("https://cf.shopee.tw/file/adf6fbf0b1a4277917c93804db5aacfb_tn")</f>
        <v/>
      </c>
    </row>
    <row r="4978">
      <c r="A4978" t="inlineStr">
        <is>
          <t>6540247859</t>
        </is>
      </c>
      <c r="B4978" t="inlineStr">
        <is>
          <t>隔日到貨🔥 韓風熱銷款🏆 熊貓 鑰匙扣 鑰匙圈 軟膠 公仔 掛飾 吊墜 掛鉤 吊飾 吊環 墜飾</t>
        </is>
      </c>
      <c r="C4978">
        <f>IMAGE("https://cf.shopee.tw/file/61862291c82c4974ada2de1fb04bb9a2_tn")</f>
        <v/>
      </c>
      <c r="D4978" t="inlineStr">
        <is>
          <t>粉棕熊</t>
        </is>
      </c>
      <c r="E4978" t="inlineStr"/>
      <c r="F4978">
        <f>IMAGE("https://cf.shopee.tw/file/ff292968ccf7557877c9ff3d86a7a08d_tn")</f>
        <v/>
      </c>
    </row>
    <row r="4979">
      <c r="A4979" t="inlineStr">
        <is>
          <t>8281402325</t>
        </is>
      </c>
      <c r="B4979" t="inlineStr">
        <is>
          <t>隔日到貨🔥 爆款 側邊液態手機殼 iPhone 手機殼 保護殼 軟殼 現貨 全包 蘋果手機殼 蘋果</t>
        </is>
      </c>
      <c r="C4979">
        <f>IMAGE("https://cf.shopee.tw/file/d3426e599c6f497c75118b0b7fc936b4_tn")</f>
        <v/>
      </c>
      <c r="D4979" t="inlineStr">
        <is>
          <t>戳臉小熊,7 / 8 / SE2 / SE3</t>
        </is>
      </c>
      <c r="E4979" t="inlineStr"/>
      <c r="F4979">
        <f>IMAGE("https://cf.shopee.tw/file/f6033a7b5fc487521d7966c0f719fac2_tn")</f>
        <v/>
      </c>
    </row>
    <row r="4980">
      <c r="A4980" t="inlineStr">
        <is>
          <t>8281402325</t>
        </is>
      </c>
      <c r="B4980" t="inlineStr">
        <is>
          <t>隔日到貨🔥 爆款 側邊液態手機殼 iPhone 手機殼 保護殼 軟殼 現貨 全包 蘋果手機殼 蘋果</t>
        </is>
      </c>
      <c r="C4980">
        <f>IMAGE("https://cf.shopee.tw/file/d3426e599c6f497c75118b0b7fc936b4_tn")</f>
        <v/>
      </c>
      <c r="D4980" t="inlineStr">
        <is>
          <t>戳臉小熊,11 pro</t>
        </is>
      </c>
      <c r="E4980" t="inlineStr"/>
      <c r="F4980">
        <f>IMAGE("https://cf.shopee.tw/file/f6033a7b5fc487521d7966c0f719fac2_tn")</f>
        <v/>
      </c>
    </row>
    <row r="4981">
      <c r="A4981" t="inlineStr">
        <is>
          <t>8281402325</t>
        </is>
      </c>
      <c r="B4981" t="inlineStr">
        <is>
          <t>隔日到貨🔥 爆款 側邊液態手機殼 iPhone 手機殼 保護殼 軟殼 現貨 全包 蘋果手機殼 蘋果</t>
        </is>
      </c>
      <c r="C4981">
        <f>IMAGE("https://cf.shopee.tw/file/d3426e599c6f497c75118b0b7fc936b4_tn")</f>
        <v/>
      </c>
      <c r="D4981" t="inlineStr">
        <is>
          <t>戳臉小熊,12</t>
        </is>
      </c>
      <c r="E4981" t="inlineStr"/>
      <c r="F4981">
        <f>IMAGE("https://cf.shopee.tw/file/f6033a7b5fc487521d7966c0f719fac2_tn")</f>
        <v/>
      </c>
    </row>
    <row r="4982">
      <c r="A4982" t="inlineStr">
        <is>
          <t>8281402325</t>
        </is>
      </c>
      <c r="B4982" t="inlineStr">
        <is>
          <t>隔日到貨🔥 爆款 側邊液態手機殼 iPhone 手機殼 保護殼 軟殼 現貨 全包 蘋果手機殼 蘋果</t>
        </is>
      </c>
      <c r="C4982">
        <f>IMAGE("https://cf.shopee.tw/file/d3426e599c6f497c75118b0b7fc936b4_tn")</f>
        <v/>
      </c>
      <c r="D4982" t="inlineStr">
        <is>
          <t>戳臉小熊,13</t>
        </is>
      </c>
      <c r="E4982" t="inlineStr"/>
      <c r="F4982">
        <f>IMAGE("https://cf.shopee.tw/file/f6033a7b5fc487521d7966c0f719fac2_tn")</f>
        <v/>
      </c>
    </row>
    <row r="4983">
      <c r="A4983" t="inlineStr">
        <is>
          <t>8281402325</t>
        </is>
      </c>
      <c r="B4983" t="inlineStr">
        <is>
          <t>隔日到貨🔥 爆款 側邊液態手機殼 iPhone 手機殼 保護殼 軟殼 現貨 全包 蘋果手機殼 蘋果</t>
        </is>
      </c>
      <c r="C4983">
        <f>IMAGE("https://cf.shopee.tw/file/d3426e599c6f497c75118b0b7fc936b4_tn")</f>
        <v/>
      </c>
      <c r="D4983" t="inlineStr">
        <is>
          <t>戳臉小熊,13 pro</t>
        </is>
      </c>
      <c r="E4983" t="inlineStr"/>
      <c r="F4983">
        <f>IMAGE("https://cf.shopee.tw/file/f6033a7b5fc487521d7966c0f719fac2_tn")</f>
        <v/>
      </c>
    </row>
    <row r="4984">
      <c r="A4984" t="inlineStr">
        <is>
          <t>8281402325</t>
        </is>
      </c>
      <c r="B4984" t="inlineStr">
        <is>
          <t>隔日到貨🔥 爆款 側邊液態手機殼 iPhone 手機殼 保護殼 軟殼 現貨 全包 蘋果手機殼 蘋果</t>
        </is>
      </c>
      <c r="C4984">
        <f>IMAGE("https://cf.shopee.tw/file/d3426e599c6f497c75118b0b7fc936b4_tn")</f>
        <v/>
      </c>
      <c r="D4984" t="inlineStr">
        <is>
          <t>戳臉小熊,14</t>
        </is>
      </c>
      <c r="E4984" t="inlineStr"/>
      <c r="F4984">
        <f>IMAGE("https://cf.shopee.tw/file/f6033a7b5fc487521d7966c0f719fac2_tn")</f>
        <v/>
      </c>
    </row>
    <row r="4985">
      <c r="A4985" t="inlineStr">
        <is>
          <t>8281402325</t>
        </is>
      </c>
      <c r="B4985" t="inlineStr">
        <is>
          <t>隔日到貨🔥 爆款 側邊液態手機殼 iPhone 手機殼 保護殼 軟殼 現貨 全包 蘋果手機殼 蘋果</t>
        </is>
      </c>
      <c r="C4985">
        <f>IMAGE("https://cf.shopee.tw/file/d3426e599c6f497c75118b0b7fc936b4_tn")</f>
        <v/>
      </c>
      <c r="D4985" t="inlineStr">
        <is>
          <t>戳臉小熊,14 pro Max</t>
        </is>
      </c>
      <c r="E4985" t="inlineStr"/>
      <c r="F4985">
        <f>IMAGE("https://cf.shopee.tw/file/f6033a7b5fc487521d7966c0f719fac2_tn")</f>
        <v/>
      </c>
    </row>
    <row r="4986">
      <c r="A4986" t="inlineStr">
        <is>
          <t>8281402325</t>
        </is>
      </c>
      <c r="B4986" t="inlineStr">
        <is>
          <t>隔日到貨🔥 爆款 側邊液態手機殼 iPhone 手機殼 保護殼 軟殼 現貨 全包 蘋果手機殼 蘋果</t>
        </is>
      </c>
      <c r="C4986">
        <f>IMAGE("https://cf.shopee.tw/file/d3426e599c6f497c75118b0b7fc936b4_tn")</f>
        <v/>
      </c>
      <c r="D4986" t="inlineStr">
        <is>
          <t>戳臉小兔,7 / 8 / SE2 / SE3</t>
        </is>
      </c>
      <c r="E4986" t="inlineStr"/>
      <c r="F4986">
        <f>IMAGE("https://cf.shopee.tw/file/92f1ca1e554ba2c622229999f7fde0b1_tn")</f>
        <v/>
      </c>
    </row>
    <row r="4987">
      <c r="A4987" t="inlineStr">
        <is>
          <t>8281402325</t>
        </is>
      </c>
      <c r="B4987" t="inlineStr">
        <is>
          <t>隔日到貨🔥 爆款 側邊液態手機殼 iPhone 手機殼 保護殼 軟殼 現貨 全包 蘋果手機殼 蘋果</t>
        </is>
      </c>
      <c r="C4987">
        <f>IMAGE("https://cf.shopee.tw/file/d3426e599c6f497c75118b0b7fc936b4_tn")</f>
        <v/>
      </c>
      <c r="D4987" t="inlineStr">
        <is>
          <t>戳臉小兔,7plus / 8plus</t>
        </is>
      </c>
      <c r="E4987" t="inlineStr"/>
      <c r="F4987">
        <f>IMAGE("https://cf.shopee.tw/file/92f1ca1e554ba2c622229999f7fde0b1_tn")</f>
        <v/>
      </c>
    </row>
    <row r="4988">
      <c r="A4988" t="inlineStr">
        <is>
          <t>8281402325</t>
        </is>
      </c>
      <c r="B4988" t="inlineStr">
        <is>
          <t>隔日到貨🔥 爆款 側邊液態手機殼 iPhone 手機殼 保護殼 軟殼 現貨 全包 蘋果手機殼 蘋果</t>
        </is>
      </c>
      <c r="C4988">
        <f>IMAGE("https://cf.shopee.tw/file/d3426e599c6f497c75118b0b7fc936b4_tn")</f>
        <v/>
      </c>
      <c r="D4988" t="inlineStr">
        <is>
          <t>戳臉小兔,XR</t>
        </is>
      </c>
      <c r="E4988" t="inlineStr"/>
      <c r="F4988">
        <f>IMAGE("https://cf.shopee.tw/file/92f1ca1e554ba2c622229999f7fde0b1_tn")</f>
        <v/>
      </c>
    </row>
    <row r="4989">
      <c r="A4989" t="inlineStr">
        <is>
          <t>8281402325</t>
        </is>
      </c>
      <c r="B4989" t="inlineStr">
        <is>
          <t>隔日到貨🔥 爆款 側邊液態手機殼 iPhone 手機殼 保護殼 軟殼 現貨 全包 蘋果手機殼 蘋果</t>
        </is>
      </c>
      <c r="C4989">
        <f>IMAGE("https://cf.shopee.tw/file/d3426e599c6f497c75118b0b7fc936b4_tn")</f>
        <v/>
      </c>
      <c r="D4989" t="inlineStr">
        <is>
          <t>戳臉小兔,XS Max</t>
        </is>
      </c>
      <c r="E4989" t="inlineStr">
        <is>
          <t>83662012345</t>
        </is>
      </c>
      <c r="F4989">
        <f>IMAGE("https://cf.shopee.tw/file/92f1ca1e554ba2c622229999f7fde0b1_tn")</f>
        <v/>
      </c>
    </row>
    <row r="4990">
      <c r="A4990" t="inlineStr">
        <is>
          <t>8281402325</t>
        </is>
      </c>
      <c r="B4990" t="inlineStr">
        <is>
          <t>隔日到貨🔥 爆款 側邊液態手機殼 iPhone 手機殼 保護殼 軟殼 現貨 全包 蘋果手機殼 蘋果</t>
        </is>
      </c>
      <c r="C4990">
        <f>IMAGE("https://cf.shopee.tw/file/d3426e599c6f497c75118b0b7fc936b4_tn")</f>
        <v/>
      </c>
      <c r="D4990" t="inlineStr">
        <is>
          <t>戳臉小兔,11 pro</t>
        </is>
      </c>
      <c r="E4990" t="inlineStr"/>
      <c r="F4990">
        <f>IMAGE("https://cf.shopee.tw/file/92f1ca1e554ba2c622229999f7fde0b1_tn")</f>
        <v/>
      </c>
    </row>
    <row r="4991">
      <c r="A4991" t="inlineStr">
        <is>
          <t>8281402325</t>
        </is>
      </c>
      <c r="B4991" t="inlineStr">
        <is>
          <t>隔日到貨🔥 爆款 側邊液態手機殼 iPhone 手機殼 保護殼 軟殼 現貨 全包 蘋果手機殼 蘋果</t>
        </is>
      </c>
      <c r="C4991">
        <f>IMAGE("https://cf.shopee.tw/file/d3426e599c6f497c75118b0b7fc936b4_tn")</f>
        <v/>
      </c>
      <c r="D4991" t="inlineStr">
        <is>
          <t>戳臉小兔,12</t>
        </is>
      </c>
      <c r="E4991" t="inlineStr"/>
      <c r="F4991">
        <f>IMAGE("https://cf.shopee.tw/file/92f1ca1e554ba2c622229999f7fde0b1_tn")</f>
        <v/>
      </c>
    </row>
    <row r="4992">
      <c r="A4992" t="inlineStr">
        <is>
          <t>8281402325</t>
        </is>
      </c>
      <c r="B4992" t="inlineStr">
        <is>
          <t>隔日到貨🔥 爆款 側邊液態手機殼 iPhone 手機殼 保護殼 軟殼 現貨 全包 蘋果手機殼 蘋果</t>
        </is>
      </c>
      <c r="C4992">
        <f>IMAGE("https://cf.shopee.tw/file/d3426e599c6f497c75118b0b7fc936b4_tn")</f>
        <v/>
      </c>
      <c r="D4992" t="inlineStr">
        <is>
          <t>戳臉小兔,12 pro</t>
        </is>
      </c>
      <c r="E4992" t="inlineStr"/>
      <c r="F4992">
        <f>IMAGE("https://cf.shopee.tw/file/92f1ca1e554ba2c622229999f7fde0b1_tn")</f>
        <v/>
      </c>
    </row>
    <row r="4993">
      <c r="A4993" t="inlineStr">
        <is>
          <t>8281402325</t>
        </is>
      </c>
      <c r="B4993" t="inlineStr">
        <is>
          <t>隔日到貨🔥 爆款 側邊液態手機殼 iPhone 手機殼 保護殼 軟殼 現貨 全包 蘋果手機殼 蘋果</t>
        </is>
      </c>
      <c r="C4993">
        <f>IMAGE("https://cf.shopee.tw/file/d3426e599c6f497c75118b0b7fc936b4_tn")</f>
        <v/>
      </c>
      <c r="D4993" t="inlineStr">
        <is>
          <t>戳臉小兔,13</t>
        </is>
      </c>
      <c r="E4993" t="inlineStr"/>
      <c r="F4993">
        <f>IMAGE("https://cf.shopee.tw/file/92f1ca1e554ba2c622229999f7fde0b1_tn")</f>
        <v/>
      </c>
    </row>
    <row r="4994">
      <c r="A4994" t="inlineStr">
        <is>
          <t>8281402325</t>
        </is>
      </c>
      <c r="B4994" t="inlineStr">
        <is>
          <t>隔日到貨🔥 爆款 側邊液態手機殼 iPhone 手機殼 保護殼 軟殼 現貨 全包 蘋果手機殼 蘋果</t>
        </is>
      </c>
      <c r="C4994">
        <f>IMAGE("https://cf.shopee.tw/file/d3426e599c6f497c75118b0b7fc936b4_tn")</f>
        <v/>
      </c>
      <c r="D4994" t="inlineStr">
        <is>
          <t>戳臉小熊,7plus / 8plus</t>
        </is>
      </c>
      <c r="E4994" t="inlineStr"/>
      <c r="F4994">
        <f>IMAGE("https://cf.shopee.tw/file/f6033a7b5fc487521d7966c0f719fac2_tn")</f>
        <v/>
      </c>
    </row>
    <row r="4995">
      <c r="A4995" t="inlineStr">
        <is>
          <t>8281402325</t>
        </is>
      </c>
      <c r="B4995" t="inlineStr">
        <is>
          <t>隔日到貨🔥 爆款 側邊液態手機殼 iPhone 手機殼 保護殼 軟殼 現貨 全包 蘋果手機殼 蘋果</t>
        </is>
      </c>
      <c r="C4995">
        <f>IMAGE("https://cf.shopee.tw/file/d3426e599c6f497c75118b0b7fc936b4_tn")</f>
        <v/>
      </c>
      <c r="D4995" t="inlineStr">
        <is>
          <t>戳臉小熊,X / XS</t>
        </is>
      </c>
      <c r="E4995" t="inlineStr">
        <is>
          <t>83662012340</t>
        </is>
      </c>
      <c r="F4995">
        <f>IMAGE("https://cf.shopee.tw/file/f6033a7b5fc487521d7966c0f719fac2_tn")</f>
        <v/>
      </c>
    </row>
    <row r="4996">
      <c r="A4996" t="inlineStr">
        <is>
          <t>8281402325</t>
        </is>
      </c>
      <c r="B4996" t="inlineStr">
        <is>
          <t>隔日到貨🔥 爆款 側邊液態手機殼 iPhone 手機殼 保護殼 軟殼 現貨 全包 蘋果手機殼 蘋果</t>
        </is>
      </c>
      <c r="C4996">
        <f>IMAGE("https://cf.shopee.tw/file/d3426e599c6f497c75118b0b7fc936b4_tn")</f>
        <v/>
      </c>
      <c r="D4996" t="inlineStr">
        <is>
          <t>戳臉小熊,XR</t>
        </is>
      </c>
      <c r="E4996" t="inlineStr"/>
      <c r="F4996">
        <f>IMAGE("https://cf.shopee.tw/file/f6033a7b5fc487521d7966c0f719fac2_tn")</f>
        <v/>
      </c>
    </row>
    <row r="4997">
      <c r="A4997" t="inlineStr">
        <is>
          <t>8281402325</t>
        </is>
      </c>
      <c r="B4997" t="inlineStr">
        <is>
          <t>隔日到貨🔥 爆款 側邊液態手機殼 iPhone 手機殼 保護殼 軟殼 現貨 全包 蘋果手機殼 蘋果</t>
        </is>
      </c>
      <c r="C4997">
        <f>IMAGE("https://cf.shopee.tw/file/d3426e599c6f497c75118b0b7fc936b4_tn")</f>
        <v/>
      </c>
      <c r="D4997" t="inlineStr">
        <is>
          <t>戳臉小熊,XS Max</t>
        </is>
      </c>
      <c r="E4997" t="inlineStr"/>
      <c r="F4997">
        <f>IMAGE("https://cf.shopee.tw/file/f6033a7b5fc487521d7966c0f719fac2_tn")</f>
        <v/>
      </c>
    </row>
    <row r="4998">
      <c r="A4998" t="inlineStr">
        <is>
          <t>8281402325</t>
        </is>
      </c>
      <c r="B4998" t="inlineStr">
        <is>
          <t>隔日到貨🔥 爆款 側邊液態手機殼 iPhone 手機殼 保護殼 軟殼 現貨 全包 蘋果手機殼 蘋果</t>
        </is>
      </c>
      <c r="C4998">
        <f>IMAGE("https://cf.shopee.tw/file/d3426e599c6f497c75118b0b7fc936b4_tn")</f>
        <v/>
      </c>
      <c r="D4998" t="inlineStr">
        <is>
          <t>戳臉小熊,11</t>
        </is>
      </c>
      <c r="E4998" t="inlineStr"/>
      <c r="F4998">
        <f>IMAGE("https://cf.shopee.tw/file/f6033a7b5fc487521d7966c0f719fac2_tn")</f>
        <v/>
      </c>
    </row>
    <row r="4999">
      <c r="A4999" t="inlineStr">
        <is>
          <t>8281402325</t>
        </is>
      </c>
      <c r="B4999" t="inlineStr">
        <is>
          <t>隔日到貨🔥 爆款 側邊液態手機殼 iPhone 手機殼 保護殼 軟殼 現貨 全包 蘋果手機殼 蘋果</t>
        </is>
      </c>
      <c r="C4999">
        <f>IMAGE("https://cf.shopee.tw/file/d3426e599c6f497c75118b0b7fc936b4_tn")</f>
        <v/>
      </c>
      <c r="D4999" t="inlineStr">
        <is>
          <t>戳臉小熊,11 pro Max</t>
        </is>
      </c>
      <c r="E4999" t="inlineStr"/>
      <c r="F4999">
        <f>IMAGE("https://cf.shopee.tw/file/f6033a7b5fc487521d7966c0f719fac2_tn")</f>
        <v/>
      </c>
    </row>
    <row r="5000">
      <c r="A5000" t="inlineStr">
        <is>
          <t>8281402325</t>
        </is>
      </c>
      <c r="B5000" t="inlineStr">
        <is>
          <t>隔日到貨🔥 爆款 側邊液態手機殼 iPhone 手機殼 保護殼 軟殼 現貨 全包 蘋果手機殼 蘋果</t>
        </is>
      </c>
      <c r="C5000">
        <f>IMAGE("https://cf.shopee.tw/file/d3426e599c6f497c75118b0b7fc936b4_tn")</f>
        <v/>
      </c>
      <c r="D5000" t="inlineStr">
        <is>
          <t>戳臉小熊,12 pro</t>
        </is>
      </c>
      <c r="E5000" t="inlineStr"/>
      <c r="F5000">
        <f>IMAGE("https://cf.shopee.tw/file/f6033a7b5fc487521d7966c0f719fac2_tn")</f>
        <v/>
      </c>
    </row>
    <row r="5001">
      <c r="A5001" t="inlineStr">
        <is>
          <t>8281402325</t>
        </is>
      </c>
      <c r="B5001" t="inlineStr">
        <is>
          <t>隔日到貨🔥 爆款 側邊液態手機殼 iPhone 手機殼 保護殼 軟殼 現貨 全包 蘋果手機殼 蘋果</t>
        </is>
      </c>
      <c r="C5001">
        <f>IMAGE("https://cf.shopee.tw/file/d3426e599c6f497c75118b0b7fc936b4_tn")</f>
        <v/>
      </c>
      <c r="D5001" t="inlineStr">
        <is>
          <t>戳臉小熊,12 pro Max</t>
        </is>
      </c>
      <c r="E5001" t="inlineStr"/>
      <c r="F5001">
        <f>IMAGE("https://cf.shopee.tw/file/f6033a7b5fc487521d7966c0f719fac2_tn")</f>
        <v/>
      </c>
    </row>
    <row r="5002">
      <c r="A5002" t="inlineStr">
        <is>
          <t>8281402325</t>
        </is>
      </c>
      <c r="B5002" t="inlineStr">
        <is>
          <t>隔日到貨🔥 爆款 側邊液態手機殼 iPhone 手機殼 保護殼 軟殼 現貨 全包 蘋果手機殼 蘋果</t>
        </is>
      </c>
      <c r="C5002">
        <f>IMAGE("https://cf.shopee.tw/file/d3426e599c6f497c75118b0b7fc936b4_tn")</f>
        <v/>
      </c>
      <c r="D5002" t="inlineStr">
        <is>
          <t>戳臉小熊,13 pro Max</t>
        </is>
      </c>
      <c r="E5002" t="inlineStr">
        <is>
          <t>103337512809</t>
        </is>
      </c>
      <c r="F5002">
        <f>IMAGE("https://cf.shopee.tw/file/f6033a7b5fc487521d7966c0f719fac2_tn")</f>
        <v/>
      </c>
    </row>
    <row r="5003">
      <c r="A5003" t="inlineStr">
        <is>
          <t>8281402325</t>
        </is>
      </c>
      <c r="B5003" t="inlineStr">
        <is>
          <t>隔日到貨🔥 爆款 側邊液態手機殼 iPhone 手機殼 保護殼 軟殼 現貨 全包 蘋果手機殼 蘋果</t>
        </is>
      </c>
      <c r="C5003">
        <f>IMAGE("https://cf.shopee.tw/file/d3426e599c6f497c75118b0b7fc936b4_tn")</f>
        <v/>
      </c>
      <c r="D5003" t="inlineStr">
        <is>
          <t>戳臉小熊,14 pro</t>
        </is>
      </c>
      <c r="E5003" t="inlineStr"/>
      <c r="F5003">
        <f>IMAGE("https://cf.shopee.tw/file/f6033a7b5fc487521d7966c0f719fac2_tn")</f>
        <v/>
      </c>
    </row>
    <row r="5004">
      <c r="A5004" t="inlineStr">
        <is>
          <t>8281402325</t>
        </is>
      </c>
      <c r="B5004" t="inlineStr">
        <is>
          <t>隔日到貨🔥 爆款 側邊液態手機殼 iPhone 手機殼 保護殼 軟殼 現貨 全包 蘋果手機殼 蘋果</t>
        </is>
      </c>
      <c r="C5004">
        <f>IMAGE("https://cf.shopee.tw/file/d3426e599c6f497c75118b0b7fc936b4_tn")</f>
        <v/>
      </c>
      <c r="D5004" t="inlineStr">
        <is>
          <t>戳臉小兔,X / XS</t>
        </is>
      </c>
      <c r="E5004" t="inlineStr"/>
      <c r="F5004">
        <f>IMAGE("https://cf.shopee.tw/file/92f1ca1e554ba2c622229999f7fde0b1_tn")</f>
        <v/>
      </c>
    </row>
    <row r="5005">
      <c r="A5005" t="inlineStr">
        <is>
          <t>8281402325</t>
        </is>
      </c>
      <c r="B5005" t="inlineStr">
        <is>
          <t>隔日到貨🔥 爆款 側邊液態手機殼 iPhone 手機殼 保護殼 軟殼 現貨 全包 蘋果手機殼 蘋果</t>
        </is>
      </c>
      <c r="C5005">
        <f>IMAGE("https://cf.shopee.tw/file/d3426e599c6f497c75118b0b7fc936b4_tn")</f>
        <v/>
      </c>
      <c r="D5005" t="inlineStr">
        <is>
          <t>戳臉小兔,11</t>
        </is>
      </c>
      <c r="E5005" t="inlineStr"/>
      <c r="F5005">
        <f>IMAGE("https://cf.shopee.tw/file/92f1ca1e554ba2c622229999f7fde0b1_tn")</f>
        <v/>
      </c>
    </row>
    <row r="5006">
      <c r="A5006" t="inlineStr">
        <is>
          <t>8281402325</t>
        </is>
      </c>
      <c r="B5006" t="inlineStr">
        <is>
          <t>隔日到貨🔥 爆款 側邊液態手機殼 iPhone 手機殼 保護殼 軟殼 現貨 全包 蘋果手機殼 蘋果</t>
        </is>
      </c>
      <c r="C5006">
        <f>IMAGE("https://cf.shopee.tw/file/d3426e599c6f497c75118b0b7fc936b4_tn")</f>
        <v/>
      </c>
      <c r="D5006" t="inlineStr">
        <is>
          <t>戳臉小兔,11 pro Max</t>
        </is>
      </c>
      <c r="E5006" t="inlineStr"/>
      <c r="F5006">
        <f>IMAGE("https://cf.shopee.tw/file/92f1ca1e554ba2c622229999f7fde0b1_tn")</f>
        <v/>
      </c>
    </row>
    <row r="5007">
      <c r="A5007" t="inlineStr">
        <is>
          <t>8281402325</t>
        </is>
      </c>
      <c r="B5007" t="inlineStr">
        <is>
          <t>隔日到貨🔥 爆款 側邊液態手機殼 iPhone 手機殼 保護殼 軟殼 現貨 全包 蘋果手機殼 蘋果</t>
        </is>
      </c>
      <c r="C5007">
        <f>IMAGE("https://cf.shopee.tw/file/d3426e599c6f497c75118b0b7fc936b4_tn")</f>
        <v/>
      </c>
      <c r="D5007" t="inlineStr">
        <is>
          <t>戳臉小兔,12 pro Max</t>
        </is>
      </c>
      <c r="E5007" t="inlineStr"/>
      <c r="F5007">
        <f>IMAGE("https://cf.shopee.tw/file/92f1ca1e554ba2c622229999f7fde0b1_tn")</f>
        <v/>
      </c>
    </row>
    <row r="5008">
      <c r="A5008" t="inlineStr">
        <is>
          <t>8281402325</t>
        </is>
      </c>
      <c r="B5008" t="inlineStr">
        <is>
          <t>隔日到貨🔥 爆款 側邊液態手機殼 iPhone 手機殼 保護殼 軟殼 現貨 全包 蘋果手機殼 蘋果</t>
        </is>
      </c>
      <c r="C5008">
        <f>IMAGE("https://cf.shopee.tw/file/d3426e599c6f497c75118b0b7fc936b4_tn")</f>
        <v/>
      </c>
      <c r="D5008" t="inlineStr">
        <is>
          <t>戳臉小兔,13 pro</t>
        </is>
      </c>
      <c r="E5008" t="inlineStr"/>
      <c r="F5008">
        <f>IMAGE("https://cf.shopee.tw/file/92f1ca1e554ba2c622229999f7fde0b1_tn")</f>
        <v/>
      </c>
    </row>
    <row r="5009">
      <c r="A5009" t="inlineStr">
        <is>
          <t>8281402325</t>
        </is>
      </c>
      <c r="B5009" t="inlineStr">
        <is>
          <t>隔日到貨🔥 爆款 側邊液態手機殼 iPhone 手機殼 保護殼 軟殼 現貨 全包 蘋果手機殼 蘋果</t>
        </is>
      </c>
      <c r="C5009">
        <f>IMAGE("https://cf.shopee.tw/file/d3426e599c6f497c75118b0b7fc936b4_tn")</f>
        <v/>
      </c>
      <c r="D5009" t="inlineStr">
        <is>
          <t>戳臉小兔,13 pro Max</t>
        </is>
      </c>
      <c r="E5009" t="inlineStr">
        <is>
          <t>103337512810</t>
        </is>
      </c>
      <c r="F5009">
        <f>IMAGE("https://cf.shopee.tw/file/92f1ca1e554ba2c622229999f7fde0b1_tn")</f>
        <v/>
      </c>
    </row>
    <row r="5010">
      <c r="A5010" t="inlineStr">
        <is>
          <t>8281402325</t>
        </is>
      </c>
      <c r="B5010" t="inlineStr">
        <is>
          <t>隔日到貨🔥 爆款 側邊液態手機殼 iPhone 手機殼 保護殼 軟殼 現貨 全包 蘋果手機殼 蘋果</t>
        </is>
      </c>
      <c r="C5010">
        <f>IMAGE("https://cf.shopee.tw/file/d3426e599c6f497c75118b0b7fc936b4_tn")</f>
        <v/>
      </c>
      <c r="D5010" t="inlineStr">
        <is>
          <t>戳臉小兔,14</t>
        </is>
      </c>
      <c r="E5010" t="inlineStr">
        <is>
          <t>203748439295</t>
        </is>
      </c>
      <c r="F5010">
        <f>IMAGE("https://cf.shopee.tw/file/92f1ca1e554ba2c622229999f7fde0b1_tn")</f>
        <v/>
      </c>
    </row>
    <row r="5011">
      <c r="A5011" t="inlineStr">
        <is>
          <t>8281402325</t>
        </is>
      </c>
      <c r="B5011" t="inlineStr">
        <is>
          <t>隔日到貨🔥 爆款 側邊液態手機殼 iPhone 手機殼 保護殼 軟殼 現貨 全包 蘋果手機殼 蘋果</t>
        </is>
      </c>
      <c r="C5011">
        <f>IMAGE("https://cf.shopee.tw/file/d3426e599c6f497c75118b0b7fc936b4_tn")</f>
        <v/>
      </c>
      <c r="D5011" t="inlineStr">
        <is>
          <t>戳臉小兔,14 pro</t>
        </is>
      </c>
      <c r="E5011" t="inlineStr"/>
      <c r="F5011">
        <f>IMAGE("https://cf.shopee.tw/file/92f1ca1e554ba2c622229999f7fde0b1_tn")</f>
        <v/>
      </c>
    </row>
    <row r="5012">
      <c r="A5012" t="inlineStr">
        <is>
          <t>8281402325</t>
        </is>
      </c>
      <c r="B5012" t="inlineStr">
        <is>
          <t>隔日到貨🔥 爆款 側邊液態手機殼 iPhone 手機殼 保護殼 軟殼 現貨 全包 蘋果手機殼 蘋果</t>
        </is>
      </c>
      <c r="C5012">
        <f>IMAGE("https://cf.shopee.tw/file/d3426e599c6f497c75118b0b7fc936b4_tn")</f>
        <v/>
      </c>
      <c r="D5012" t="inlineStr">
        <is>
          <t>戳臉小兔,14 pro Max</t>
        </is>
      </c>
      <c r="E5012" t="inlineStr">
        <is>
          <t>203748439291</t>
        </is>
      </c>
      <c r="F5012">
        <f>IMAGE("https://cf.shopee.tw/file/92f1ca1e554ba2c622229999f7fde0b1_tn")</f>
        <v/>
      </c>
    </row>
    <row r="5013">
      <c r="A5013" t="inlineStr">
        <is>
          <t>22568487237</t>
        </is>
      </c>
      <c r="B5013" t="inlineStr">
        <is>
          <t>隔日到貨🔥 iPhone 手機殼 15 14 13 12 11 pro Max XS XR SE 保護殼 軟殼</t>
        </is>
      </c>
      <c r="C5013">
        <f>IMAGE("https://cf.shopee.tw/file/tw-11134207-7qul2-lh1nkdc3x6p8a7_tn")</f>
        <v/>
      </c>
      <c r="D5013" t="inlineStr">
        <is>
          <t>下午茶點,7 / 8 / SE2 / SE3</t>
        </is>
      </c>
      <c r="E5013" t="inlineStr"/>
      <c r="F5013">
        <f>IMAGE("https://cf.shopee.tw/file/tw-11134207-7qul6-lh1nkdbtyzop15_tn")</f>
        <v/>
      </c>
    </row>
    <row r="5014">
      <c r="A5014" t="inlineStr">
        <is>
          <t>22568487237</t>
        </is>
      </c>
      <c r="B5014" t="inlineStr">
        <is>
          <t>隔日到貨🔥 iPhone 手機殼 15 14 13 12 11 pro Max XS XR SE 保護殼 軟殼</t>
        </is>
      </c>
      <c r="C5014">
        <f>IMAGE("https://cf.shopee.tw/file/tw-11134207-7qul2-lh1nkdc3x6p8a7_tn")</f>
        <v/>
      </c>
      <c r="D5014" t="inlineStr">
        <is>
          <t>下午茶點,XR</t>
        </is>
      </c>
      <c r="E5014" t="inlineStr"/>
      <c r="F5014">
        <f>IMAGE("https://cf.shopee.tw/file/tw-11134207-7qul6-lh1nkdbtyzop15_tn")</f>
        <v/>
      </c>
    </row>
    <row r="5015">
      <c r="A5015" t="inlineStr">
        <is>
          <t>22568487237</t>
        </is>
      </c>
      <c r="B5015" t="inlineStr">
        <is>
          <t>隔日到貨🔥 iPhone 手機殼 15 14 13 12 11 pro Max XS XR SE 保護殼 軟殼</t>
        </is>
      </c>
      <c r="C5015">
        <f>IMAGE("https://cf.shopee.tw/file/tw-11134207-7qul2-lh1nkdc3x6p8a7_tn")</f>
        <v/>
      </c>
      <c r="D5015" t="inlineStr">
        <is>
          <t>下午茶點,11</t>
        </is>
      </c>
      <c r="E5015" t="inlineStr"/>
      <c r="F5015">
        <f>IMAGE("https://cf.shopee.tw/file/tw-11134207-7qul6-lh1nkdbtyzop15_tn")</f>
        <v/>
      </c>
    </row>
    <row r="5016">
      <c r="A5016" t="inlineStr">
        <is>
          <t>22568487237</t>
        </is>
      </c>
      <c r="B5016" t="inlineStr">
        <is>
          <t>隔日到貨🔥 iPhone 手機殼 15 14 13 12 11 pro Max XS XR SE 保護殼 軟殼</t>
        </is>
      </c>
      <c r="C5016">
        <f>IMAGE("https://cf.shopee.tw/file/tw-11134207-7qul2-lh1nkdc3x6p8a7_tn")</f>
        <v/>
      </c>
      <c r="D5016" t="inlineStr">
        <is>
          <t>下午茶點,11 pro</t>
        </is>
      </c>
      <c r="E5016" t="inlineStr"/>
      <c r="F5016">
        <f>IMAGE("https://cf.shopee.tw/file/tw-11134207-7qul6-lh1nkdbtyzop15_tn")</f>
        <v/>
      </c>
    </row>
    <row r="5017">
      <c r="A5017" t="inlineStr">
        <is>
          <t>22568487237</t>
        </is>
      </c>
      <c r="B5017" t="inlineStr">
        <is>
          <t>隔日到貨🔥 iPhone 手機殼 15 14 13 12 11 pro Max XS XR SE 保護殼 軟殼</t>
        </is>
      </c>
      <c r="C5017">
        <f>IMAGE("https://cf.shopee.tw/file/tw-11134207-7qul2-lh1nkdc3x6p8a7_tn")</f>
        <v/>
      </c>
      <c r="D5017" t="inlineStr">
        <is>
          <t>下午茶點,12 /12 pro</t>
        </is>
      </c>
      <c r="E5017" t="inlineStr"/>
      <c r="F5017">
        <f>IMAGE("https://cf.shopee.tw/file/tw-11134207-7qul6-lh1nkdbtyzop15_tn")</f>
        <v/>
      </c>
    </row>
    <row r="5018">
      <c r="A5018" t="inlineStr">
        <is>
          <t>22568487237</t>
        </is>
      </c>
      <c r="B5018" t="inlineStr">
        <is>
          <t>隔日到貨🔥 iPhone 手機殼 15 14 13 12 11 pro Max XS XR SE 保護殼 軟殼</t>
        </is>
      </c>
      <c r="C5018">
        <f>IMAGE("https://cf.shopee.tw/file/tw-11134207-7qul2-lh1nkdc3x6p8a7_tn")</f>
        <v/>
      </c>
      <c r="D5018" t="inlineStr">
        <is>
          <t>下午茶點,13</t>
        </is>
      </c>
      <c r="E5018" t="inlineStr"/>
      <c r="F5018">
        <f>IMAGE("https://cf.shopee.tw/file/tw-11134207-7qul6-lh1nkdbtyzop15_tn")</f>
        <v/>
      </c>
    </row>
    <row r="5019">
      <c r="A5019" t="inlineStr">
        <is>
          <t>22568487237</t>
        </is>
      </c>
      <c r="B5019" t="inlineStr">
        <is>
          <t>隔日到貨🔥 iPhone 手機殼 15 14 13 12 11 pro Max XS XR SE 保護殼 軟殼</t>
        </is>
      </c>
      <c r="C5019">
        <f>IMAGE("https://cf.shopee.tw/file/tw-11134207-7qul2-lh1nkdc3x6p8a7_tn")</f>
        <v/>
      </c>
      <c r="D5019" t="inlineStr">
        <is>
          <t>下午茶點,13 pro</t>
        </is>
      </c>
      <c r="E5019" t="inlineStr"/>
      <c r="F5019">
        <f>IMAGE("https://cf.shopee.tw/file/tw-11134207-7qul6-lh1nkdbtyzop15_tn")</f>
        <v/>
      </c>
    </row>
    <row r="5020">
      <c r="A5020" t="inlineStr">
        <is>
          <t>22568487237</t>
        </is>
      </c>
      <c r="B5020" t="inlineStr">
        <is>
          <t>隔日到貨🔥 iPhone 手機殼 15 14 13 12 11 pro Max XS XR SE 保護殼 軟殼</t>
        </is>
      </c>
      <c r="C5020">
        <f>IMAGE("https://cf.shopee.tw/file/tw-11134207-7qul2-lh1nkdc3x6p8a7_tn")</f>
        <v/>
      </c>
      <c r="D5020" t="inlineStr">
        <is>
          <t>下午茶點,13 mini</t>
        </is>
      </c>
      <c r="E5020" t="inlineStr"/>
      <c r="F5020">
        <f>IMAGE("https://cf.shopee.tw/file/tw-11134207-7qul6-lh1nkdbtyzop15_tn")</f>
        <v/>
      </c>
    </row>
    <row r="5021">
      <c r="A5021" t="inlineStr">
        <is>
          <t>22568487237</t>
        </is>
      </c>
      <c r="B5021" t="inlineStr">
        <is>
          <t>隔日到貨🔥 iPhone 手機殼 15 14 13 12 11 pro Max XS XR SE 保護殼 軟殼</t>
        </is>
      </c>
      <c r="C5021">
        <f>IMAGE("https://cf.shopee.tw/file/tw-11134207-7qul2-lh1nkdc3x6p8a7_tn")</f>
        <v/>
      </c>
      <c r="D5021" t="inlineStr">
        <is>
          <t>下午茶點,14</t>
        </is>
      </c>
      <c r="E5021" t="inlineStr"/>
      <c r="F5021">
        <f>IMAGE("https://cf.shopee.tw/file/tw-11134207-7qul6-lh1nkdbtyzop15_tn")</f>
        <v/>
      </c>
    </row>
    <row r="5022">
      <c r="A5022" t="inlineStr">
        <is>
          <t>22568487237</t>
        </is>
      </c>
      <c r="B5022" t="inlineStr">
        <is>
          <t>隔日到貨🔥 iPhone 手機殼 15 14 13 12 11 pro Max XS XR SE 保護殼 軟殼</t>
        </is>
      </c>
      <c r="C5022">
        <f>IMAGE("https://cf.shopee.tw/file/tw-11134207-7qul2-lh1nkdc3x6p8a7_tn")</f>
        <v/>
      </c>
      <c r="D5022" t="inlineStr">
        <is>
          <t>下午茶點,14 pro Max</t>
        </is>
      </c>
      <c r="E5022" t="inlineStr"/>
      <c r="F5022">
        <f>IMAGE("https://cf.shopee.tw/file/tw-11134207-7qul6-lh1nkdbtyzop15_tn")</f>
        <v/>
      </c>
    </row>
    <row r="5023">
      <c r="A5023" t="inlineStr">
        <is>
          <t>22568487237</t>
        </is>
      </c>
      <c r="B5023" t="inlineStr">
        <is>
          <t>隔日到貨🔥 iPhone 手機殼 15 14 13 12 11 pro Max XS XR SE 保護殼 軟殼</t>
        </is>
      </c>
      <c r="C5023">
        <f>IMAGE("https://cf.shopee.tw/file/tw-11134207-7qul2-lh1nkdc3x6p8a7_tn")</f>
        <v/>
      </c>
      <c r="D5023" t="inlineStr">
        <is>
          <t>下午茶點,15 Plus</t>
        </is>
      </c>
      <c r="E5023" t="inlineStr">
        <is>
          <t>214612360861</t>
        </is>
      </c>
      <c r="F5023">
        <f>IMAGE("https://cf.shopee.tw/file/tw-11134207-7qul6-lh1nkdbtyzop15_tn")</f>
        <v/>
      </c>
    </row>
    <row r="5024">
      <c r="A5024" t="inlineStr">
        <is>
          <t>22568487237</t>
        </is>
      </c>
      <c r="B5024" t="inlineStr">
        <is>
          <t>隔日到貨🔥 iPhone 手機殼 15 14 13 12 11 pro Max XS XR SE 保護殼 軟殼</t>
        </is>
      </c>
      <c r="C5024">
        <f>IMAGE("https://cf.shopee.tw/file/tw-11134207-7qul2-lh1nkdc3x6p8a7_tn")</f>
        <v/>
      </c>
      <c r="D5024" t="inlineStr">
        <is>
          <t>下午茶點,15 pro</t>
        </is>
      </c>
      <c r="E5024" t="inlineStr"/>
      <c r="F5024">
        <f>IMAGE("https://cf.shopee.tw/file/tw-11134207-7qul6-lh1nkdbtyzop15_tn")</f>
        <v/>
      </c>
    </row>
    <row r="5025">
      <c r="A5025" t="inlineStr">
        <is>
          <t>22568487237</t>
        </is>
      </c>
      <c r="B5025" t="inlineStr">
        <is>
          <t>隔日到貨🔥 iPhone 手機殼 15 14 13 12 11 pro Max XS XR SE 保護殼 軟殼</t>
        </is>
      </c>
      <c r="C5025">
        <f>IMAGE("https://cf.shopee.tw/file/tw-11134207-7qul2-lh1nkdc3x6p8a7_tn")</f>
        <v/>
      </c>
      <c r="D5025" t="inlineStr">
        <is>
          <t>下午茶點,7Plus / 8Plus</t>
        </is>
      </c>
      <c r="E5025" t="inlineStr"/>
      <c r="F5025">
        <f>IMAGE("https://cf.shopee.tw/file/tw-11134207-7qul6-lh1nkdbtyzop15_tn")</f>
        <v/>
      </c>
    </row>
    <row r="5026">
      <c r="A5026" t="inlineStr">
        <is>
          <t>22568487237</t>
        </is>
      </c>
      <c r="B5026" t="inlineStr">
        <is>
          <t>隔日到貨🔥 iPhone 手機殼 15 14 13 12 11 pro Max XS XR SE 保護殼 軟殼</t>
        </is>
      </c>
      <c r="C5026">
        <f>IMAGE("https://cf.shopee.tw/file/tw-11134207-7qul2-lh1nkdc3x6p8a7_tn")</f>
        <v/>
      </c>
      <c r="D5026" t="inlineStr">
        <is>
          <t>下午茶點,X / XS</t>
        </is>
      </c>
      <c r="E5026" t="inlineStr">
        <is>
          <t>186774595793</t>
        </is>
      </c>
      <c r="F5026">
        <f>IMAGE("https://cf.shopee.tw/file/tw-11134207-7qul6-lh1nkdbtyzop15_tn")</f>
        <v/>
      </c>
    </row>
    <row r="5027">
      <c r="A5027" t="inlineStr">
        <is>
          <t>22568487237</t>
        </is>
      </c>
      <c r="B5027" t="inlineStr">
        <is>
          <t>隔日到貨🔥 iPhone 手機殼 15 14 13 12 11 pro Max XS XR SE 保護殼 軟殼</t>
        </is>
      </c>
      <c r="C5027">
        <f>IMAGE("https://cf.shopee.tw/file/tw-11134207-7qul2-lh1nkdc3x6p8a7_tn")</f>
        <v/>
      </c>
      <c r="D5027" t="inlineStr">
        <is>
          <t>下午茶點,XS Max</t>
        </is>
      </c>
      <c r="E5027" t="inlineStr"/>
      <c r="F5027">
        <f>IMAGE("https://cf.shopee.tw/file/tw-11134207-7qul6-lh1nkdbtyzop15_tn")</f>
        <v/>
      </c>
    </row>
    <row r="5028">
      <c r="A5028" t="inlineStr">
        <is>
          <t>22568487237</t>
        </is>
      </c>
      <c r="B5028" t="inlineStr">
        <is>
          <t>隔日到貨🔥 iPhone 手機殼 15 14 13 12 11 pro Max XS XR SE 保護殼 軟殼</t>
        </is>
      </c>
      <c r="C5028">
        <f>IMAGE("https://cf.shopee.tw/file/tw-11134207-7qul2-lh1nkdc3x6p8a7_tn")</f>
        <v/>
      </c>
      <c r="D5028" t="inlineStr">
        <is>
          <t>下午茶點,11 pro max</t>
        </is>
      </c>
      <c r="E5028" t="inlineStr">
        <is>
          <t>186774595796</t>
        </is>
      </c>
      <c r="F5028">
        <f>IMAGE("https://cf.shopee.tw/file/tw-11134207-7qul6-lh1nkdbtyzop15_tn")</f>
        <v/>
      </c>
    </row>
    <row r="5029">
      <c r="A5029" t="inlineStr">
        <is>
          <t>22568487237</t>
        </is>
      </c>
      <c r="B5029" t="inlineStr">
        <is>
          <t>隔日到貨🔥 iPhone 手機殼 15 14 13 12 11 pro Max XS XR SE 保護殼 軟殼</t>
        </is>
      </c>
      <c r="C5029">
        <f>IMAGE("https://cf.shopee.tw/file/tw-11134207-7qul2-lh1nkdc3x6p8a7_tn")</f>
        <v/>
      </c>
      <c r="D5029" t="inlineStr">
        <is>
          <t>下午茶點,12 pro Max</t>
        </is>
      </c>
      <c r="E5029" t="inlineStr"/>
      <c r="F5029">
        <f>IMAGE("https://cf.shopee.tw/file/tw-11134207-7qul6-lh1nkdbtyzop15_tn")</f>
        <v/>
      </c>
    </row>
    <row r="5030">
      <c r="A5030" t="inlineStr">
        <is>
          <t>22568487237</t>
        </is>
      </c>
      <c r="B5030" t="inlineStr">
        <is>
          <t>隔日到貨🔥 iPhone 手機殼 15 14 13 12 11 pro Max XS XR SE 保護殼 軟殼</t>
        </is>
      </c>
      <c r="C5030">
        <f>IMAGE("https://cf.shopee.tw/file/tw-11134207-7qul2-lh1nkdc3x6p8a7_tn")</f>
        <v/>
      </c>
      <c r="D5030" t="inlineStr">
        <is>
          <t>下午茶點,13 pro Max</t>
        </is>
      </c>
      <c r="E5030" t="inlineStr"/>
      <c r="F5030">
        <f>IMAGE("https://cf.shopee.tw/file/tw-11134207-7qul6-lh1nkdbtyzop15_tn")</f>
        <v/>
      </c>
    </row>
    <row r="5031">
      <c r="A5031" t="inlineStr">
        <is>
          <t>22568487237</t>
        </is>
      </c>
      <c r="B5031" t="inlineStr">
        <is>
          <t>隔日到貨🔥 iPhone 手機殼 15 14 13 12 11 pro Max XS XR SE 保護殼 軟殼</t>
        </is>
      </c>
      <c r="C5031">
        <f>IMAGE("https://cf.shopee.tw/file/tw-11134207-7qul2-lh1nkdc3x6p8a7_tn")</f>
        <v/>
      </c>
      <c r="D5031" t="inlineStr">
        <is>
          <t>下午茶點,14 Plus</t>
        </is>
      </c>
      <c r="E5031" t="inlineStr"/>
      <c r="F5031">
        <f>IMAGE("https://cf.shopee.tw/file/tw-11134207-7qul6-lh1nkdbtyzop15_tn")</f>
        <v/>
      </c>
    </row>
    <row r="5032">
      <c r="A5032" t="inlineStr">
        <is>
          <t>22568487237</t>
        </is>
      </c>
      <c r="B5032" t="inlineStr">
        <is>
          <t>隔日到貨🔥 iPhone 手機殼 15 14 13 12 11 pro Max XS XR SE 保護殼 軟殼</t>
        </is>
      </c>
      <c r="C5032">
        <f>IMAGE("https://cf.shopee.tw/file/tw-11134207-7qul2-lh1nkdc3x6p8a7_tn")</f>
        <v/>
      </c>
      <c r="D5032" t="inlineStr">
        <is>
          <t>下午茶點,14 pro</t>
        </is>
      </c>
      <c r="E5032" t="inlineStr"/>
      <c r="F5032">
        <f>IMAGE("https://cf.shopee.tw/file/tw-11134207-7qul6-lh1nkdbtyzop15_tn")</f>
        <v/>
      </c>
    </row>
    <row r="5033">
      <c r="A5033" t="inlineStr">
        <is>
          <t>22568487237</t>
        </is>
      </c>
      <c r="B5033" t="inlineStr">
        <is>
          <t>隔日到貨🔥 iPhone 手機殼 15 14 13 12 11 pro Max XS XR SE 保護殼 軟殼</t>
        </is>
      </c>
      <c r="C5033">
        <f>IMAGE("https://cf.shopee.tw/file/tw-11134207-7qul2-lh1nkdc3x6p8a7_tn")</f>
        <v/>
      </c>
      <c r="D5033" t="inlineStr">
        <is>
          <t>下午茶點,15</t>
        </is>
      </c>
      <c r="E5033" t="inlineStr">
        <is>
          <t>214612360860</t>
        </is>
      </c>
      <c r="F5033">
        <f>IMAGE("https://cf.shopee.tw/file/tw-11134207-7qul6-lh1nkdbtyzop15_tn")</f>
        <v/>
      </c>
    </row>
    <row r="5034">
      <c r="A5034" t="inlineStr">
        <is>
          <t>22568487237</t>
        </is>
      </c>
      <c r="B5034" t="inlineStr">
        <is>
          <t>隔日到貨🔥 iPhone 手機殼 15 14 13 12 11 pro Max XS XR SE 保護殼 軟殼</t>
        </is>
      </c>
      <c r="C5034">
        <f>IMAGE("https://cf.shopee.tw/file/tw-11134207-7qul2-lh1nkdc3x6p8a7_tn")</f>
        <v/>
      </c>
      <c r="D5034" t="inlineStr">
        <is>
          <t>下午茶點,15 pro Max</t>
        </is>
      </c>
      <c r="E5034" t="inlineStr"/>
      <c r="F5034">
        <f>IMAGE("https://cf.shopee.tw/file/tw-11134207-7qul6-lh1nkdbtyzop15_tn")</f>
        <v/>
      </c>
    </row>
    <row r="5035">
      <c r="A5035" t="inlineStr">
        <is>
          <t>24514999862</t>
        </is>
      </c>
      <c r="B5035" t="inlineStr">
        <is>
          <t>隔日到貨🔥 多國旅行充電器 轉接頭 二合一 Type-C+雙USB-A充電器 萬國充 BSMI認證 充電頭 充電線</t>
        </is>
      </c>
      <c r="C5035">
        <f>IMAGE("https://cf.shopee.tw/file/tw-11134207-7r98z-ls3zewtbcnwo7f_tn")</f>
        <v/>
      </c>
      <c r="D5035" t="inlineStr">
        <is>
          <t>黑色充電器</t>
        </is>
      </c>
      <c r="E5035" t="inlineStr">
        <is>
          <t>168076075174</t>
        </is>
      </c>
      <c r="F5035">
        <f>IMAGE("https://cf.shopee.tw/file/tw-11134207-7r98w-ls3zewtbe2h49e_tn")</f>
        <v/>
      </c>
    </row>
    <row r="5036">
      <c r="A5036" t="inlineStr">
        <is>
          <t>24514999862</t>
        </is>
      </c>
      <c r="B5036" t="inlineStr">
        <is>
          <t>隔日到貨🔥 多國旅行充電器 轉接頭 二合一 Type-C+雙USB-A充電器 萬國充 BSMI認證 充電頭 充電線</t>
        </is>
      </c>
      <c r="C5036">
        <f>IMAGE("https://cf.shopee.tw/file/tw-11134207-7r98z-ls3zewtbcnwo7f_tn")</f>
        <v/>
      </c>
      <c r="D5036" t="inlineStr">
        <is>
          <t>白色充電器</t>
        </is>
      </c>
      <c r="E5036" t="inlineStr">
        <is>
          <t>168076075175</t>
        </is>
      </c>
      <c r="F5036">
        <f>IMAGE("https://cf.shopee.tw/file/tw-11134207-7r98o-ls3zewtd3v0yd3_tn")</f>
        <v/>
      </c>
    </row>
    <row r="5037">
      <c r="A5037" t="inlineStr">
        <is>
          <t>24959224659</t>
        </is>
      </c>
      <c r="B5037" t="inlineStr">
        <is>
          <t>隔日到貨🔥 iPhone 手機殼 15 14 pro 13 12 11 保護殼 軟殼 蘋果</t>
        </is>
      </c>
      <c r="C5037">
        <f>IMAGE("https://cf.shopee.tw/file/tw-11134207-7r990-lqnj8v14nria9d_tn")</f>
        <v/>
      </c>
      <c r="D5037" t="inlineStr">
        <is>
          <t>黑色荔枝紋,11</t>
        </is>
      </c>
      <c r="E5037" t="inlineStr"/>
      <c r="F5037">
        <f>IMAGE("https://cf.shopee.tw/file/tw-11134207-7r98t-lqnj8v0tunyw7f_tn")</f>
        <v/>
      </c>
    </row>
    <row r="5038">
      <c r="A5038" t="inlineStr">
        <is>
          <t>24959224659</t>
        </is>
      </c>
      <c r="B5038" t="inlineStr">
        <is>
          <t>隔日到貨🔥 iPhone 手機殼 15 14 pro 13 12 11 保護殼 軟殼 蘋果</t>
        </is>
      </c>
      <c r="C5038">
        <f>IMAGE("https://cf.shopee.tw/file/tw-11134207-7r990-lqnj8v14nria9d_tn")</f>
        <v/>
      </c>
      <c r="D5038" t="inlineStr">
        <is>
          <t>黑色荔枝紋,11 pro Max</t>
        </is>
      </c>
      <c r="E5038" t="inlineStr"/>
      <c r="F5038">
        <f>IMAGE("https://cf.shopee.tw/file/tw-11134207-7r98t-lqnj8v0tunyw7f_tn")</f>
        <v/>
      </c>
    </row>
    <row r="5039">
      <c r="A5039" t="inlineStr">
        <is>
          <t>24959224659</t>
        </is>
      </c>
      <c r="B5039" t="inlineStr">
        <is>
          <t>隔日到貨🔥 iPhone 手機殼 15 14 pro 13 12 11 保護殼 軟殼 蘋果</t>
        </is>
      </c>
      <c r="C5039">
        <f>IMAGE("https://cf.shopee.tw/file/tw-11134207-7r990-lqnj8v14nria9d_tn")</f>
        <v/>
      </c>
      <c r="D5039" t="inlineStr">
        <is>
          <t>黑色荔枝紋,12/12pro</t>
        </is>
      </c>
      <c r="E5039" t="inlineStr"/>
      <c r="F5039">
        <f>IMAGE("https://cf.shopee.tw/file/tw-11134207-7r98t-lqnj8v0tunyw7f_tn")</f>
        <v/>
      </c>
    </row>
    <row r="5040">
      <c r="A5040" t="inlineStr">
        <is>
          <t>24959224659</t>
        </is>
      </c>
      <c r="B5040" t="inlineStr">
        <is>
          <t>隔日到貨🔥 iPhone 手機殼 15 14 pro 13 12 11 保護殼 軟殼 蘋果</t>
        </is>
      </c>
      <c r="C5040">
        <f>IMAGE("https://cf.shopee.tw/file/tw-11134207-7r990-lqnj8v14nria9d_tn")</f>
        <v/>
      </c>
      <c r="D5040" t="inlineStr">
        <is>
          <t>黑色荔枝紋,12 pro Max</t>
        </is>
      </c>
      <c r="E5040" t="inlineStr"/>
      <c r="F5040">
        <f>IMAGE("https://cf.shopee.tw/file/tw-11134207-7r98t-lqnj8v0tunyw7f_tn")</f>
        <v/>
      </c>
    </row>
    <row r="5041">
      <c r="A5041" t="inlineStr">
        <is>
          <t>24959224659</t>
        </is>
      </c>
      <c r="B5041" t="inlineStr">
        <is>
          <t>隔日到貨🔥 iPhone 手機殼 15 14 pro 13 12 11 保護殼 軟殼 蘋果</t>
        </is>
      </c>
      <c r="C5041">
        <f>IMAGE("https://cf.shopee.tw/file/tw-11134207-7r990-lqnj8v14nria9d_tn")</f>
        <v/>
      </c>
      <c r="D5041" t="inlineStr">
        <is>
          <t>黑色荔枝紋,13</t>
        </is>
      </c>
      <c r="E5041" t="inlineStr"/>
      <c r="F5041">
        <f>IMAGE("https://cf.shopee.tw/file/tw-11134207-7r98t-lqnj8v0tunyw7f_tn")</f>
        <v/>
      </c>
    </row>
    <row r="5042">
      <c r="A5042" t="inlineStr">
        <is>
          <t>24959224659</t>
        </is>
      </c>
      <c r="B5042" t="inlineStr">
        <is>
          <t>隔日到貨🔥 iPhone 手機殼 15 14 pro 13 12 11 保護殼 軟殼 蘋果</t>
        </is>
      </c>
      <c r="C5042">
        <f>IMAGE("https://cf.shopee.tw/file/tw-11134207-7r990-lqnj8v14nria9d_tn")</f>
        <v/>
      </c>
      <c r="D5042" t="inlineStr">
        <is>
          <t>黑色荔枝紋,13 pro</t>
        </is>
      </c>
      <c r="E5042" t="inlineStr"/>
      <c r="F5042">
        <f>IMAGE("https://cf.shopee.tw/file/tw-11134207-7r98t-lqnj8v0tunyw7f_tn")</f>
        <v/>
      </c>
    </row>
    <row r="5043">
      <c r="A5043" t="inlineStr">
        <is>
          <t>24959224659</t>
        </is>
      </c>
      <c r="B5043" t="inlineStr">
        <is>
          <t>隔日到貨🔥 iPhone 手機殼 15 14 pro 13 12 11 保護殼 軟殼 蘋果</t>
        </is>
      </c>
      <c r="C5043">
        <f>IMAGE("https://cf.shopee.tw/file/tw-11134207-7r990-lqnj8v14nria9d_tn")</f>
        <v/>
      </c>
      <c r="D5043" t="inlineStr">
        <is>
          <t>黑色荔枝紋,13 pro Max</t>
        </is>
      </c>
      <c r="E5043" t="inlineStr"/>
      <c r="F5043">
        <f>IMAGE("https://cf.shopee.tw/file/tw-11134207-7r98t-lqnj8v0tunyw7f_tn")</f>
        <v/>
      </c>
    </row>
    <row r="5044">
      <c r="A5044" t="inlineStr">
        <is>
          <t>24959224659</t>
        </is>
      </c>
      <c r="B5044" t="inlineStr">
        <is>
          <t>隔日到貨🔥 iPhone 手機殼 15 14 pro 13 12 11 保護殼 軟殼 蘋果</t>
        </is>
      </c>
      <c r="C5044">
        <f>IMAGE("https://cf.shopee.tw/file/tw-11134207-7r990-lqnj8v14nria9d_tn")</f>
        <v/>
      </c>
      <c r="D5044" t="inlineStr">
        <is>
          <t>黑色荔枝紋,14</t>
        </is>
      </c>
      <c r="E5044" t="inlineStr"/>
      <c r="F5044">
        <f>IMAGE("https://cf.shopee.tw/file/tw-11134207-7r98t-lqnj8v0tunyw7f_tn")</f>
        <v/>
      </c>
    </row>
    <row r="5045">
      <c r="A5045" t="inlineStr">
        <is>
          <t>24959224659</t>
        </is>
      </c>
      <c r="B5045" t="inlineStr">
        <is>
          <t>隔日到貨🔥 iPhone 手機殼 15 14 pro 13 12 11 保護殼 軟殼 蘋果</t>
        </is>
      </c>
      <c r="C5045">
        <f>IMAGE("https://cf.shopee.tw/file/tw-11134207-7r990-lqnj8v14nria9d_tn")</f>
        <v/>
      </c>
      <c r="D5045" t="inlineStr">
        <is>
          <t>黑色荔枝紋,14 pro</t>
        </is>
      </c>
      <c r="E5045" t="inlineStr"/>
      <c r="F5045">
        <f>IMAGE("https://cf.shopee.tw/file/tw-11134207-7r98t-lqnj8v0tunyw7f_tn")</f>
        <v/>
      </c>
    </row>
    <row r="5046">
      <c r="A5046" t="inlineStr">
        <is>
          <t>24959224659</t>
        </is>
      </c>
      <c r="B5046" t="inlineStr">
        <is>
          <t>隔日到貨🔥 iPhone 手機殼 15 14 pro 13 12 11 保護殼 軟殼 蘋果</t>
        </is>
      </c>
      <c r="C5046">
        <f>IMAGE("https://cf.shopee.tw/file/tw-11134207-7r990-lqnj8v14nria9d_tn")</f>
        <v/>
      </c>
      <c r="D5046" t="inlineStr">
        <is>
          <t>黑色荔枝紋,15</t>
        </is>
      </c>
      <c r="E5046" t="inlineStr"/>
      <c r="F5046">
        <f>IMAGE("https://cf.shopee.tw/file/tw-11134207-7r98t-lqnj8v0tunyw7f_tn")</f>
        <v/>
      </c>
    </row>
    <row r="5047">
      <c r="A5047" t="inlineStr">
        <is>
          <t>24959224659</t>
        </is>
      </c>
      <c r="B5047" t="inlineStr">
        <is>
          <t>隔日到貨🔥 iPhone 手機殼 15 14 pro 13 12 11 保護殼 軟殼 蘋果</t>
        </is>
      </c>
      <c r="C5047">
        <f>IMAGE("https://cf.shopee.tw/file/tw-11134207-7r990-lqnj8v14nria9d_tn")</f>
        <v/>
      </c>
      <c r="D5047" t="inlineStr">
        <is>
          <t>黑色荔枝紋,14 pro Max</t>
        </is>
      </c>
      <c r="E5047" t="inlineStr"/>
      <c r="F5047">
        <f>IMAGE("https://cf.shopee.tw/file/tw-11134207-7r98t-lqnj8v0tunyw7f_tn")</f>
        <v/>
      </c>
    </row>
    <row r="5048">
      <c r="A5048" t="inlineStr">
        <is>
          <t>24959224659</t>
        </is>
      </c>
      <c r="B5048" t="inlineStr">
        <is>
          <t>隔日到貨🔥 iPhone 手機殼 15 14 pro 13 12 11 保護殼 軟殼 蘋果</t>
        </is>
      </c>
      <c r="C5048">
        <f>IMAGE("https://cf.shopee.tw/file/tw-11134207-7r990-lqnj8v14nria9d_tn")</f>
        <v/>
      </c>
      <c r="D5048" t="inlineStr">
        <is>
          <t>黑色荔枝紋,15 pro</t>
        </is>
      </c>
      <c r="E5048" t="inlineStr">
        <is>
          <t>187279109620</t>
        </is>
      </c>
      <c r="F5048">
        <f>IMAGE("https://cf.shopee.tw/file/tw-11134207-7r98t-lqnj8v0tunyw7f_tn")</f>
        <v/>
      </c>
    </row>
    <row r="5049">
      <c r="A5049" t="inlineStr">
        <is>
          <t>24959224659</t>
        </is>
      </c>
      <c r="B5049" t="inlineStr">
        <is>
          <t>隔日到貨🔥 iPhone 手機殼 15 14 pro 13 12 11 保護殼 軟殼 蘋果</t>
        </is>
      </c>
      <c r="C5049">
        <f>IMAGE("https://cf.shopee.tw/file/tw-11134207-7r990-lqnj8v14nria9d_tn")</f>
        <v/>
      </c>
      <c r="D5049" t="inlineStr">
        <is>
          <t>黑色荔枝紋,15 pro Max</t>
        </is>
      </c>
      <c r="E5049" t="inlineStr"/>
      <c r="F5049">
        <f>IMAGE("https://cf.shopee.tw/file/tw-11134207-7r98t-lqnj8v0tunyw7f_tn")</f>
        <v/>
      </c>
    </row>
    <row r="5050">
      <c r="A5050" t="inlineStr">
        <is>
          <t>24959224659</t>
        </is>
      </c>
      <c r="B5050" t="inlineStr">
        <is>
          <t>隔日到貨🔥 iPhone 手機殼 15 14 pro 13 12 11 保護殼 軟殼 蘋果</t>
        </is>
      </c>
      <c r="C5050">
        <f>IMAGE("https://cf.shopee.tw/file/tw-11134207-7r990-lqnj8v14nria9d_tn")</f>
        <v/>
      </c>
      <c r="D5050" t="inlineStr">
        <is>
          <t>黑色荔枝紋,15 Plus</t>
        </is>
      </c>
      <c r="E5050" t="inlineStr">
        <is>
          <t>187279109622</t>
        </is>
      </c>
      <c r="F5050">
        <f>IMAGE("https://cf.shopee.tw/file/tw-11134207-7r98t-lqnj8v0tunyw7f_tn")</f>
        <v/>
      </c>
    </row>
    <row r="5051">
      <c r="A5051" t="inlineStr">
        <is>
          <t>22229351073</t>
        </is>
      </c>
      <c r="B5051" t="inlineStr">
        <is>
          <t>隔日到貨🔥 iPhone 手機殼 14 13 12 11 pro Max XS XR SE 8plus 保護殼 軟殼</t>
        </is>
      </c>
      <c r="C5051">
        <f>IMAGE("https://cf.shopee.tw/file/tw-11134207-23030-91pmbppmz9nvaa_tn")</f>
        <v/>
      </c>
      <c r="D5051" t="inlineStr">
        <is>
          <t>奶白(單殼),7/8/SE2/SE3</t>
        </is>
      </c>
      <c r="E5051" t="inlineStr"/>
      <c r="F5051">
        <f>IMAGE("https://cf.shopee.tw/file/tw-11134207-23030-s1ys5t0oz9nv0c_tn")</f>
        <v/>
      </c>
    </row>
    <row r="5052">
      <c r="A5052" t="inlineStr">
        <is>
          <t>22229351073</t>
        </is>
      </c>
      <c r="B5052" t="inlineStr">
        <is>
          <t>隔日到貨🔥 iPhone 手機殼 14 13 12 11 pro Max XS XR SE 8plus 保護殼 軟殼</t>
        </is>
      </c>
      <c r="C5052">
        <f>IMAGE("https://cf.shopee.tw/file/tw-11134207-23030-91pmbppmz9nvaa_tn")</f>
        <v/>
      </c>
      <c r="D5052" t="inlineStr">
        <is>
          <t>奶白(單殼),11 pro Max</t>
        </is>
      </c>
      <c r="E5052" t="inlineStr"/>
      <c r="F5052">
        <f>IMAGE("https://cf.shopee.tw/file/tw-11134207-23030-s1ys5t0oz9nv0c_tn")</f>
        <v/>
      </c>
    </row>
    <row r="5053">
      <c r="A5053" t="inlineStr">
        <is>
          <t>22229351073</t>
        </is>
      </c>
      <c r="B5053" t="inlineStr">
        <is>
          <t>隔日到貨🔥 iPhone 手機殼 14 13 12 11 pro Max XS XR SE 8plus 保護殼 軟殼</t>
        </is>
      </c>
      <c r="C5053">
        <f>IMAGE("https://cf.shopee.tw/file/tw-11134207-23030-91pmbppmz9nvaa_tn")</f>
        <v/>
      </c>
      <c r="D5053" t="inlineStr">
        <is>
          <t>奶白(單殼),12</t>
        </is>
      </c>
      <c r="E5053" t="inlineStr"/>
      <c r="F5053">
        <f>IMAGE("https://cf.shopee.tw/file/tw-11134207-23030-s1ys5t0oz9nv0c_tn")</f>
        <v/>
      </c>
    </row>
    <row r="5054">
      <c r="A5054" t="inlineStr">
        <is>
          <t>22229351073</t>
        </is>
      </c>
      <c r="B5054" t="inlineStr">
        <is>
          <t>隔日到貨🔥 iPhone 手機殼 14 13 12 11 pro Max XS XR SE 8plus 保護殼 軟殼</t>
        </is>
      </c>
      <c r="C5054">
        <f>IMAGE("https://cf.shopee.tw/file/tw-11134207-23030-91pmbppmz9nvaa_tn")</f>
        <v/>
      </c>
      <c r="D5054" t="inlineStr">
        <is>
          <t>奶白(單殼),13 pro Max</t>
        </is>
      </c>
      <c r="E5054" t="inlineStr"/>
      <c r="F5054">
        <f>IMAGE("https://cf.shopee.tw/file/tw-11134207-23030-s1ys5t0oz9nv0c_tn")</f>
        <v/>
      </c>
    </row>
    <row r="5055">
      <c r="A5055" t="inlineStr">
        <is>
          <t>22229351073</t>
        </is>
      </c>
      <c r="B5055" t="inlineStr">
        <is>
          <t>隔日到貨🔥 iPhone 手機殼 14 13 12 11 pro Max XS XR SE 8plus 保護殼 軟殼</t>
        </is>
      </c>
      <c r="C5055">
        <f>IMAGE("https://cf.shopee.tw/file/tw-11134207-23030-91pmbppmz9nvaa_tn")</f>
        <v/>
      </c>
      <c r="D5055" t="inlineStr">
        <is>
          <t>奶白(單殼),14 pro</t>
        </is>
      </c>
      <c r="E5055" t="inlineStr"/>
      <c r="F5055">
        <f>IMAGE("https://cf.shopee.tw/file/tw-11134207-23030-s1ys5t0oz9nv0c_tn")</f>
        <v/>
      </c>
    </row>
    <row r="5056">
      <c r="A5056" t="inlineStr">
        <is>
          <t>22229351073</t>
        </is>
      </c>
      <c r="B5056" t="inlineStr">
        <is>
          <t>隔日到貨🔥 iPhone 手機殼 14 13 12 11 pro Max XS XR SE 8plus 保護殼 軟殼</t>
        </is>
      </c>
      <c r="C5056">
        <f>IMAGE("https://cf.shopee.tw/file/tw-11134207-23030-91pmbppmz9nvaa_tn")</f>
        <v/>
      </c>
      <c r="D5056" t="inlineStr">
        <is>
          <t>奶白(單殼),14 pro Max</t>
        </is>
      </c>
      <c r="E5056" t="inlineStr"/>
      <c r="F5056">
        <f>IMAGE("https://cf.shopee.tw/file/tw-11134207-23030-s1ys5t0oz9nv0c_tn")</f>
        <v/>
      </c>
    </row>
    <row r="5057">
      <c r="A5057" t="inlineStr">
        <is>
          <t>22229351073</t>
        </is>
      </c>
      <c r="B5057" t="inlineStr">
        <is>
          <t>隔日到貨🔥 iPhone 手機殼 14 13 12 11 pro Max XS XR SE 8plus 保護殼 軟殼</t>
        </is>
      </c>
      <c r="C5057">
        <f>IMAGE("https://cf.shopee.tw/file/tw-11134207-23030-91pmbppmz9nvaa_tn")</f>
        <v/>
      </c>
      <c r="D5057" t="inlineStr">
        <is>
          <t>透黑(單殼),11 pro Max</t>
        </is>
      </c>
      <c r="E5057" t="inlineStr"/>
      <c r="F5057">
        <f>IMAGE("https://cf.shopee.tw/file/tw-11134207-23030-wfhw5hcpz9nvee_tn")</f>
        <v/>
      </c>
    </row>
    <row r="5058">
      <c r="A5058" t="inlineStr">
        <is>
          <t>22229351073</t>
        </is>
      </c>
      <c r="B5058" t="inlineStr">
        <is>
          <t>隔日到貨🔥 iPhone 手機殼 14 13 12 11 pro Max XS XR SE 8plus 保護殼 軟殼</t>
        </is>
      </c>
      <c r="C5058">
        <f>IMAGE("https://cf.shopee.tw/file/tw-11134207-23030-91pmbppmz9nvaa_tn")</f>
        <v/>
      </c>
      <c r="D5058" t="inlineStr">
        <is>
          <t>透黑(單殼),12</t>
        </is>
      </c>
      <c r="E5058" t="inlineStr"/>
      <c r="F5058">
        <f>IMAGE("https://cf.shopee.tw/file/tw-11134207-23030-wfhw5hcpz9nvee_tn")</f>
        <v/>
      </c>
    </row>
    <row r="5059">
      <c r="A5059" t="inlineStr">
        <is>
          <t>22229351073</t>
        </is>
      </c>
      <c r="B5059" t="inlineStr">
        <is>
          <t>隔日到貨🔥 iPhone 手機殼 14 13 12 11 pro Max XS XR SE 8plus 保護殼 軟殼</t>
        </is>
      </c>
      <c r="C5059">
        <f>IMAGE("https://cf.shopee.tw/file/tw-11134207-23030-91pmbppmz9nvaa_tn")</f>
        <v/>
      </c>
      <c r="D5059" t="inlineStr">
        <is>
          <t>透黑(單殼),13</t>
        </is>
      </c>
      <c r="E5059" t="inlineStr"/>
      <c r="F5059">
        <f>IMAGE("https://cf.shopee.tw/file/tw-11134207-23030-wfhw5hcpz9nvee_tn")</f>
        <v/>
      </c>
    </row>
    <row r="5060">
      <c r="A5060" t="inlineStr">
        <is>
          <t>22229351073</t>
        </is>
      </c>
      <c r="B5060" t="inlineStr">
        <is>
          <t>隔日到貨🔥 iPhone 手機殼 14 13 12 11 pro Max XS XR SE 8plus 保護殼 軟殼</t>
        </is>
      </c>
      <c r="C5060">
        <f>IMAGE("https://cf.shopee.tw/file/tw-11134207-23030-91pmbppmz9nvaa_tn")</f>
        <v/>
      </c>
      <c r="D5060" t="inlineStr">
        <is>
          <t>透黑(單殼),14 pro Max</t>
        </is>
      </c>
      <c r="E5060" t="inlineStr"/>
      <c r="F5060">
        <f>IMAGE("https://cf.shopee.tw/file/tw-11134207-23030-wfhw5hcpz9nvee_tn")</f>
        <v/>
      </c>
    </row>
    <row r="5061">
      <c r="A5061" t="inlineStr">
        <is>
          <t>22229351073</t>
        </is>
      </c>
      <c r="B5061" t="inlineStr">
        <is>
          <t>隔日到貨🔥 iPhone 手機殼 14 13 12 11 pro Max XS XR SE 8plus 保護殼 軟殼</t>
        </is>
      </c>
      <c r="C5061">
        <f>IMAGE("https://cf.shopee.tw/file/tw-11134207-23030-91pmbppmz9nvaa_tn")</f>
        <v/>
      </c>
      <c r="D5061" t="inlineStr">
        <is>
          <t>奶白(單殼),7Plus / 8Plus</t>
        </is>
      </c>
      <c r="E5061" t="inlineStr"/>
      <c r="F5061">
        <f>IMAGE("https://cf.shopee.tw/file/tw-11134207-23030-s1ys5t0oz9nv0c_tn")</f>
        <v/>
      </c>
    </row>
    <row r="5062">
      <c r="A5062" t="inlineStr">
        <is>
          <t>22229351073</t>
        </is>
      </c>
      <c r="B5062" t="inlineStr">
        <is>
          <t>隔日到貨🔥 iPhone 手機殼 14 13 12 11 pro Max XS XR SE 8plus 保護殼 軟殼</t>
        </is>
      </c>
      <c r="C5062">
        <f>IMAGE("https://cf.shopee.tw/file/tw-11134207-23030-91pmbppmz9nvaa_tn")</f>
        <v/>
      </c>
      <c r="D5062" t="inlineStr">
        <is>
          <t>奶白(單殼),X/XS</t>
        </is>
      </c>
      <c r="E5062" t="inlineStr"/>
      <c r="F5062">
        <f>IMAGE("https://cf.shopee.tw/file/tw-11134207-23030-s1ys5t0oz9nv0c_tn")</f>
        <v/>
      </c>
    </row>
    <row r="5063">
      <c r="A5063" t="inlineStr">
        <is>
          <t>22229351073</t>
        </is>
      </c>
      <c r="B5063" t="inlineStr">
        <is>
          <t>隔日到貨🔥 iPhone 手機殼 14 13 12 11 pro Max XS XR SE 8plus 保護殼 軟殼</t>
        </is>
      </c>
      <c r="C5063">
        <f>IMAGE("https://cf.shopee.tw/file/tw-11134207-23030-91pmbppmz9nvaa_tn")</f>
        <v/>
      </c>
      <c r="D5063" t="inlineStr">
        <is>
          <t>奶白(單殼),XR</t>
        </is>
      </c>
      <c r="E5063" t="inlineStr"/>
      <c r="F5063">
        <f>IMAGE("https://cf.shopee.tw/file/tw-11134207-23030-s1ys5t0oz9nv0c_tn")</f>
        <v/>
      </c>
    </row>
    <row r="5064">
      <c r="A5064" t="inlineStr">
        <is>
          <t>22229351073</t>
        </is>
      </c>
      <c r="B5064" t="inlineStr">
        <is>
          <t>隔日到貨🔥 iPhone 手機殼 14 13 12 11 pro Max XS XR SE 8plus 保護殼 軟殼</t>
        </is>
      </c>
      <c r="C5064">
        <f>IMAGE("https://cf.shopee.tw/file/tw-11134207-23030-91pmbppmz9nvaa_tn")</f>
        <v/>
      </c>
      <c r="D5064" t="inlineStr">
        <is>
          <t>奶白(單殼),XS Max</t>
        </is>
      </c>
      <c r="E5064" t="inlineStr"/>
      <c r="F5064">
        <f>IMAGE("https://cf.shopee.tw/file/tw-11134207-23030-s1ys5t0oz9nv0c_tn")</f>
        <v/>
      </c>
    </row>
    <row r="5065">
      <c r="A5065" t="inlineStr">
        <is>
          <t>22229351073</t>
        </is>
      </c>
      <c r="B5065" t="inlineStr">
        <is>
          <t>隔日到貨🔥 iPhone 手機殼 14 13 12 11 pro Max XS XR SE 8plus 保護殼 軟殼</t>
        </is>
      </c>
      <c r="C5065">
        <f>IMAGE("https://cf.shopee.tw/file/tw-11134207-23030-91pmbppmz9nvaa_tn")</f>
        <v/>
      </c>
      <c r="D5065" t="inlineStr">
        <is>
          <t>奶白(單殼),11</t>
        </is>
      </c>
      <c r="E5065" t="inlineStr"/>
      <c r="F5065">
        <f>IMAGE("https://cf.shopee.tw/file/tw-11134207-23030-s1ys5t0oz9nv0c_tn")</f>
        <v/>
      </c>
    </row>
    <row r="5066">
      <c r="A5066" t="inlineStr">
        <is>
          <t>22229351073</t>
        </is>
      </c>
      <c r="B5066" t="inlineStr">
        <is>
          <t>隔日到貨🔥 iPhone 手機殼 14 13 12 11 pro Max XS XR SE 8plus 保護殼 軟殼</t>
        </is>
      </c>
      <c r="C5066">
        <f>IMAGE("https://cf.shopee.tw/file/tw-11134207-23030-91pmbppmz9nvaa_tn")</f>
        <v/>
      </c>
      <c r="D5066" t="inlineStr">
        <is>
          <t>奶白(單殼),11 pro</t>
        </is>
      </c>
      <c r="E5066" t="inlineStr"/>
      <c r="F5066">
        <f>IMAGE("https://cf.shopee.tw/file/tw-11134207-23030-s1ys5t0oz9nv0c_tn")</f>
        <v/>
      </c>
    </row>
    <row r="5067">
      <c r="A5067" t="inlineStr">
        <is>
          <t>22229351073</t>
        </is>
      </c>
      <c r="B5067" t="inlineStr">
        <is>
          <t>隔日到貨🔥 iPhone 手機殼 14 13 12 11 pro Max XS XR SE 8plus 保護殼 軟殼</t>
        </is>
      </c>
      <c r="C5067">
        <f>IMAGE("https://cf.shopee.tw/file/tw-11134207-23030-91pmbppmz9nvaa_tn")</f>
        <v/>
      </c>
      <c r="D5067" t="inlineStr">
        <is>
          <t>奶白(單殼),12 pro</t>
        </is>
      </c>
      <c r="E5067" t="inlineStr"/>
      <c r="F5067">
        <f>IMAGE("https://cf.shopee.tw/file/tw-11134207-23030-s1ys5t0oz9nv0c_tn")</f>
        <v/>
      </c>
    </row>
    <row r="5068">
      <c r="A5068" t="inlineStr">
        <is>
          <t>22229351073</t>
        </is>
      </c>
      <c r="B5068" t="inlineStr">
        <is>
          <t>隔日到貨🔥 iPhone 手機殼 14 13 12 11 pro Max XS XR SE 8plus 保護殼 軟殼</t>
        </is>
      </c>
      <c r="C5068">
        <f>IMAGE("https://cf.shopee.tw/file/tw-11134207-23030-91pmbppmz9nvaa_tn")</f>
        <v/>
      </c>
      <c r="D5068" t="inlineStr">
        <is>
          <t>奶白(單殼),12 pro Max</t>
        </is>
      </c>
      <c r="E5068" t="inlineStr"/>
      <c r="F5068">
        <f>IMAGE("https://cf.shopee.tw/file/tw-11134207-23030-s1ys5t0oz9nv0c_tn")</f>
        <v/>
      </c>
    </row>
    <row r="5069">
      <c r="A5069" t="inlineStr">
        <is>
          <t>22229351073</t>
        </is>
      </c>
      <c r="B5069" t="inlineStr">
        <is>
          <t>隔日到貨🔥 iPhone 手機殼 14 13 12 11 pro Max XS XR SE 8plus 保護殼 軟殼</t>
        </is>
      </c>
      <c r="C5069">
        <f>IMAGE("https://cf.shopee.tw/file/tw-11134207-23030-91pmbppmz9nvaa_tn")</f>
        <v/>
      </c>
      <c r="D5069" t="inlineStr">
        <is>
          <t>奶白(單殼),13</t>
        </is>
      </c>
      <c r="E5069" t="inlineStr"/>
      <c r="F5069">
        <f>IMAGE("https://cf.shopee.tw/file/tw-11134207-23030-s1ys5t0oz9nv0c_tn")</f>
        <v/>
      </c>
    </row>
    <row r="5070">
      <c r="A5070" t="inlineStr">
        <is>
          <t>22229351073</t>
        </is>
      </c>
      <c r="B5070" t="inlineStr">
        <is>
          <t>隔日到貨🔥 iPhone 手機殼 14 13 12 11 pro Max XS XR SE 8plus 保護殼 軟殼</t>
        </is>
      </c>
      <c r="C5070">
        <f>IMAGE("https://cf.shopee.tw/file/tw-11134207-23030-91pmbppmz9nvaa_tn")</f>
        <v/>
      </c>
      <c r="D5070" t="inlineStr">
        <is>
          <t>奶白(單殼),13 pro</t>
        </is>
      </c>
      <c r="E5070" t="inlineStr"/>
      <c r="F5070">
        <f>IMAGE("https://cf.shopee.tw/file/tw-11134207-23030-s1ys5t0oz9nv0c_tn")</f>
        <v/>
      </c>
    </row>
    <row r="5071">
      <c r="A5071" t="inlineStr">
        <is>
          <t>22229351073</t>
        </is>
      </c>
      <c r="B5071" t="inlineStr">
        <is>
          <t>隔日到貨🔥 iPhone 手機殼 14 13 12 11 pro Max XS XR SE 8plus 保護殼 軟殼</t>
        </is>
      </c>
      <c r="C5071">
        <f>IMAGE("https://cf.shopee.tw/file/tw-11134207-23030-91pmbppmz9nvaa_tn")</f>
        <v/>
      </c>
      <c r="D5071" t="inlineStr">
        <is>
          <t>奶白(單殼),14</t>
        </is>
      </c>
      <c r="E5071" t="inlineStr">
        <is>
          <t>137448384007</t>
        </is>
      </c>
      <c r="F5071">
        <f>IMAGE("https://cf.shopee.tw/file/tw-11134207-23030-s1ys5t0oz9nv0c_tn")</f>
        <v/>
      </c>
    </row>
    <row r="5072">
      <c r="A5072" t="inlineStr">
        <is>
          <t>22229351073</t>
        </is>
      </c>
      <c r="B5072" t="inlineStr">
        <is>
          <t>隔日到貨🔥 iPhone 手機殼 14 13 12 11 pro Max XS XR SE 8plus 保護殼 軟殼</t>
        </is>
      </c>
      <c r="C5072">
        <f>IMAGE("https://cf.shopee.tw/file/tw-11134207-23030-91pmbppmz9nvaa_tn")</f>
        <v/>
      </c>
      <c r="D5072" t="inlineStr">
        <is>
          <t>奶白(單殼),14 Plus</t>
        </is>
      </c>
      <c r="E5072" t="inlineStr"/>
      <c r="F5072">
        <f>IMAGE("https://cf.shopee.tw/file/tw-11134207-23030-s1ys5t0oz9nv0c_tn")</f>
        <v/>
      </c>
    </row>
    <row r="5073">
      <c r="A5073" t="inlineStr">
        <is>
          <t>22229351073</t>
        </is>
      </c>
      <c r="B5073" t="inlineStr">
        <is>
          <t>隔日到貨🔥 iPhone 手機殼 14 13 12 11 pro Max XS XR SE 8plus 保護殼 軟殼</t>
        </is>
      </c>
      <c r="C5073">
        <f>IMAGE("https://cf.shopee.tw/file/tw-11134207-23030-91pmbppmz9nvaa_tn")</f>
        <v/>
      </c>
      <c r="D5073" t="inlineStr">
        <is>
          <t>透黑(單殼),7/8/SE2/SE3</t>
        </is>
      </c>
      <c r="E5073" t="inlineStr"/>
      <c r="F5073">
        <f>IMAGE("https://cf.shopee.tw/file/tw-11134207-23030-wfhw5hcpz9nvee_tn")</f>
        <v/>
      </c>
    </row>
    <row r="5074">
      <c r="A5074" t="inlineStr">
        <is>
          <t>22229351073</t>
        </is>
      </c>
      <c r="B5074" t="inlineStr">
        <is>
          <t>隔日到貨🔥 iPhone 手機殼 14 13 12 11 pro Max XS XR SE 8plus 保護殼 軟殼</t>
        </is>
      </c>
      <c r="C5074">
        <f>IMAGE("https://cf.shopee.tw/file/tw-11134207-23030-91pmbppmz9nvaa_tn")</f>
        <v/>
      </c>
      <c r="D5074" t="inlineStr">
        <is>
          <t>透黑(單殼),7Plus / 8Plus</t>
        </is>
      </c>
      <c r="E5074" t="inlineStr"/>
      <c r="F5074">
        <f>IMAGE("https://cf.shopee.tw/file/tw-11134207-23030-wfhw5hcpz9nvee_tn")</f>
        <v/>
      </c>
    </row>
    <row r="5075">
      <c r="A5075" t="inlineStr">
        <is>
          <t>22229351073</t>
        </is>
      </c>
      <c r="B5075" t="inlineStr">
        <is>
          <t>隔日到貨🔥 iPhone 手機殼 14 13 12 11 pro Max XS XR SE 8plus 保護殼 軟殼</t>
        </is>
      </c>
      <c r="C5075">
        <f>IMAGE("https://cf.shopee.tw/file/tw-11134207-23030-91pmbppmz9nvaa_tn")</f>
        <v/>
      </c>
      <c r="D5075" t="inlineStr">
        <is>
          <t>透黑(單殼),X/XS</t>
        </is>
      </c>
      <c r="E5075" t="inlineStr"/>
      <c r="F5075">
        <f>IMAGE("https://cf.shopee.tw/file/tw-11134207-23030-wfhw5hcpz9nvee_tn")</f>
        <v/>
      </c>
    </row>
    <row r="5076">
      <c r="A5076" t="inlineStr">
        <is>
          <t>22229351073</t>
        </is>
      </c>
      <c r="B5076" t="inlineStr">
        <is>
          <t>隔日到貨🔥 iPhone 手機殼 14 13 12 11 pro Max XS XR SE 8plus 保護殼 軟殼</t>
        </is>
      </c>
      <c r="C5076">
        <f>IMAGE("https://cf.shopee.tw/file/tw-11134207-23030-91pmbppmz9nvaa_tn")</f>
        <v/>
      </c>
      <c r="D5076" t="inlineStr">
        <is>
          <t>透黑(單殼),XR</t>
        </is>
      </c>
      <c r="E5076" t="inlineStr"/>
      <c r="F5076">
        <f>IMAGE("https://cf.shopee.tw/file/tw-11134207-23030-wfhw5hcpz9nvee_tn")</f>
        <v/>
      </c>
    </row>
    <row r="5077">
      <c r="A5077" t="inlineStr">
        <is>
          <t>22229351073</t>
        </is>
      </c>
      <c r="B5077" t="inlineStr">
        <is>
          <t>隔日到貨🔥 iPhone 手機殼 14 13 12 11 pro Max XS XR SE 8plus 保護殼 軟殼</t>
        </is>
      </c>
      <c r="C5077">
        <f>IMAGE("https://cf.shopee.tw/file/tw-11134207-23030-91pmbppmz9nvaa_tn")</f>
        <v/>
      </c>
      <c r="D5077" t="inlineStr">
        <is>
          <t>透黑(單殼),XS Max</t>
        </is>
      </c>
      <c r="E5077" t="inlineStr">
        <is>
          <t>137448384008</t>
        </is>
      </c>
      <c r="F5077">
        <f>IMAGE("https://cf.shopee.tw/file/tw-11134207-23030-wfhw5hcpz9nvee_tn")</f>
        <v/>
      </c>
    </row>
    <row r="5078">
      <c r="A5078" t="inlineStr">
        <is>
          <t>22229351073</t>
        </is>
      </c>
      <c r="B5078" t="inlineStr">
        <is>
          <t>隔日到貨🔥 iPhone 手機殼 14 13 12 11 pro Max XS XR SE 8plus 保護殼 軟殼</t>
        </is>
      </c>
      <c r="C5078">
        <f>IMAGE("https://cf.shopee.tw/file/tw-11134207-23030-91pmbppmz9nvaa_tn")</f>
        <v/>
      </c>
      <c r="D5078" t="inlineStr">
        <is>
          <t>透黑(單殼),11</t>
        </is>
      </c>
      <c r="E5078" t="inlineStr">
        <is>
          <t>146686458506</t>
        </is>
      </c>
      <c r="F5078">
        <f>IMAGE("https://cf.shopee.tw/file/tw-11134207-23030-wfhw5hcpz9nvee_tn")</f>
        <v/>
      </c>
    </row>
    <row r="5079">
      <c r="A5079" t="inlineStr">
        <is>
          <t>22229351073</t>
        </is>
      </c>
      <c r="B5079" t="inlineStr">
        <is>
          <t>隔日到貨🔥 iPhone 手機殼 14 13 12 11 pro Max XS XR SE 8plus 保護殼 軟殼</t>
        </is>
      </c>
      <c r="C5079">
        <f>IMAGE("https://cf.shopee.tw/file/tw-11134207-23030-91pmbppmz9nvaa_tn")</f>
        <v/>
      </c>
      <c r="D5079" t="inlineStr">
        <is>
          <t>透黑(單殼),11 pro</t>
        </is>
      </c>
      <c r="E5079" t="inlineStr"/>
      <c r="F5079">
        <f>IMAGE("https://cf.shopee.tw/file/tw-11134207-23030-wfhw5hcpz9nvee_tn")</f>
        <v/>
      </c>
    </row>
    <row r="5080">
      <c r="A5080" t="inlineStr">
        <is>
          <t>22229351073</t>
        </is>
      </c>
      <c r="B5080" t="inlineStr">
        <is>
          <t>隔日到貨🔥 iPhone 手機殼 14 13 12 11 pro Max XS XR SE 8plus 保護殼 軟殼</t>
        </is>
      </c>
      <c r="C5080">
        <f>IMAGE("https://cf.shopee.tw/file/tw-11134207-23030-91pmbppmz9nvaa_tn")</f>
        <v/>
      </c>
      <c r="D5080" t="inlineStr">
        <is>
          <t>透黑(單殼),12 pro</t>
        </is>
      </c>
      <c r="E5080" t="inlineStr"/>
      <c r="F5080">
        <f>IMAGE("https://cf.shopee.tw/file/tw-11134207-23030-wfhw5hcpz9nvee_tn")</f>
        <v/>
      </c>
    </row>
    <row r="5081">
      <c r="A5081" t="inlineStr">
        <is>
          <t>22229351073</t>
        </is>
      </c>
      <c r="B5081" t="inlineStr">
        <is>
          <t>隔日到貨🔥 iPhone 手機殼 14 13 12 11 pro Max XS XR SE 8plus 保護殼 軟殼</t>
        </is>
      </c>
      <c r="C5081">
        <f>IMAGE("https://cf.shopee.tw/file/tw-11134207-23030-91pmbppmz9nvaa_tn")</f>
        <v/>
      </c>
      <c r="D5081" t="inlineStr">
        <is>
          <t>透黑(單殼),12 pro Max</t>
        </is>
      </c>
      <c r="E5081" t="inlineStr"/>
      <c r="F5081">
        <f>IMAGE("https://cf.shopee.tw/file/tw-11134207-23030-wfhw5hcpz9nvee_tn")</f>
        <v/>
      </c>
    </row>
    <row r="5082">
      <c r="A5082" t="inlineStr">
        <is>
          <t>22229351073</t>
        </is>
      </c>
      <c r="B5082" t="inlineStr">
        <is>
          <t>隔日到貨🔥 iPhone 手機殼 14 13 12 11 pro Max XS XR SE 8plus 保護殼 軟殼</t>
        </is>
      </c>
      <c r="C5082">
        <f>IMAGE("https://cf.shopee.tw/file/tw-11134207-23030-91pmbppmz9nvaa_tn")</f>
        <v/>
      </c>
      <c r="D5082" t="inlineStr">
        <is>
          <t>透黑(單殼),13 pro</t>
        </is>
      </c>
      <c r="E5082" t="inlineStr"/>
      <c r="F5082">
        <f>IMAGE("https://cf.shopee.tw/file/tw-11134207-23030-wfhw5hcpz9nvee_tn")</f>
        <v/>
      </c>
    </row>
    <row r="5083">
      <c r="A5083" t="inlineStr">
        <is>
          <t>22229351073</t>
        </is>
      </c>
      <c r="B5083" t="inlineStr">
        <is>
          <t>隔日到貨🔥 iPhone 手機殼 14 13 12 11 pro Max XS XR SE 8plus 保護殼 軟殼</t>
        </is>
      </c>
      <c r="C5083">
        <f>IMAGE("https://cf.shopee.tw/file/tw-11134207-23030-91pmbppmz9nvaa_tn")</f>
        <v/>
      </c>
      <c r="D5083" t="inlineStr">
        <is>
          <t>透黑(單殼),13 pro Max</t>
        </is>
      </c>
      <c r="E5083" t="inlineStr"/>
      <c r="F5083">
        <f>IMAGE("https://cf.shopee.tw/file/tw-11134207-23030-wfhw5hcpz9nvee_tn")</f>
        <v/>
      </c>
    </row>
    <row r="5084">
      <c r="A5084" t="inlineStr">
        <is>
          <t>22229351073</t>
        </is>
      </c>
      <c r="B5084" t="inlineStr">
        <is>
          <t>隔日到貨🔥 iPhone 手機殼 14 13 12 11 pro Max XS XR SE 8plus 保護殼 軟殼</t>
        </is>
      </c>
      <c r="C5084">
        <f>IMAGE("https://cf.shopee.tw/file/tw-11134207-23030-91pmbppmz9nvaa_tn")</f>
        <v/>
      </c>
      <c r="D5084" t="inlineStr">
        <is>
          <t>透黑(單殼),14</t>
        </is>
      </c>
      <c r="E5084" t="inlineStr"/>
      <c r="F5084">
        <f>IMAGE("https://cf.shopee.tw/file/tw-11134207-23030-wfhw5hcpz9nvee_tn")</f>
        <v/>
      </c>
    </row>
    <row r="5085">
      <c r="A5085" t="inlineStr">
        <is>
          <t>22229351073</t>
        </is>
      </c>
      <c r="B5085" t="inlineStr">
        <is>
          <t>隔日到貨🔥 iPhone 手機殼 14 13 12 11 pro Max XS XR SE 8plus 保護殼 軟殼</t>
        </is>
      </c>
      <c r="C5085">
        <f>IMAGE("https://cf.shopee.tw/file/tw-11134207-23030-91pmbppmz9nvaa_tn")</f>
        <v/>
      </c>
      <c r="D5085" t="inlineStr">
        <is>
          <t>透黑(單殼),14 Plus</t>
        </is>
      </c>
      <c r="E5085" t="inlineStr"/>
      <c r="F5085">
        <f>IMAGE("https://cf.shopee.tw/file/tw-11134207-23030-wfhw5hcpz9nvee_tn")</f>
        <v/>
      </c>
    </row>
    <row r="5086">
      <c r="A5086" t="inlineStr">
        <is>
          <t>22229351073</t>
        </is>
      </c>
      <c r="B5086" t="inlineStr">
        <is>
          <t>隔日到貨🔥 iPhone 手機殼 14 13 12 11 pro Max XS XR SE 8plus 保護殼 軟殼</t>
        </is>
      </c>
      <c r="C5086">
        <f>IMAGE("https://cf.shopee.tw/file/tw-11134207-23030-91pmbppmz9nvaa_tn")</f>
        <v/>
      </c>
      <c r="D5086" t="inlineStr">
        <is>
          <t>透黑(單殼),14 pro</t>
        </is>
      </c>
      <c r="E5086" t="inlineStr"/>
      <c r="F5086">
        <f>IMAGE("https://cf.shopee.tw/file/tw-11134207-23030-wfhw5hcpz9nvee_tn")</f>
        <v/>
      </c>
    </row>
    <row r="5087">
      <c r="A5087" t="inlineStr">
        <is>
          <t>23853396950</t>
        </is>
      </c>
      <c r="B5087" t="inlineStr">
        <is>
          <t>隔日到貨🔥 小熊包包 單肩包 斜背包 B26 日系原宿ins 可愛 小熊包 側背包 單肩包 日系包 熊熊包</t>
        </is>
      </c>
      <c r="C5087">
        <f>IMAGE("https://cf.shopee.tw/file/tw-11134207-7r98w-ll6543t0y21tef_tn")</f>
        <v/>
      </c>
      <c r="D5087" t="inlineStr">
        <is>
          <t>白色</t>
        </is>
      </c>
      <c r="E5087" t="inlineStr"/>
      <c r="F5087">
        <f>IMAGE("https://cf.shopee.tw/file/tw-11134207-7r98y-ll62xcsfos0x34_tn")</f>
        <v/>
      </c>
    </row>
    <row r="5088">
      <c r="A5088" t="inlineStr">
        <is>
          <t>23853396950</t>
        </is>
      </c>
      <c r="B5088" t="inlineStr">
        <is>
          <t>隔日到貨🔥 小熊包包 單肩包 斜背包 B26 日系原宿ins 可愛 小熊包 側背包 單肩包 日系包 熊熊包</t>
        </is>
      </c>
      <c r="C5088">
        <f>IMAGE("https://cf.shopee.tw/file/tw-11134207-7r98w-ll6543t0y21tef_tn")</f>
        <v/>
      </c>
      <c r="D5088" t="inlineStr">
        <is>
          <t>藍色</t>
        </is>
      </c>
      <c r="E5088" t="inlineStr"/>
      <c r="F5088">
        <f>IMAGE("https://cf.shopee.tw/file/tw-11134207-7r98z-ll62ywho4yfl63_tn")</f>
        <v/>
      </c>
    </row>
    <row r="5089">
      <c r="A5089" t="inlineStr">
        <is>
          <t>23853396950</t>
        </is>
      </c>
      <c r="B5089" t="inlineStr">
        <is>
          <t>隔日到貨🔥 小熊包包 單肩包 斜背包 B26 日系原宿ins 可愛 小熊包 側背包 單肩包 日系包 熊熊包</t>
        </is>
      </c>
      <c r="C5089">
        <f>IMAGE("https://cf.shopee.tw/file/tw-11134207-7r98w-ll6543t0y21tef_tn")</f>
        <v/>
      </c>
      <c r="D5089" t="inlineStr">
        <is>
          <t>黃色</t>
        </is>
      </c>
      <c r="E5089" t="inlineStr">
        <is>
          <t>231981786077</t>
        </is>
      </c>
      <c r="F5089">
        <f>IMAGE("https://cf.shopee.tw/file/tw-11134207-7r991-ll62ywho6d0126_tn")</f>
        <v/>
      </c>
    </row>
    <row r="5090">
      <c r="A5090" t="inlineStr">
        <is>
          <t>23853396950</t>
        </is>
      </c>
      <c r="B5090" t="inlineStr">
        <is>
          <t>隔日到貨🔥 小熊包包 單肩包 斜背包 B26 日系原宿ins 可愛 小熊包 側背包 單肩包 日系包 熊熊包</t>
        </is>
      </c>
      <c r="C5090">
        <f>IMAGE("https://cf.shopee.tw/file/tw-11134207-7r98w-ll6543t0y21tef_tn")</f>
        <v/>
      </c>
      <c r="D5090" t="inlineStr">
        <is>
          <t>卡其色</t>
        </is>
      </c>
      <c r="E5090" t="inlineStr"/>
      <c r="F5090">
        <f>IMAGE("https://cf.shopee.tw/file/tw-11134207-7r98q-ll62z2zum9cx03_tn")</f>
        <v/>
      </c>
    </row>
    <row r="5091">
      <c r="A5091" t="inlineStr">
        <is>
          <t>23853396950</t>
        </is>
      </c>
      <c r="B5091" t="inlineStr">
        <is>
          <t>隔日到貨🔥 小熊包包 單肩包 斜背包 B26 日系原宿ins 可愛 小熊包 側背包 單肩包 日系包 熊熊包</t>
        </is>
      </c>
      <c r="C5091">
        <f>IMAGE("https://cf.shopee.tw/file/tw-11134207-7r98w-ll6543t0y21tef_tn")</f>
        <v/>
      </c>
      <c r="D5091" t="inlineStr">
        <is>
          <t>黑色</t>
        </is>
      </c>
      <c r="E5091" t="inlineStr"/>
      <c r="F5091">
        <f>IMAGE("https://cf.shopee.tw/file/tw-11134207-7r98r-ll62xcrvpl9dc6_tn")</f>
        <v/>
      </c>
    </row>
    <row r="5092">
      <c r="A5092" t="inlineStr">
        <is>
          <t>20186370950</t>
        </is>
      </c>
      <c r="B5092" t="inlineStr">
        <is>
          <t>隔日到貨🔥 iPhone 手機殼 16 15 14 pro 13 12 11 XS XR SE X 保護殼 軟殼 蘋果</t>
        </is>
      </c>
      <c r="C5092">
        <f>IMAGE("https://cf.shopee.tw/file/tw-11134207-7r990-lo7z3ji83ix9c9_tn")</f>
        <v/>
      </c>
      <c r="D5092" t="inlineStr">
        <is>
          <t>蜜桃暈染+粉標手繩,7 / 8 / SE2 / SE3</t>
        </is>
      </c>
      <c r="E5092" t="inlineStr"/>
      <c r="F5092">
        <f>IMAGE("https://cf.shopee.tw/file/tw-11134207-7r992-lo7z8pluxvlu7e_tn")</f>
        <v/>
      </c>
    </row>
    <row r="5093">
      <c r="A5093" t="inlineStr">
        <is>
          <t>20186370950</t>
        </is>
      </c>
      <c r="B5093" t="inlineStr">
        <is>
          <t>隔日到貨🔥 iPhone 手機殼 16 15 14 pro 13 12 11 XS XR SE X 保護殼 軟殼 蘋果</t>
        </is>
      </c>
      <c r="C5093">
        <f>IMAGE("https://cf.shopee.tw/file/tw-11134207-7r990-lo7z3ji83ix9c9_tn")</f>
        <v/>
      </c>
      <c r="D5093" t="inlineStr">
        <is>
          <t>蜜桃暈染+粉標手繩,7 Plus / 8 Plus</t>
        </is>
      </c>
      <c r="E5093" t="inlineStr"/>
      <c r="F5093">
        <f>IMAGE("https://cf.shopee.tw/file/tw-11134207-7r992-lo7z8pluxvlu7e_tn")</f>
        <v/>
      </c>
    </row>
    <row r="5094">
      <c r="A5094" t="inlineStr">
        <is>
          <t>20186370950</t>
        </is>
      </c>
      <c r="B5094" t="inlineStr">
        <is>
          <t>隔日到貨🔥 iPhone 手機殼 16 15 14 pro 13 12 11 XS XR SE X 保護殼 軟殼 蘋果</t>
        </is>
      </c>
      <c r="C5094">
        <f>IMAGE("https://cf.shopee.tw/file/tw-11134207-7r990-lo7z3ji83ix9c9_tn")</f>
        <v/>
      </c>
      <c r="D5094" t="inlineStr">
        <is>
          <t>蜜桃暈染+粉標手繩,XS Max</t>
        </is>
      </c>
      <c r="E5094" t="inlineStr"/>
      <c r="F5094">
        <f>IMAGE("https://cf.shopee.tw/file/tw-11134207-7r992-lo7z8pluxvlu7e_tn")</f>
        <v/>
      </c>
    </row>
    <row r="5095">
      <c r="A5095" t="inlineStr">
        <is>
          <t>20186370950</t>
        </is>
      </c>
      <c r="B5095" t="inlineStr">
        <is>
          <t>隔日到貨🔥 iPhone 手機殼 16 15 14 pro 13 12 11 XS XR SE X 保護殼 軟殼 蘋果</t>
        </is>
      </c>
      <c r="C5095">
        <f>IMAGE("https://cf.shopee.tw/file/tw-11134207-7r990-lo7z3ji83ix9c9_tn")</f>
        <v/>
      </c>
      <c r="D5095" t="inlineStr">
        <is>
          <t>蜜桃暈染+粉標手繩,11</t>
        </is>
      </c>
      <c r="E5095" t="inlineStr"/>
      <c r="F5095">
        <f>IMAGE("https://cf.shopee.tw/file/tw-11134207-7r992-lo7z8pluxvlu7e_tn")</f>
        <v/>
      </c>
    </row>
    <row r="5096">
      <c r="A5096" t="inlineStr">
        <is>
          <t>20186370950</t>
        </is>
      </c>
      <c r="B5096" t="inlineStr">
        <is>
          <t>隔日到貨🔥 iPhone 手機殼 16 15 14 pro 13 12 11 XS XR SE X 保護殼 軟殼 蘋果</t>
        </is>
      </c>
      <c r="C5096">
        <f>IMAGE("https://cf.shopee.tw/file/tw-11134207-7r990-lo7z3ji83ix9c9_tn")</f>
        <v/>
      </c>
      <c r="D5096" t="inlineStr">
        <is>
          <t>蜜桃暈染+粉標手繩,11 Pro</t>
        </is>
      </c>
      <c r="E5096" t="inlineStr"/>
      <c r="F5096">
        <f>IMAGE("https://cf.shopee.tw/file/tw-11134207-7r992-lo7z8pluxvlu7e_tn")</f>
        <v/>
      </c>
    </row>
    <row r="5097">
      <c r="A5097" t="inlineStr">
        <is>
          <t>20186370950</t>
        </is>
      </c>
      <c r="B5097" t="inlineStr">
        <is>
          <t>隔日到貨🔥 iPhone 手機殼 16 15 14 pro 13 12 11 XS XR SE X 保護殼 軟殼 蘋果</t>
        </is>
      </c>
      <c r="C5097">
        <f>IMAGE("https://cf.shopee.tw/file/tw-11134207-7r990-lo7z3ji83ix9c9_tn")</f>
        <v/>
      </c>
      <c r="D5097" t="inlineStr">
        <is>
          <t>蜜桃暈染+粉標手繩,12 Pro</t>
        </is>
      </c>
      <c r="E5097" t="inlineStr"/>
      <c r="F5097">
        <f>IMAGE("https://cf.shopee.tw/file/tw-11134207-7r992-lo7z8pluxvlu7e_tn")</f>
        <v/>
      </c>
    </row>
    <row r="5098">
      <c r="A5098" t="inlineStr">
        <is>
          <t>20186370950</t>
        </is>
      </c>
      <c r="B5098" t="inlineStr">
        <is>
          <t>隔日到貨🔥 iPhone 手機殼 16 15 14 pro 13 12 11 XS XR SE X 保護殼 軟殼 蘋果</t>
        </is>
      </c>
      <c r="C5098">
        <f>IMAGE("https://cf.shopee.tw/file/tw-11134207-7r990-lo7z3ji83ix9c9_tn")</f>
        <v/>
      </c>
      <c r="D5098" t="inlineStr">
        <is>
          <t>蜜桃暈染+粉標手繩,12 Pro Max</t>
        </is>
      </c>
      <c r="E5098" t="inlineStr"/>
      <c r="F5098">
        <f>IMAGE("https://cf.shopee.tw/file/tw-11134207-7r992-lo7z8pluxvlu7e_tn")</f>
        <v/>
      </c>
    </row>
    <row r="5099">
      <c r="A5099" t="inlineStr">
        <is>
          <t>20186370950</t>
        </is>
      </c>
      <c r="B5099" t="inlineStr">
        <is>
          <t>隔日到貨🔥 iPhone 手機殼 16 15 14 pro 13 12 11 XS XR SE X 保護殼 軟殼 蘋果</t>
        </is>
      </c>
      <c r="C5099">
        <f>IMAGE("https://cf.shopee.tw/file/tw-11134207-7r990-lo7z3ji83ix9c9_tn")</f>
        <v/>
      </c>
      <c r="D5099" t="inlineStr">
        <is>
          <t>蜜桃暈染+粉標手繩,13</t>
        </is>
      </c>
      <c r="E5099" t="inlineStr"/>
      <c r="F5099">
        <f>IMAGE("https://cf.shopee.tw/file/tw-11134207-7r992-lo7z8pluxvlu7e_tn")</f>
        <v/>
      </c>
    </row>
    <row r="5100">
      <c r="A5100" t="inlineStr">
        <is>
          <t>20186370950</t>
        </is>
      </c>
      <c r="B5100" t="inlineStr">
        <is>
          <t>隔日到貨🔥 iPhone 手機殼 16 15 14 pro 13 12 11 XS XR SE X 保護殼 軟殼 蘋果</t>
        </is>
      </c>
      <c r="C5100">
        <f>IMAGE("https://cf.shopee.tw/file/tw-11134207-7r990-lo7z3ji83ix9c9_tn")</f>
        <v/>
      </c>
      <c r="D5100" t="inlineStr">
        <is>
          <t>蜜桃暈染+粉標手繩,14 Pro</t>
        </is>
      </c>
      <c r="E5100" t="inlineStr"/>
      <c r="F5100">
        <f>IMAGE("https://cf.shopee.tw/file/tw-11134207-7r992-lo7z8pluxvlu7e_tn")</f>
        <v/>
      </c>
    </row>
    <row r="5101">
      <c r="A5101" t="inlineStr">
        <is>
          <t>20186370950</t>
        </is>
      </c>
      <c r="B5101" t="inlineStr">
        <is>
          <t>隔日到貨🔥 iPhone 手機殼 16 15 14 pro 13 12 11 XS XR SE X 保護殼 軟殼 蘋果</t>
        </is>
      </c>
      <c r="C5101">
        <f>IMAGE("https://cf.shopee.tw/file/tw-11134207-7r990-lo7z3ji83ix9c9_tn")</f>
        <v/>
      </c>
      <c r="D5101" t="inlineStr">
        <is>
          <t>蜜桃暈染+粉標手繩,15 Plus</t>
        </is>
      </c>
      <c r="E5101" t="inlineStr"/>
      <c r="F5101">
        <f>IMAGE("https://cf.shopee.tw/file/tw-11134207-7r992-lo7z8pluxvlu7e_tn")</f>
        <v/>
      </c>
    </row>
    <row r="5102">
      <c r="A5102" t="inlineStr">
        <is>
          <t>20186370950</t>
        </is>
      </c>
      <c r="B5102" t="inlineStr">
        <is>
          <t>隔日到貨🔥 iPhone 手機殼 16 15 14 pro 13 12 11 XS XR SE X 保護殼 軟殼 蘋果</t>
        </is>
      </c>
      <c r="C5102">
        <f>IMAGE("https://cf.shopee.tw/file/tw-11134207-7r990-lo7z3ji83ix9c9_tn")</f>
        <v/>
      </c>
      <c r="D5102" t="inlineStr">
        <is>
          <t>蜜桃暈染+粉標手繩,15 Pro</t>
        </is>
      </c>
      <c r="E5102" t="inlineStr">
        <is>
          <t>147112962776</t>
        </is>
      </c>
      <c r="F5102">
        <f>IMAGE("https://cf.shopee.tw/file/tw-11134207-7r992-lo7z8pluxvlu7e_tn")</f>
        <v/>
      </c>
    </row>
    <row r="5103">
      <c r="A5103" t="inlineStr">
        <is>
          <t>20186370950</t>
        </is>
      </c>
      <c r="B5103" t="inlineStr">
        <is>
          <t>隔日到貨🔥 iPhone 手機殼 16 15 14 pro 13 12 11 XS XR SE X 保護殼 軟殼 蘋果</t>
        </is>
      </c>
      <c r="C5103">
        <f>IMAGE("https://cf.shopee.tw/file/tw-11134207-7r990-lo7z3ji83ix9c9_tn")</f>
        <v/>
      </c>
      <c r="D5103" t="inlineStr">
        <is>
          <t>蜜桃暈染+粉標手繩,15 Pro Max</t>
        </is>
      </c>
      <c r="E5103" t="inlineStr"/>
      <c r="F5103">
        <f>IMAGE("https://cf.shopee.tw/file/tw-11134207-7r992-lo7z8pluxvlu7e_tn")</f>
        <v/>
      </c>
    </row>
    <row r="5104">
      <c r="A5104" t="inlineStr">
        <is>
          <t>20186370950</t>
        </is>
      </c>
      <c r="B5104" t="inlineStr">
        <is>
          <t>隔日到貨🔥 iPhone 手機殼 16 15 14 pro 13 12 11 XS XR SE X 保護殼 軟殼 蘋果</t>
        </is>
      </c>
      <c r="C5104">
        <f>IMAGE("https://cf.shopee.tw/file/tw-11134207-7r990-lo7z3ji83ix9c9_tn")</f>
        <v/>
      </c>
      <c r="D5104" t="inlineStr">
        <is>
          <t>蜜桃暈染+粉標手繩,X / XS</t>
        </is>
      </c>
      <c r="E5104" t="inlineStr"/>
      <c r="F5104">
        <f>IMAGE("https://cf.shopee.tw/file/tw-11134207-7r992-lo7z8pluxvlu7e_tn")</f>
        <v/>
      </c>
    </row>
    <row r="5105">
      <c r="A5105" t="inlineStr">
        <is>
          <t>20186370950</t>
        </is>
      </c>
      <c r="B5105" t="inlineStr">
        <is>
          <t>隔日到貨🔥 iPhone 手機殼 16 15 14 pro 13 12 11 XS XR SE X 保護殼 軟殼 蘋果</t>
        </is>
      </c>
      <c r="C5105">
        <f>IMAGE("https://cf.shopee.tw/file/tw-11134207-7r990-lo7z3ji83ix9c9_tn")</f>
        <v/>
      </c>
      <c r="D5105" t="inlineStr">
        <is>
          <t>蜜桃暈染+粉標手繩,XR</t>
        </is>
      </c>
      <c r="E5105" t="inlineStr"/>
      <c r="F5105">
        <f>IMAGE("https://cf.shopee.tw/file/tw-11134207-7r992-lo7z8pluxvlu7e_tn")</f>
        <v/>
      </c>
    </row>
    <row r="5106">
      <c r="A5106" t="inlineStr">
        <is>
          <t>20186370950</t>
        </is>
      </c>
      <c r="B5106" t="inlineStr">
        <is>
          <t>隔日到貨🔥 iPhone 手機殼 16 15 14 pro 13 12 11 XS XR SE X 保護殼 軟殼 蘋果</t>
        </is>
      </c>
      <c r="C5106">
        <f>IMAGE("https://cf.shopee.tw/file/tw-11134207-7r990-lo7z3ji83ix9c9_tn")</f>
        <v/>
      </c>
      <c r="D5106" t="inlineStr">
        <is>
          <t>蜜桃暈染+粉標手繩,11 Pro Max</t>
        </is>
      </c>
      <c r="E5106" t="inlineStr"/>
      <c r="F5106">
        <f>IMAGE("https://cf.shopee.tw/file/tw-11134207-7r992-lo7z8pluxvlu7e_tn")</f>
        <v/>
      </c>
    </row>
    <row r="5107">
      <c r="A5107" t="inlineStr">
        <is>
          <t>20186370950</t>
        </is>
      </c>
      <c r="B5107" t="inlineStr">
        <is>
          <t>隔日到貨🔥 iPhone 手機殼 16 15 14 pro 13 12 11 XS XR SE X 保護殼 軟殼 蘋果</t>
        </is>
      </c>
      <c r="C5107">
        <f>IMAGE("https://cf.shopee.tw/file/tw-11134207-7r990-lo7z3ji83ix9c9_tn")</f>
        <v/>
      </c>
      <c r="D5107" t="inlineStr">
        <is>
          <t>蜜桃暈染+粉標手繩,12</t>
        </is>
      </c>
      <c r="E5107" t="inlineStr">
        <is>
          <t>147112962752</t>
        </is>
      </c>
      <c r="F5107">
        <f>IMAGE("https://cf.shopee.tw/file/tw-11134207-7r992-lo7z8pluxvlu7e_tn")</f>
        <v/>
      </c>
    </row>
    <row r="5108">
      <c r="A5108" t="inlineStr">
        <is>
          <t>20186370950</t>
        </is>
      </c>
      <c r="B5108" t="inlineStr">
        <is>
          <t>隔日到貨🔥 iPhone 手機殼 16 15 14 pro 13 12 11 XS XR SE X 保護殼 軟殼 蘋果</t>
        </is>
      </c>
      <c r="C5108">
        <f>IMAGE("https://cf.shopee.tw/file/tw-11134207-7r990-lo7z3ji83ix9c9_tn")</f>
        <v/>
      </c>
      <c r="D5108" t="inlineStr">
        <is>
          <t>蜜桃暈染+粉標手繩,13 Pro</t>
        </is>
      </c>
      <c r="E5108" t="inlineStr">
        <is>
          <t>147112962756</t>
        </is>
      </c>
      <c r="F5108">
        <f>IMAGE("https://cf.shopee.tw/file/tw-11134207-7r992-lo7z8pluxvlu7e_tn")</f>
        <v/>
      </c>
    </row>
    <row r="5109">
      <c r="A5109" t="inlineStr">
        <is>
          <t>20186370950</t>
        </is>
      </c>
      <c r="B5109" t="inlineStr">
        <is>
          <t>隔日到貨🔥 iPhone 手機殼 16 15 14 pro 13 12 11 XS XR SE X 保護殼 軟殼 蘋果</t>
        </is>
      </c>
      <c r="C5109">
        <f>IMAGE("https://cf.shopee.tw/file/tw-11134207-7r990-lo7z3ji83ix9c9_tn")</f>
        <v/>
      </c>
      <c r="D5109" t="inlineStr">
        <is>
          <t>蜜桃暈染+粉標手繩,13 Pro Max</t>
        </is>
      </c>
      <c r="E5109" t="inlineStr"/>
      <c r="F5109">
        <f>IMAGE("https://cf.shopee.tw/file/tw-11134207-7r992-lo7z8pluxvlu7e_tn")</f>
        <v/>
      </c>
    </row>
    <row r="5110">
      <c r="A5110" t="inlineStr">
        <is>
          <t>20186370950</t>
        </is>
      </c>
      <c r="B5110" t="inlineStr">
        <is>
          <t>隔日到貨🔥 iPhone 手機殼 16 15 14 pro 13 12 11 XS XR SE X 保護殼 軟殼 蘋果</t>
        </is>
      </c>
      <c r="C5110">
        <f>IMAGE("https://cf.shopee.tw/file/tw-11134207-7r990-lo7z3ji83ix9c9_tn")</f>
        <v/>
      </c>
      <c r="D5110" t="inlineStr">
        <is>
          <t>蜜桃暈染+粉標手繩,14</t>
        </is>
      </c>
      <c r="E5110" t="inlineStr"/>
      <c r="F5110">
        <f>IMAGE("https://cf.shopee.tw/file/tw-11134207-7r992-lo7z8pluxvlu7e_tn")</f>
        <v/>
      </c>
    </row>
    <row r="5111">
      <c r="A5111" t="inlineStr">
        <is>
          <t>20186370950</t>
        </is>
      </c>
      <c r="B5111" t="inlineStr">
        <is>
          <t>隔日到貨🔥 iPhone 手機殼 16 15 14 pro 13 12 11 XS XR SE X 保護殼 軟殼 蘋果</t>
        </is>
      </c>
      <c r="C5111">
        <f>IMAGE("https://cf.shopee.tw/file/tw-11134207-7r990-lo7z3ji83ix9c9_tn")</f>
        <v/>
      </c>
      <c r="D5111" t="inlineStr">
        <is>
          <t>蜜桃暈染+粉標手繩,14 Plus</t>
        </is>
      </c>
      <c r="E5111" t="inlineStr"/>
      <c r="F5111">
        <f>IMAGE("https://cf.shopee.tw/file/tw-11134207-7r992-lo7z8pluxvlu7e_tn")</f>
        <v/>
      </c>
    </row>
    <row r="5112">
      <c r="A5112" t="inlineStr">
        <is>
          <t>20186370950</t>
        </is>
      </c>
      <c r="B5112" t="inlineStr">
        <is>
          <t>隔日到貨🔥 iPhone 手機殼 16 15 14 pro 13 12 11 XS XR SE X 保護殼 軟殼 蘋果</t>
        </is>
      </c>
      <c r="C5112">
        <f>IMAGE("https://cf.shopee.tw/file/tw-11134207-7r990-lo7z3ji83ix9c9_tn")</f>
        <v/>
      </c>
      <c r="D5112" t="inlineStr">
        <is>
          <t>蜜桃暈染+粉標手繩,14 Pro Max</t>
        </is>
      </c>
      <c r="E5112" t="inlineStr">
        <is>
          <t>147112962773</t>
        </is>
      </c>
      <c r="F5112">
        <f>IMAGE("https://cf.shopee.tw/file/tw-11134207-7r992-lo7z8pluxvlu7e_tn")</f>
        <v/>
      </c>
    </row>
    <row r="5113">
      <c r="A5113" t="inlineStr">
        <is>
          <t>20186370950</t>
        </is>
      </c>
      <c r="B5113" t="inlineStr">
        <is>
          <t>隔日到貨🔥 iPhone 手機殼 16 15 14 pro 13 12 11 XS XR SE X 保護殼 軟殼 蘋果</t>
        </is>
      </c>
      <c r="C5113">
        <f>IMAGE("https://cf.shopee.tw/file/tw-11134207-7r990-lo7z3ji83ix9c9_tn")</f>
        <v/>
      </c>
      <c r="D5113" t="inlineStr">
        <is>
          <t>蜜桃暈染+粉標手繩,15</t>
        </is>
      </c>
      <c r="E5113" t="inlineStr">
        <is>
          <t>147112962774</t>
        </is>
      </c>
      <c r="F5113">
        <f>IMAGE("https://cf.shopee.tw/file/tw-11134207-7r992-lo7z8pluxvlu7e_tn")</f>
        <v/>
      </c>
    </row>
    <row r="5114">
      <c r="A5114" t="inlineStr">
        <is>
          <t>20186370950</t>
        </is>
      </c>
      <c r="B5114" t="inlineStr">
        <is>
          <t>隔日到貨🔥 iPhone 手機殼 16 15 14 pro 13 12 11 XS XR SE X 保護殼 軟殼 蘋果</t>
        </is>
      </c>
      <c r="C5114">
        <f>IMAGE("https://cf.shopee.tw/file/tw-11134207-7r990-lo7z3ji83ix9c9_tn")</f>
        <v/>
      </c>
      <c r="D5114" t="inlineStr">
        <is>
          <t>蜜桃暈染+粉標手繩,16</t>
        </is>
      </c>
      <c r="E5114" t="inlineStr"/>
      <c r="F5114">
        <f>IMAGE("https://cf.shopee.tw/file/tw-11134207-7r992-lo7z8pluxvlu7e_tn")</f>
        <v/>
      </c>
    </row>
    <row r="5115">
      <c r="A5115" t="inlineStr">
        <is>
          <t>20186370950</t>
        </is>
      </c>
      <c r="B5115" t="inlineStr">
        <is>
          <t>隔日到貨🔥 iPhone 手機殼 16 15 14 pro 13 12 11 XS XR SE X 保護殼 軟殼 蘋果</t>
        </is>
      </c>
      <c r="C5115">
        <f>IMAGE("https://cf.shopee.tw/file/tw-11134207-7r990-lo7z3ji83ix9c9_tn")</f>
        <v/>
      </c>
      <c r="D5115" t="inlineStr">
        <is>
          <t>蜜桃暈染+粉標手繩,16 Plus</t>
        </is>
      </c>
      <c r="E5115" t="inlineStr"/>
      <c r="F5115">
        <f>IMAGE("https://cf.shopee.tw/file/tw-11134207-7r992-lo7z8pluxvlu7e_tn")</f>
        <v/>
      </c>
    </row>
    <row r="5116">
      <c r="A5116" t="inlineStr">
        <is>
          <t>20186370950</t>
        </is>
      </c>
      <c r="B5116" t="inlineStr">
        <is>
          <t>隔日到貨🔥 iPhone 手機殼 16 15 14 pro 13 12 11 XS XR SE X 保護殼 軟殼 蘋果</t>
        </is>
      </c>
      <c r="C5116">
        <f>IMAGE("https://cf.shopee.tw/file/tw-11134207-7r990-lo7z3ji83ix9c9_tn")</f>
        <v/>
      </c>
      <c r="D5116" t="inlineStr">
        <is>
          <t>蜜桃暈染+粉標手繩,16 pro</t>
        </is>
      </c>
      <c r="E5116" t="inlineStr">
        <is>
          <t>205451597162</t>
        </is>
      </c>
      <c r="F5116">
        <f>IMAGE("https://cf.shopee.tw/file/tw-11134207-7r992-lo7z8pluxvlu7e_tn")</f>
        <v/>
      </c>
    </row>
    <row r="5117">
      <c r="A5117" t="inlineStr">
        <is>
          <t>20186370950</t>
        </is>
      </c>
      <c r="B5117" t="inlineStr">
        <is>
          <t>隔日到貨🔥 iPhone 手機殼 16 15 14 pro 13 12 11 XS XR SE X 保護殼 軟殼 蘋果</t>
        </is>
      </c>
      <c r="C5117">
        <f>IMAGE("https://cf.shopee.tw/file/tw-11134207-7r990-lo7z3ji83ix9c9_tn")</f>
        <v/>
      </c>
      <c r="D5117" t="inlineStr">
        <is>
          <t>蜜桃暈染+粉標手繩,16 pro Max</t>
        </is>
      </c>
      <c r="E5117" t="inlineStr"/>
      <c r="F5117">
        <f>IMAGE("https://cf.shopee.tw/file/tw-11134207-7r992-lo7z8pluxvlu7e_tn")</f>
        <v/>
      </c>
    </row>
    <row r="5118">
      <c r="A5118" t="inlineStr">
        <is>
          <t>9735624397</t>
        </is>
      </c>
      <c r="B5118" t="inlineStr">
        <is>
          <t>隔日到貨🔥 iPhone 手機殼 14 13 12 11 XS XR SE3 X 8plus 保護殼 軟殼 蘋果</t>
        </is>
      </c>
      <c r="C5118">
        <f>IMAGE("https://cf.shopee.tw/file/8d5b54ec83a63878633920214fad9346_tn")</f>
        <v/>
      </c>
      <c r="D5118" t="inlineStr">
        <is>
          <t>7 / 8 / SE2 / SE3</t>
        </is>
      </c>
      <c r="E5118" t="inlineStr"/>
      <c r="F5118">
        <f>IMAGE("https://deo.shopeemobile.com/shopee/shopee-seller-live-sg/mmf_portal_seller_root_dir/static/modules/product-list/image/default-item-model-image.2601159.png")</f>
        <v/>
      </c>
    </row>
    <row r="5119">
      <c r="A5119" t="inlineStr">
        <is>
          <t>9735624397</t>
        </is>
      </c>
      <c r="B5119" t="inlineStr">
        <is>
          <t>隔日到貨🔥 iPhone 手機殼 14 13 12 11 XS XR SE3 X 8plus 保護殼 軟殼 蘋果</t>
        </is>
      </c>
      <c r="C5119">
        <f>IMAGE("https://cf.shopee.tw/file/8d5b54ec83a63878633920214fad9346_tn")</f>
        <v/>
      </c>
      <c r="D5119" t="inlineStr">
        <is>
          <t>7Plus / 8Plus</t>
        </is>
      </c>
      <c r="E5119" t="inlineStr"/>
      <c r="F5119">
        <f>IMAGE("https://deo.shopeemobile.com/shopee/shopee-seller-live-sg/mmf_portal_seller_root_dir/static/modules/product-list/image/default-item-model-image.2601159.png")</f>
        <v/>
      </c>
    </row>
    <row r="5120">
      <c r="A5120" t="inlineStr">
        <is>
          <t>9735624397</t>
        </is>
      </c>
      <c r="B5120" t="inlineStr">
        <is>
          <t>隔日到貨🔥 iPhone 手機殼 14 13 12 11 XS XR SE3 X 8plus 保護殼 軟殼 蘋果</t>
        </is>
      </c>
      <c r="C5120">
        <f>IMAGE("https://cf.shopee.tw/file/8d5b54ec83a63878633920214fad9346_tn")</f>
        <v/>
      </c>
      <c r="D5120" t="inlineStr">
        <is>
          <t>XR</t>
        </is>
      </c>
      <c r="E5120" t="inlineStr"/>
      <c r="F5120">
        <f>IMAGE("https://deo.shopeemobile.com/shopee/shopee-seller-live-sg/mmf_portal_seller_root_dir/static/modules/product-list/image/default-item-model-image.2601159.png")</f>
        <v/>
      </c>
    </row>
    <row r="5121">
      <c r="A5121" t="inlineStr">
        <is>
          <t>9735624397</t>
        </is>
      </c>
      <c r="B5121" t="inlineStr">
        <is>
          <t>隔日到貨🔥 iPhone 手機殼 14 13 12 11 XS XR SE3 X 8plus 保護殼 軟殼 蘋果</t>
        </is>
      </c>
      <c r="C5121">
        <f>IMAGE("https://cf.shopee.tw/file/8d5b54ec83a63878633920214fad9346_tn")</f>
        <v/>
      </c>
      <c r="D5121" t="inlineStr">
        <is>
          <t>XS MAX</t>
        </is>
      </c>
      <c r="E5121" t="inlineStr"/>
      <c r="F5121">
        <f>IMAGE("https://deo.shopeemobile.com/shopee/shopee-seller-live-sg/mmf_portal_seller_root_dir/static/modules/product-list/image/default-item-model-image.2601159.png")</f>
        <v/>
      </c>
    </row>
    <row r="5122">
      <c r="A5122" t="inlineStr">
        <is>
          <t>9735624397</t>
        </is>
      </c>
      <c r="B5122" t="inlineStr">
        <is>
          <t>隔日到貨🔥 iPhone 手機殼 14 13 12 11 XS XR SE3 X 8plus 保護殼 軟殼 蘋果</t>
        </is>
      </c>
      <c r="C5122">
        <f>IMAGE("https://cf.shopee.tw/file/8d5b54ec83a63878633920214fad9346_tn")</f>
        <v/>
      </c>
      <c r="D5122" t="inlineStr">
        <is>
          <t>11 Pro Max</t>
        </is>
      </c>
      <c r="E5122" t="inlineStr"/>
      <c r="F5122">
        <f>IMAGE("https://deo.shopeemobile.com/shopee/shopee-seller-live-sg/mmf_portal_seller_root_dir/static/modules/product-list/image/default-item-model-image.2601159.png")</f>
        <v/>
      </c>
    </row>
    <row r="5123">
      <c r="A5123" t="inlineStr">
        <is>
          <t>9735624397</t>
        </is>
      </c>
      <c r="B5123" t="inlineStr">
        <is>
          <t>隔日到貨🔥 iPhone 手機殼 14 13 12 11 XS XR SE3 X 8plus 保護殼 軟殼 蘋果</t>
        </is>
      </c>
      <c r="C5123">
        <f>IMAGE("https://cf.shopee.tw/file/8d5b54ec83a63878633920214fad9346_tn")</f>
        <v/>
      </c>
      <c r="D5123" t="inlineStr">
        <is>
          <t>12</t>
        </is>
      </c>
      <c r="E5123" t="inlineStr"/>
      <c r="F5123">
        <f>IMAGE("https://deo.shopeemobile.com/shopee/shopee-seller-live-sg/mmf_portal_seller_root_dir/static/modules/product-list/image/default-item-model-image.2601159.png")</f>
        <v/>
      </c>
    </row>
    <row r="5124">
      <c r="A5124" t="inlineStr">
        <is>
          <t>9735624397</t>
        </is>
      </c>
      <c r="B5124" t="inlineStr">
        <is>
          <t>隔日到貨🔥 iPhone 手機殼 14 13 12 11 XS XR SE3 X 8plus 保護殼 軟殼 蘋果</t>
        </is>
      </c>
      <c r="C5124">
        <f>IMAGE("https://cf.shopee.tw/file/8d5b54ec83a63878633920214fad9346_tn")</f>
        <v/>
      </c>
      <c r="D5124" t="inlineStr">
        <is>
          <t>12 Pro</t>
        </is>
      </c>
      <c r="E5124" t="inlineStr"/>
      <c r="F5124">
        <f>IMAGE("https://deo.shopeemobile.com/shopee/shopee-seller-live-sg/mmf_portal_seller_root_dir/static/modules/product-list/image/default-item-model-image.2601159.png")</f>
        <v/>
      </c>
    </row>
    <row r="5125">
      <c r="A5125" t="inlineStr">
        <is>
          <t>9735624397</t>
        </is>
      </c>
      <c r="B5125" t="inlineStr">
        <is>
          <t>隔日到貨🔥 iPhone 手機殼 14 13 12 11 XS XR SE3 X 8plus 保護殼 軟殼 蘋果</t>
        </is>
      </c>
      <c r="C5125">
        <f>IMAGE("https://cf.shopee.tw/file/8d5b54ec83a63878633920214fad9346_tn")</f>
        <v/>
      </c>
      <c r="D5125" t="inlineStr">
        <is>
          <t>12 mini</t>
        </is>
      </c>
      <c r="E5125" t="inlineStr"/>
      <c r="F5125">
        <f>IMAGE("https://deo.shopeemobile.com/shopee/shopee-seller-live-sg/mmf_portal_seller_root_dir/static/modules/product-list/image/default-item-model-image.2601159.png")</f>
        <v/>
      </c>
    </row>
    <row r="5126">
      <c r="A5126" t="inlineStr">
        <is>
          <t>9735624397</t>
        </is>
      </c>
      <c r="B5126" t="inlineStr">
        <is>
          <t>隔日到貨🔥 iPhone 手機殼 14 13 12 11 XS XR SE3 X 8plus 保護殼 軟殼 蘋果</t>
        </is>
      </c>
      <c r="C5126">
        <f>IMAGE("https://cf.shopee.tw/file/8d5b54ec83a63878633920214fad9346_tn")</f>
        <v/>
      </c>
      <c r="D5126" t="inlineStr">
        <is>
          <t>12 Pro Max</t>
        </is>
      </c>
      <c r="E5126" t="inlineStr"/>
      <c r="F5126">
        <f>IMAGE("https://deo.shopeemobile.com/shopee/shopee-seller-live-sg/mmf_portal_seller_root_dir/static/modules/product-list/image/default-item-model-image.2601159.png")</f>
        <v/>
      </c>
    </row>
    <row r="5127">
      <c r="A5127" t="inlineStr">
        <is>
          <t>9735624397</t>
        </is>
      </c>
      <c r="B5127" t="inlineStr">
        <is>
          <t>隔日到貨🔥 iPhone 手機殼 14 13 12 11 XS XR SE3 X 8plus 保護殼 軟殼 蘋果</t>
        </is>
      </c>
      <c r="C5127">
        <f>IMAGE("https://cf.shopee.tw/file/8d5b54ec83a63878633920214fad9346_tn")</f>
        <v/>
      </c>
      <c r="D5127" t="inlineStr">
        <is>
          <t>13 pro</t>
        </is>
      </c>
      <c r="E5127" t="inlineStr"/>
      <c r="F5127">
        <f>IMAGE("https://deo.shopeemobile.com/shopee/shopee-seller-live-sg/mmf_portal_seller_root_dir/static/modules/product-list/image/default-item-model-image.2601159.png")</f>
        <v/>
      </c>
    </row>
    <row r="5128">
      <c r="A5128" t="inlineStr">
        <is>
          <t>9735624397</t>
        </is>
      </c>
      <c r="B5128" t="inlineStr">
        <is>
          <t>隔日到貨🔥 iPhone 手機殼 14 13 12 11 XS XR SE3 X 8plus 保護殼 軟殼 蘋果</t>
        </is>
      </c>
      <c r="C5128">
        <f>IMAGE("https://cf.shopee.tw/file/8d5b54ec83a63878633920214fad9346_tn")</f>
        <v/>
      </c>
      <c r="D5128" t="inlineStr">
        <is>
          <t>13 mini</t>
        </is>
      </c>
      <c r="E5128" t="inlineStr"/>
      <c r="F5128">
        <f>IMAGE("https://deo.shopeemobile.com/shopee/shopee-seller-live-sg/mmf_portal_seller_root_dir/static/modules/product-list/image/default-item-model-image.2601159.png")</f>
        <v/>
      </c>
    </row>
    <row r="5129">
      <c r="A5129" t="inlineStr">
        <is>
          <t>9735624397</t>
        </is>
      </c>
      <c r="B5129" t="inlineStr">
        <is>
          <t>隔日到貨🔥 iPhone 手機殼 14 13 12 11 XS XR SE3 X 8plus 保護殼 軟殼 蘋果</t>
        </is>
      </c>
      <c r="C5129">
        <f>IMAGE("https://cf.shopee.tw/file/8d5b54ec83a63878633920214fad9346_tn")</f>
        <v/>
      </c>
      <c r="D5129" t="inlineStr">
        <is>
          <t>14 pro</t>
        </is>
      </c>
      <c r="E5129" t="inlineStr"/>
      <c r="F5129">
        <f>IMAGE("https://deo.shopeemobile.com/shopee/shopee-seller-live-sg/mmf_portal_seller_root_dir/static/modules/product-list/image/default-item-model-image.2601159.png")</f>
        <v/>
      </c>
    </row>
    <row r="5130">
      <c r="A5130" t="inlineStr">
        <is>
          <t>9735624397</t>
        </is>
      </c>
      <c r="B5130" t="inlineStr">
        <is>
          <t>隔日到貨🔥 iPhone 手機殼 14 13 12 11 XS XR SE3 X 8plus 保護殼 軟殼 蘋果</t>
        </is>
      </c>
      <c r="C5130">
        <f>IMAGE("https://cf.shopee.tw/file/8d5b54ec83a63878633920214fad9346_tn")</f>
        <v/>
      </c>
      <c r="D5130" t="inlineStr">
        <is>
          <t>X / XS</t>
        </is>
      </c>
      <c r="E5130" t="inlineStr">
        <is>
          <t>44567403124</t>
        </is>
      </c>
      <c r="F5130">
        <f>IMAGE("https://deo.shopeemobile.com/shopee/shopee-seller-live-sg/mmf_portal_seller_root_dir/static/modules/product-list/image/default-item-model-image.2601159.png")</f>
        <v/>
      </c>
    </row>
    <row r="5131">
      <c r="A5131" t="inlineStr">
        <is>
          <t>9735624397</t>
        </is>
      </c>
      <c r="B5131" t="inlineStr">
        <is>
          <t>隔日到貨🔥 iPhone 手機殼 14 13 12 11 XS XR SE3 X 8plus 保護殼 軟殼 蘋果</t>
        </is>
      </c>
      <c r="C5131">
        <f>IMAGE("https://cf.shopee.tw/file/8d5b54ec83a63878633920214fad9346_tn")</f>
        <v/>
      </c>
      <c r="D5131" t="inlineStr">
        <is>
          <t>11</t>
        </is>
      </c>
      <c r="E5131" t="inlineStr"/>
      <c r="F5131">
        <f>IMAGE("https://deo.shopeemobile.com/shopee/shopee-seller-live-sg/mmf_portal_seller_root_dir/static/modules/product-list/image/default-item-model-image.2601159.png")</f>
        <v/>
      </c>
    </row>
    <row r="5132">
      <c r="A5132" t="inlineStr">
        <is>
          <t>9735624397</t>
        </is>
      </c>
      <c r="B5132" t="inlineStr">
        <is>
          <t>隔日到貨🔥 iPhone 手機殼 14 13 12 11 XS XR SE3 X 8plus 保護殼 軟殼 蘋果</t>
        </is>
      </c>
      <c r="C5132">
        <f>IMAGE("https://cf.shopee.tw/file/8d5b54ec83a63878633920214fad9346_tn")</f>
        <v/>
      </c>
      <c r="D5132" t="inlineStr">
        <is>
          <t>11 Pro</t>
        </is>
      </c>
      <c r="E5132" t="inlineStr"/>
      <c r="F5132">
        <f>IMAGE("https://deo.shopeemobile.com/shopee/shopee-seller-live-sg/mmf_portal_seller_root_dir/static/modules/product-list/image/default-item-model-image.2601159.png")</f>
        <v/>
      </c>
    </row>
    <row r="5133">
      <c r="A5133" t="inlineStr">
        <is>
          <t>9735624397</t>
        </is>
      </c>
      <c r="B5133" t="inlineStr">
        <is>
          <t>隔日到貨🔥 iPhone 手機殼 14 13 12 11 XS XR SE3 X 8plus 保護殼 軟殼 蘋果</t>
        </is>
      </c>
      <c r="C5133">
        <f>IMAGE("https://cf.shopee.tw/file/8d5b54ec83a63878633920214fad9346_tn")</f>
        <v/>
      </c>
      <c r="D5133" t="inlineStr">
        <is>
          <t>13</t>
        </is>
      </c>
      <c r="E5133" t="inlineStr"/>
      <c r="F5133">
        <f>IMAGE("https://deo.shopeemobile.com/shopee/shopee-seller-live-sg/mmf_portal_seller_root_dir/static/modules/product-list/image/default-item-model-image.2601159.png")</f>
        <v/>
      </c>
    </row>
    <row r="5134">
      <c r="A5134" t="inlineStr">
        <is>
          <t>9735624397</t>
        </is>
      </c>
      <c r="B5134" t="inlineStr">
        <is>
          <t>隔日到貨🔥 iPhone 手機殼 14 13 12 11 XS XR SE3 X 8plus 保護殼 軟殼 蘋果</t>
        </is>
      </c>
      <c r="C5134">
        <f>IMAGE("https://cf.shopee.tw/file/8d5b54ec83a63878633920214fad9346_tn")</f>
        <v/>
      </c>
      <c r="D5134" t="inlineStr">
        <is>
          <t>13 pro Max</t>
        </is>
      </c>
      <c r="E5134" t="inlineStr">
        <is>
          <t>85141640524</t>
        </is>
      </c>
      <c r="F5134">
        <f>IMAGE("https://deo.shopeemobile.com/shopee/shopee-seller-live-sg/mmf_portal_seller_root_dir/static/modules/product-list/image/default-item-model-image.2601159.png")</f>
        <v/>
      </c>
    </row>
    <row r="5135">
      <c r="A5135" t="inlineStr">
        <is>
          <t>9735624397</t>
        </is>
      </c>
      <c r="B5135" t="inlineStr">
        <is>
          <t>隔日到貨🔥 iPhone 手機殼 14 13 12 11 XS XR SE3 X 8plus 保護殼 軟殼 蘋果</t>
        </is>
      </c>
      <c r="C5135">
        <f>IMAGE("https://cf.shopee.tw/file/8d5b54ec83a63878633920214fad9346_tn")</f>
        <v/>
      </c>
      <c r="D5135" t="inlineStr">
        <is>
          <t>14</t>
        </is>
      </c>
      <c r="E5135" t="inlineStr"/>
      <c r="F5135">
        <f>IMAGE("https://deo.shopeemobile.com/shopee/shopee-seller-live-sg/mmf_portal_seller_root_dir/static/modules/product-list/image/default-item-model-image.2601159.png")</f>
        <v/>
      </c>
    </row>
    <row r="5136">
      <c r="A5136" t="inlineStr">
        <is>
          <t>9735624397</t>
        </is>
      </c>
      <c r="B5136" t="inlineStr">
        <is>
          <t>隔日到貨🔥 iPhone 手機殼 14 13 12 11 XS XR SE3 X 8plus 保護殼 軟殼 蘋果</t>
        </is>
      </c>
      <c r="C5136">
        <f>IMAGE("https://cf.shopee.tw/file/8d5b54ec83a63878633920214fad9346_tn")</f>
        <v/>
      </c>
      <c r="D5136" t="inlineStr">
        <is>
          <t>14 Plus</t>
        </is>
      </c>
      <c r="E5136" t="inlineStr">
        <is>
          <t>145797644866</t>
        </is>
      </c>
      <c r="F5136">
        <f>IMAGE("https://deo.shopeemobile.com/shopee/shopee-seller-live-sg/mmf_portal_seller_root_dir/static/modules/product-list/image/default-item-model-image.2601159.png")</f>
        <v/>
      </c>
    </row>
    <row r="5137">
      <c r="A5137" t="inlineStr">
        <is>
          <t>9735624397</t>
        </is>
      </c>
      <c r="B5137" t="inlineStr">
        <is>
          <t>隔日到貨🔥 iPhone 手機殼 14 13 12 11 XS XR SE3 X 8plus 保護殼 軟殼 蘋果</t>
        </is>
      </c>
      <c r="C5137">
        <f>IMAGE("https://cf.shopee.tw/file/8d5b54ec83a63878633920214fad9346_tn")</f>
        <v/>
      </c>
      <c r="D5137" t="inlineStr">
        <is>
          <t>14 pro Max</t>
        </is>
      </c>
      <c r="E5137" t="inlineStr">
        <is>
          <t>145797644864</t>
        </is>
      </c>
      <c r="F5137">
        <f>IMAGE("https://deo.shopeemobile.com/shopee/shopee-seller-live-sg/mmf_portal_seller_root_dir/static/modules/product-list/image/default-item-model-image.2601159.png")</f>
        <v/>
      </c>
    </row>
    <row r="5138">
      <c r="A5138" t="inlineStr">
        <is>
          <t>22567855004</t>
        </is>
      </c>
      <c r="B5138" t="inlineStr">
        <is>
          <t>隔日到貨🔥 工裝後背包 學生背包 大容量 防水 學生 背包 百搭 尼龍 B49 手提 雙肩包 背包 書包 潮流 後背</t>
        </is>
      </c>
      <c r="C5138">
        <f>IMAGE("https://cf.shopee.tw/file/tw-11134207-7qul5-lhm1pjfnyevi4e_tn")</f>
        <v/>
      </c>
      <c r="D5138" t="inlineStr">
        <is>
          <t>B31-反光黑(無防水)</t>
        </is>
      </c>
      <c r="E5138" t="inlineStr"/>
      <c r="F5138">
        <f>IMAGE("https://cf.shopee.tw/file/tw-11134207-7r98o-ll1vm82lg6ux26_tn")</f>
        <v/>
      </c>
    </row>
    <row r="5139">
      <c r="A5139" t="inlineStr">
        <is>
          <t>22567855004</t>
        </is>
      </c>
      <c r="B5139" t="inlineStr">
        <is>
          <t>隔日到貨🔥 工裝後背包 學生背包 大容量 防水 學生 背包 百搭 尼龍 B49 手提 雙肩包 背包 書包 潮流 後背</t>
        </is>
      </c>
      <c r="C5139">
        <f>IMAGE("https://cf.shopee.tw/file/tw-11134207-7qul5-lhm1pjfnyevi4e_tn")</f>
        <v/>
      </c>
      <c r="D5139" t="inlineStr">
        <is>
          <t>白色</t>
        </is>
      </c>
      <c r="E5139" t="inlineStr">
        <is>
          <t>156858572155</t>
        </is>
      </c>
      <c r="F5139">
        <f>IMAGE("https://cf.shopee.tw/file/tw-11134207-7qul2-lgridiag8nqhc3_tn")</f>
        <v/>
      </c>
    </row>
    <row r="5140">
      <c r="A5140" t="inlineStr">
        <is>
          <t>22567855004</t>
        </is>
      </c>
      <c r="B5140" t="inlineStr">
        <is>
          <t>隔日到貨🔥 工裝後背包 學生背包 大容量 防水 學生 背包 百搭 尼龍 B49 手提 雙肩包 背包 書包 潮流 後背</t>
        </is>
      </c>
      <c r="C5140">
        <f>IMAGE("https://cf.shopee.tw/file/tw-11134207-7qul5-lhm1pjfnyevi4e_tn")</f>
        <v/>
      </c>
      <c r="D5140" t="inlineStr">
        <is>
          <t>紫色</t>
        </is>
      </c>
      <c r="E5140" t="inlineStr">
        <is>
          <t>156858572156</t>
        </is>
      </c>
      <c r="F5140">
        <f>IMAGE("https://cf.shopee.tw/file/tw-11134207-7qul3-lgridiag8nxoc5_tn")</f>
        <v/>
      </c>
    </row>
    <row r="5141">
      <c r="A5141" t="inlineStr">
        <is>
          <t>22567855004</t>
        </is>
      </c>
      <c r="B5141" t="inlineStr">
        <is>
          <t>隔日到貨🔥 工裝後背包 學生背包 大容量 防水 學生 背包 百搭 尼龍 B49 手提 雙肩包 背包 書包 潮流 後背</t>
        </is>
      </c>
      <c r="C5141">
        <f>IMAGE("https://cf.shopee.tw/file/tw-11134207-7qul5-lhm1pjfnyevi4e_tn")</f>
        <v/>
      </c>
      <c r="D5141" t="inlineStr">
        <is>
          <t>紅色</t>
        </is>
      </c>
      <c r="E5141" t="inlineStr"/>
      <c r="F5141">
        <f>IMAGE("https://cf.shopee.tw/file/tw-11134207-7qul8-lgridiago3zde8_tn")</f>
        <v/>
      </c>
    </row>
    <row r="5142">
      <c r="A5142" t="inlineStr">
        <is>
          <t>22567855004</t>
        </is>
      </c>
      <c r="B5142" t="inlineStr">
        <is>
          <t>隔日到貨🔥 工裝後背包 學生背包 大容量 防水 學生 背包 百搭 尼龍 B49 手提 雙肩包 背包 書包 潮流 後背</t>
        </is>
      </c>
      <c r="C5142">
        <f>IMAGE("https://cf.shopee.tw/file/tw-11134207-7qul5-lhm1pjfnyevi4e_tn")</f>
        <v/>
      </c>
      <c r="D5142" t="inlineStr">
        <is>
          <t>藍色</t>
        </is>
      </c>
      <c r="E5142" t="inlineStr">
        <is>
          <t>156858572158</t>
        </is>
      </c>
      <c r="F5142">
        <f>IMAGE("https://cf.shopee.tw/file/tw-11134207-7qul6-lgridiah3k89fc_tn")</f>
        <v/>
      </c>
    </row>
    <row r="5143">
      <c r="A5143" t="inlineStr">
        <is>
          <t>22567855004</t>
        </is>
      </c>
      <c r="B5143" t="inlineStr">
        <is>
          <t>隔日到貨🔥 工裝後背包 學生背包 大容量 防水 學生 背包 百搭 尼龍 B49 手提 雙肩包 背包 書包 潮流 後背</t>
        </is>
      </c>
      <c r="C5143">
        <f>IMAGE("https://cf.shopee.tw/file/tw-11134207-7qul5-lhm1pjfnyevi4e_tn")</f>
        <v/>
      </c>
      <c r="D5143" t="inlineStr">
        <is>
          <t>黑色</t>
        </is>
      </c>
      <c r="E5143" t="inlineStr"/>
      <c r="F5143">
        <f>IMAGE("https://cf.shopee.tw/file/tw-11134207-7qul7-lgridib07ui1d4_tn")</f>
        <v/>
      </c>
    </row>
    <row r="5144">
      <c r="A5144" t="inlineStr">
        <is>
          <t>22567855004</t>
        </is>
      </c>
      <c r="B5144" t="inlineStr">
        <is>
          <t>隔日到貨🔥 工裝後背包 學生背包 大容量 防水 學生 背包 百搭 尼龍 B49 手提 雙肩包 背包 書包 潮流 後背</t>
        </is>
      </c>
      <c r="C5144">
        <f>IMAGE("https://cf.shopee.tw/file/tw-11134207-7qul5-lhm1pjfnyevi4e_tn")</f>
        <v/>
      </c>
      <c r="D5144" t="inlineStr">
        <is>
          <t>B31-反光白(無防水)</t>
        </is>
      </c>
      <c r="E5144" t="inlineStr"/>
      <c r="F5144">
        <f>IMAGE("https://cf.shopee.tw/file/tw-11134207-7r98o-ll1vm82lhlfdb1_tn")</f>
        <v/>
      </c>
    </row>
    <row r="5145">
      <c r="A5145" t="inlineStr">
        <is>
          <t>14793065559</t>
        </is>
      </c>
      <c r="B5145" t="inlineStr">
        <is>
          <t>隔日到貨🔥 iPhone手機殼 15 14 13 12 11 pro XS XR SE X 8 保護殼 軟殼 蘋果</t>
        </is>
      </c>
      <c r="C5145">
        <f>IMAGE("https://cf.shopee.tw/file/d3814043d2225061471ca9d7003b752f_tn")</f>
        <v/>
      </c>
      <c r="D5145" t="inlineStr">
        <is>
          <t>1. 看書柴犬,7 / 8 / SE2 / SE3</t>
        </is>
      </c>
      <c r="E5145" t="inlineStr"/>
      <c r="F5145">
        <f>IMAGE("https://cf.shopee.tw/file/sg-11134201-22090-yccc67rwxqhve9_tn")</f>
        <v/>
      </c>
    </row>
    <row r="5146">
      <c r="A5146" t="inlineStr">
        <is>
          <t>14793065559</t>
        </is>
      </c>
      <c r="B5146" t="inlineStr">
        <is>
          <t>隔日到貨🔥 iPhone手機殼 15 14 13 12 11 pro XS XR SE X 8 保護殼 軟殼 蘋果</t>
        </is>
      </c>
      <c r="C5146">
        <f>IMAGE("https://cf.shopee.tw/file/d3814043d2225061471ca9d7003b752f_tn")</f>
        <v/>
      </c>
      <c r="D5146" t="inlineStr">
        <is>
          <t>1. 看書柴犬,7plus / 8plus</t>
        </is>
      </c>
      <c r="E5146" t="inlineStr"/>
      <c r="F5146">
        <f>IMAGE("https://cf.shopee.tw/file/sg-11134201-22090-yccc67rwxqhve9_tn")</f>
        <v/>
      </c>
    </row>
    <row r="5147">
      <c r="A5147" t="inlineStr">
        <is>
          <t>14793065559</t>
        </is>
      </c>
      <c r="B5147" t="inlineStr">
        <is>
          <t>隔日到貨🔥 iPhone手機殼 15 14 13 12 11 pro XS XR SE X 8 保護殼 軟殼 蘋果</t>
        </is>
      </c>
      <c r="C5147">
        <f>IMAGE("https://cf.shopee.tw/file/d3814043d2225061471ca9d7003b752f_tn")</f>
        <v/>
      </c>
      <c r="D5147" t="inlineStr">
        <is>
          <t>1. 看書柴犬,XR</t>
        </is>
      </c>
      <c r="E5147" t="inlineStr"/>
      <c r="F5147">
        <f>IMAGE("https://cf.shopee.tw/file/sg-11134201-22090-yccc67rwxqhve9_tn")</f>
        <v/>
      </c>
    </row>
    <row r="5148">
      <c r="A5148" t="inlineStr">
        <is>
          <t>14793065559</t>
        </is>
      </c>
      <c r="B5148" t="inlineStr">
        <is>
          <t>隔日到貨🔥 iPhone手機殼 15 14 13 12 11 pro XS XR SE X 8 保護殼 軟殼 蘋果</t>
        </is>
      </c>
      <c r="C5148">
        <f>IMAGE("https://cf.shopee.tw/file/d3814043d2225061471ca9d7003b752f_tn")</f>
        <v/>
      </c>
      <c r="D5148" t="inlineStr">
        <is>
          <t>1. 看書柴犬,12</t>
        </is>
      </c>
      <c r="E5148" t="inlineStr"/>
      <c r="F5148">
        <f>IMAGE("https://cf.shopee.tw/file/sg-11134201-22090-yccc67rwxqhve9_tn")</f>
        <v/>
      </c>
    </row>
    <row r="5149">
      <c r="A5149" t="inlineStr">
        <is>
          <t>14793065559</t>
        </is>
      </c>
      <c r="B5149" t="inlineStr">
        <is>
          <t>隔日到貨🔥 iPhone手機殼 15 14 13 12 11 pro XS XR SE X 8 保護殼 軟殼 蘋果</t>
        </is>
      </c>
      <c r="C5149">
        <f>IMAGE("https://cf.shopee.tw/file/d3814043d2225061471ca9d7003b752f_tn")</f>
        <v/>
      </c>
      <c r="D5149" t="inlineStr">
        <is>
          <t>1. 看書柴犬,12 pro</t>
        </is>
      </c>
      <c r="E5149" t="inlineStr"/>
      <c r="F5149">
        <f>IMAGE("https://cf.shopee.tw/file/sg-11134201-22090-yccc67rwxqhve9_tn")</f>
        <v/>
      </c>
    </row>
    <row r="5150">
      <c r="A5150" t="inlineStr">
        <is>
          <t>14793065559</t>
        </is>
      </c>
      <c r="B5150" t="inlineStr">
        <is>
          <t>隔日到貨🔥 iPhone手機殼 15 14 13 12 11 pro XS XR SE X 8 保護殼 軟殼 蘋果</t>
        </is>
      </c>
      <c r="C5150">
        <f>IMAGE("https://cf.shopee.tw/file/d3814043d2225061471ca9d7003b752f_tn")</f>
        <v/>
      </c>
      <c r="D5150" t="inlineStr">
        <is>
          <t>1. 看書柴犬,14</t>
        </is>
      </c>
      <c r="E5150" t="inlineStr"/>
      <c r="F5150">
        <f>IMAGE("https://cf.shopee.tw/file/sg-11134201-22090-yccc67rwxqhve9_tn")</f>
        <v/>
      </c>
    </row>
    <row r="5151">
      <c r="A5151" t="inlineStr">
        <is>
          <t>14793065559</t>
        </is>
      </c>
      <c r="B5151" t="inlineStr">
        <is>
          <t>隔日到貨🔥 iPhone手機殼 15 14 13 12 11 pro XS XR SE X 8 保護殼 軟殼 蘋果</t>
        </is>
      </c>
      <c r="C5151">
        <f>IMAGE("https://cf.shopee.tw/file/d3814043d2225061471ca9d7003b752f_tn")</f>
        <v/>
      </c>
      <c r="D5151" t="inlineStr">
        <is>
          <t>1. 看書柴犬,15</t>
        </is>
      </c>
      <c r="E5151" t="inlineStr"/>
      <c r="F5151">
        <f>IMAGE("https://cf.shopee.tw/file/sg-11134201-22090-yccc67rwxqhve9_tn")</f>
        <v/>
      </c>
    </row>
    <row r="5152">
      <c r="A5152" t="inlineStr">
        <is>
          <t>14793065559</t>
        </is>
      </c>
      <c r="B5152" t="inlineStr">
        <is>
          <t>隔日到貨🔥 iPhone手機殼 15 14 13 12 11 pro XS XR SE X 8 保護殼 軟殼 蘋果</t>
        </is>
      </c>
      <c r="C5152">
        <f>IMAGE("https://cf.shopee.tw/file/d3814043d2225061471ca9d7003b752f_tn")</f>
        <v/>
      </c>
      <c r="D5152" t="inlineStr">
        <is>
          <t>2. 雪人狗,7 / 8 / SE2 / SE3</t>
        </is>
      </c>
      <c r="E5152" t="inlineStr"/>
      <c r="F5152">
        <f>IMAGE("https://cf.shopee.tw/file/sg-11134201-22090-y50cilvwxqhv82_tn")</f>
        <v/>
      </c>
    </row>
    <row r="5153">
      <c r="A5153" t="inlineStr">
        <is>
          <t>14793065559</t>
        </is>
      </c>
      <c r="B5153" t="inlineStr">
        <is>
          <t>隔日到貨🔥 iPhone手機殼 15 14 13 12 11 pro XS XR SE X 8 保護殼 軟殼 蘋果</t>
        </is>
      </c>
      <c r="C5153">
        <f>IMAGE("https://cf.shopee.tw/file/d3814043d2225061471ca9d7003b752f_tn")</f>
        <v/>
      </c>
      <c r="D5153" t="inlineStr">
        <is>
          <t>2. 雪人狗,XR</t>
        </is>
      </c>
      <c r="E5153" t="inlineStr"/>
      <c r="F5153">
        <f>IMAGE("https://cf.shopee.tw/file/sg-11134201-22090-y50cilvwxqhv82_tn")</f>
        <v/>
      </c>
    </row>
    <row r="5154">
      <c r="A5154" t="inlineStr">
        <is>
          <t>14793065559</t>
        </is>
      </c>
      <c r="B5154" t="inlineStr">
        <is>
          <t>隔日到貨🔥 iPhone手機殼 15 14 13 12 11 pro XS XR SE X 8 保護殼 軟殼 蘋果</t>
        </is>
      </c>
      <c r="C5154">
        <f>IMAGE("https://cf.shopee.tw/file/d3814043d2225061471ca9d7003b752f_tn")</f>
        <v/>
      </c>
      <c r="D5154" t="inlineStr">
        <is>
          <t>2. 雪人狗,11</t>
        </is>
      </c>
      <c r="E5154" t="inlineStr"/>
      <c r="F5154">
        <f>IMAGE("https://cf.shopee.tw/file/sg-11134201-22090-y50cilvwxqhv82_tn")</f>
        <v/>
      </c>
    </row>
    <row r="5155">
      <c r="A5155" t="inlineStr">
        <is>
          <t>14793065559</t>
        </is>
      </c>
      <c r="B5155" t="inlineStr">
        <is>
          <t>隔日到貨🔥 iPhone手機殼 15 14 13 12 11 pro XS XR SE X 8 保護殼 軟殼 蘋果</t>
        </is>
      </c>
      <c r="C5155">
        <f>IMAGE("https://cf.shopee.tw/file/d3814043d2225061471ca9d7003b752f_tn")</f>
        <v/>
      </c>
      <c r="D5155" t="inlineStr">
        <is>
          <t>2. 雪人狗,12</t>
        </is>
      </c>
      <c r="E5155" t="inlineStr"/>
      <c r="F5155">
        <f>IMAGE("https://cf.shopee.tw/file/sg-11134201-22090-y50cilvwxqhv82_tn")</f>
        <v/>
      </c>
    </row>
    <row r="5156">
      <c r="A5156" t="inlineStr">
        <is>
          <t>14793065559</t>
        </is>
      </c>
      <c r="B5156" t="inlineStr">
        <is>
          <t>隔日到貨🔥 iPhone手機殼 15 14 13 12 11 pro XS XR SE X 8 保護殼 軟殼 蘋果</t>
        </is>
      </c>
      <c r="C5156">
        <f>IMAGE("https://cf.shopee.tw/file/d3814043d2225061471ca9d7003b752f_tn")</f>
        <v/>
      </c>
      <c r="D5156" t="inlineStr">
        <is>
          <t>2. 雪人狗,12 pro</t>
        </is>
      </c>
      <c r="E5156" t="inlineStr"/>
      <c r="F5156">
        <f>IMAGE("https://cf.shopee.tw/file/sg-11134201-22090-y50cilvwxqhv82_tn")</f>
        <v/>
      </c>
    </row>
    <row r="5157">
      <c r="A5157" t="inlineStr">
        <is>
          <t>14793065559</t>
        </is>
      </c>
      <c r="B5157" t="inlineStr">
        <is>
          <t>隔日到貨🔥 iPhone手機殼 15 14 13 12 11 pro XS XR SE X 8 保護殼 軟殼 蘋果</t>
        </is>
      </c>
      <c r="C5157">
        <f>IMAGE("https://cf.shopee.tw/file/d3814043d2225061471ca9d7003b752f_tn")</f>
        <v/>
      </c>
      <c r="D5157" t="inlineStr">
        <is>
          <t>2. 雪人狗,13</t>
        </is>
      </c>
      <c r="E5157" t="inlineStr"/>
      <c r="F5157">
        <f>IMAGE("https://cf.shopee.tw/file/sg-11134201-22090-y50cilvwxqhv82_tn")</f>
        <v/>
      </c>
    </row>
    <row r="5158">
      <c r="A5158" t="inlineStr">
        <is>
          <t>14793065559</t>
        </is>
      </c>
      <c r="B5158" t="inlineStr">
        <is>
          <t>隔日到貨🔥 iPhone手機殼 15 14 13 12 11 pro XS XR SE X 8 保護殼 軟殼 蘋果</t>
        </is>
      </c>
      <c r="C5158">
        <f>IMAGE("https://cf.shopee.tw/file/d3814043d2225061471ca9d7003b752f_tn")</f>
        <v/>
      </c>
      <c r="D5158" t="inlineStr">
        <is>
          <t>2. 雪人狗,14</t>
        </is>
      </c>
      <c r="E5158" t="inlineStr"/>
      <c r="F5158">
        <f>IMAGE("https://cf.shopee.tw/file/sg-11134201-22090-y50cilvwxqhv82_tn")</f>
        <v/>
      </c>
    </row>
    <row r="5159">
      <c r="A5159" t="inlineStr">
        <is>
          <t>14793065559</t>
        </is>
      </c>
      <c r="B5159" t="inlineStr">
        <is>
          <t>隔日到貨🔥 iPhone手機殼 15 14 13 12 11 pro XS XR SE X 8 保護殼 軟殼 蘋果</t>
        </is>
      </c>
      <c r="C5159">
        <f>IMAGE("https://cf.shopee.tw/file/d3814043d2225061471ca9d7003b752f_tn")</f>
        <v/>
      </c>
      <c r="D5159" t="inlineStr">
        <is>
          <t>2. 雪人狗,15</t>
        </is>
      </c>
      <c r="E5159" t="inlineStr"/>
      <c r="F5159">
        <f>IMAGE("https://cf.shopee.tw/file/sg-11134201-22090-y50cilvwxqhv82_tn")</f>
        <v/>
      </c>
    </row>
    <row r="5160">
      <c r="A5160" t="inlineStr">
        <is>
          <t>14793065559</t>
        </is>
      </c>
      <c r="B5160" t="inlineStr">
        <is>
          <t>隔日到貨🔥 iPhone手機殼 15 14 13 12 11 pro XS XR SE X 8 保護殼 軟殼 蘋果</t>
        </is>
      </c>
      <c r="C5160">
        <f>IMAGE("https://cf.shopee.tw/file/d3814043d2225061471ca9d7003b752f_tn")</f>
        <v/>
      </c>
      <c r="D5160" t="inlineStr">
        <is>
          <t>1. 看書柴犬,X / XS</t>
        </is>
      </c>
      <c r="E5160" t="inlineStr">
        <is>
          <t>192432251024</t>
        </is>
      </c>
      <c r="F5160">
        <f>IMAGE("https://cf.shopee.tw/file/sg-11134201-22090-yccc67rwxqhve9_tn")</f>
        <v/>
      </c>
    </row>
    <row r="5161">
      <c r="A5161" t="inlineStr">
        <is>
          <t>14793065559</t>
        </is>
      </c>
      <c r="B5161" t="inlineStr">
        <is>
          <t>隔日到貨🔥 iPhone手機殼 15 14 13 12 11 pro XS XR SE X 8 保護殼 軟殼 蘋果</t>
        </is>
      </c>
      <c r="C5161">
        <f>IMAGE("https://cf.shopee.tw/file/d3814043d2225061471ca9d7003b752f_tn")</f>
        <v/>
      </c>
      <c r="D5161" t="inlineStr">
        <is>
          <t>1. 看書柴犬,XS Max</t>
        </is>
      </c>
      <c r="E5161" t="inlineStr"/>
      <c r="F5161">
        <f>IMAGE("https://cf.shopee.tw/file/sg-11134201-22090-yccc67rwxqhve9_tn")</f>
        <v/>
      </c>
    </row>
    <row r="5162">
      <c r="A5162" t="inlineStr">
        <is>
          <t>14793065559</t>
        </is>
      </c>
      <c r="B5162" t="inlineStr">
        <is>
          <t>隔日到貨🔥 iPhone手機殼 15 14 13 12 11 pro XS XR SE X 8 保護殼 軟殼 蘋果</t>
        </is>
      </c>
      <c r="C5162">
        <f>IMAGE("https://cf.shopee.tw/file/d3814043d2225061471ca9d7003b752f_tn")</f>
        <v/>
      </c>
      <c r="D5162" t="inlineStr">
        <is>
          <t>1. 看書柴犬,11</t>
        </is>
      </c>
      <c r="E5162" t="inlineStr"/>
      <c r="F5162">
        <f>IMAGE("https://cf.shopee.tw/file/sg-11134201-22090-yccc67rwxqhve9_tn")</f>
        <v/>
      </c>
    </row>
    <row r="5163">
      <c r="A5163" t="inlineStr">
        <is>
          <t>14793065559</t>
        </is>
      </c>
      <c r="B5163" t="inlineStr">
        <is>
          <t>隔日到貨🔥 iPhone手機殼 15 14 13 12 11 pro XS XR SE X 8 保護殼 軟殼 蘋果</t>
        </is>
      </c>
      <c r="C5163">
        <f>IMAGE("https://cf.shopee.tw/file/d3814043d2225061471ca9d7003b752f_tn")</f>
        <v/>
      </c>
      <c r="D5163" t="inlineStr">
        <is>
          <t>1. 看書柴犬,12 pro Max</t>
        </is>
      </c>
      <c r="E5163" t="inlineStr"/>
      <c r="F5163">
        <f>IMAGE("https://cf.shopee.tw/file/sg-11134201-22090-yccc67rwxqhve9_tn")</f>
        <v/>
      </c>
    </row>
    <row r="5164">
      <c r="A5164" t="inlineStr">
        <is>
          <t>14793065559</t>
        </is>
      </c>
      <c r="B5164" t="inlineStr">
        <is>
          <t>隔日到貨🔥 iPhone手機殼 15 14 13 12 11 pro XS XR SE X 8 保護殼 軟殼 蘋果</t>
        </is>
      </c>
      <c r="C5164">
        <f>IMAGE("https://cf.shopee.tw/file/d3814043d2225061471ca9d7003b752f_tn")</f>
        <v/>
      </c>
      <c r="D5164" t="inlineStr">
        <is>
          <t>1. 看書柴犬,13</t>
        </is>
      </c>
      <c r="E5164" t="inlineStr">
        <is>
          <t>192432251035</t>
        </is>
      </c>
      <c r="F5164">
        <f>IMAGE("https://cf.shopee.tw/file/sg-11134201-22090-yccc67rwxqhve9_tn")</f>
        <v/>
      </c>
    </row>
    <row r="5165">
      <c r="A5165" t="inlineStr">
        <is>
          <t>14793065559</t>
        </is>
      </c>
      <c r="B5165" t="inlineStr">
        <is>
          <t>隔日到貨🔥 iPhone手機殼 15 14 13 12 11 pro XS XR SE X 8 保護殼 軟殼 蘋果</t>
        </is>
      </c>
      <c r="C5165">
        <f>IMAGE("https://cf.shopee.tw/file/d3814043d2225061471ca9d7003b752f_tn")</f>
        <v/>
      </c>
      <c r="D5165" t="inlineStr">
        <is>
          <t>1. 看書柴犬,13 pro</t>
        </is>
      </c>
      <c r="E5165" t="inlineStr"/>
      <c r="F5165">
        <f>IMAGE("https://cf.shopee.tw/file/sg-11134201-22090-yccc67rwxqhve9_tn")</f>
        <v/>
      </c>
    </row>
    <row r="5166">
      <c r="A5166" t="inlineStr">
        <is>
          <t>14793065559</t>
        </is>
      </c>
      <c r="B5166" t="inlineStr">
        <is>
          <t>隔日到貨🔥 iPhone手機殼 15 14 13 12 11 pro XS XR SE X 8 保護殼 軟殼 蘋果</t>
        </is>
      </c>
      <c r="C5166">
        <f>IMAGE("https://cf.shopee.tw/file/d3814043d2225061471ca9d7003b752f_tn")</f>
        <v/>
      </c>
      <c r="D5166" t="inlineStr">
        <is>
          <t>1. 看書柴犬,13 pro Max</t>
        </is>
      </c>
      <c r="E5166" t="inlineStr"/>
      <c r="F5166">
        <f>IMAGE("https://cf.shopee.tw/file/sg-11134201-22090-yccc67rwxqhve9_tn")</f>
        <v/>
      </c>
    </row>
    <row r="5167">
      <c r="A5167" t="inlineStr">
        <is>
          <t>14793065559</t>
        </is>
      </c>
      <c r="B5167" t="inlineStr">
        <is>
          <t>隔日到貨🔥 iPhone手機殼 15 14 13 12 11 pro XS XR SE X 8 保護殼 軟殼 蘋果</t>
        </is>
      </c>
      <c r="C5167">
        <f>IMAGE("https://cf.shopee.tw/file/d3814043d2225061471ca9d7003b752f_tn")</f>
        <v/>
      </c>
      <c r="D5167" t="inlineStr">
        <is>
          <t>1. 看書柴犬,14 Plus</t>
        </is>
      </c>
      <c r="E5167" t="inlineStr"/>
      <c r="F5167">
        <f>IMAGE("https://cf.shopee.tw/file/sg-11134201-22090-yccc67rwxqhve9_tn")</f>
        <v/>
      </c>
    </row>
    <row r="5168">
      <c r="A5168" t="inlineStr">
        <is>
          <t>14793065559</t>
        </is>
      </c>
      <c r="B5168" t="inlineStr">
        <is>
          <t>隔日到貨🔥 iPhone手機殼 15 14 13 12 11 pro XS XR SE X 8 保護殼 軟殼 蘋果</t>
        </is>
      </c>
      <c r="C5168">
        <f>IMAGE("https://cf.shopee.tw/file/d3814043d2225061471ca9d7003b752f_tn")</f>
        <v/>
      </c>
      <c r="D5168" t="inlineStr">
        <is>
          <t>1. 看書柴犬,14 pro</t>
        </is>
      </c>
      <c r="E5168" t="inlineStr"/>
      <c r="F5168">
        <f>IMAGE("https://cf.shopee.tw/file/sg-11134201-22090-yccc67rwxqhve9_tn")</f>
        <v/>
      </c>
    </row>
    <row r="5169">
      <c r="A5169" t="inlineStr">
        <is>
          <t>14793065559</t>
        </is>
      </c>
      <c r="B5169" t="inlineStr">
        <is>
          <t>隔日到貨🔥 iPhone手機殼 15 14 13 12 11 pro XS XR SE X 8 保護殼 軟殼 蘋果</t>
        </is>
      </c>
      <c r="C5169">
        <f>IMAGE("https://cf.shopee.tw/file/d3814043d2225061471ca9d7003b752f_tn")</f>
        <v/>
      </c>
      <c r="D5169" t="inlineStr">
        <is>
          <t>1. 看書柴犬,14 pro Max</t>
        </is>
      </c>
      <c r="E5169" t="inlineStr"/>
      <c r="F5169">
        <f>IMAGE("https://cf.shopee.tw/file/sg-11134201-22090-yccc67rwxqhve9_tn")</f>
        <v/>
      </c>
    </row>
    <row r="5170">
      <c r="A5170" t="inlineStr">
        <is>
          <t>14793065559</t>
        </is>
      </c>
      <c r="B5170" t="inlineStr">
        <is>
          <t>隔日到貨🔥 iPhone手機殼 15 14 13 12 11 pro XS XR SE X 8 保護殼 軟殼 蘋果</t>
        </is>
      </c>
      <c r="C5170">
        <f>IMAGE("https://cf.shopee.tw/file/d3814043d2225061471ca9d7003b752f_tn")</f>
        <v/>
      </c>
      <c r="D5170" t="inlineStr">
        <is>
          <t>1. 看書柴犬,15 Plus</t>
        </is>
      </c>
      <c r="E5170" t="inlineStr"/>
      <c r="F5170">
        <f>IMAGE("https://cf.shopee.tw/file/sg-11134201-22090-yccc67rwxqhve9_tn")</f>
        <v/>
      </c>
    </row>
    <row r="5171">
      <c r="A5171" t="inlineStr">
        <is>
          <t>14793065559</t>
        </is>
      </c>
      <c r="B5171" t="inlineStr">
        <is>
          <t>隔日到貨🔥 iPhone手機殼 15 14 13 12 11 pro XS XR SE X 8 保護殼 軟殼 蘋果</t>
        </is>
      </c>
      <c r="C5171">
        <f>IMAGE("https://cf.shopee.tw/file/d3814043d2225061471ca9d7003b752f_tn")</f>
        <v/>
      </c>
      <c r="D5171" t="inlineStr">
        <is>
          <t>1. 看書柴犬,15 pro</t>
        </is>
      </c>
      <c r="E5171" t="inlineStr">
        <is>
          <t>49699680572</t>
        </is>
      </c>
      <c r="F5171">
        <f>IMAGE("https://cf.shopee.tw/file/sg-11134201-22090-yccc67rwxqhve9_tn")</f>
        <v/>
      </c>
    </row>
    <row r="5172">
      <c r="A5172" t="inlineStr">
        <is>
          <t>14793065559</t>
        </is>
      </c>
      <c r="B5172" t="inlineStr">
        <is>
          <t>隔日到貨🔥 iPhone手機殼 15 14 13 12 11 pro XS XR SE X 8 保護殼 軟殼 蘋果</t>
        </is>
      </c>
      <c r="C5172">
        <f>IMAGE("https://cf.shopee.tw/file/d3814043d2225061471ca9d7003b752f_tn")</f>
        <v/>
      </c>
      <c r="D5172" t="inlineStr">
        <is>
          <t>1. 看書柴犬,15 pro Max</t>
        </is>
      </c>
      <c r="E5172" t="inlineStr"/>
      <c r="F5172">
        <f>IMAGE("https://cf.shopee.tw/file/sg-11134201-22090-yccc67rwxqhve9_tn")</f>
        <v/>
      </c>
    </row>
    <row r="5173">
      <c r="A5173" t="inlineStr">
        <is>
          <t>14793065559</t>
        </is>
      </c>
      <c r="B5173" t="inlineStr">
        <is>
          <t>隔日到貨🔥 iPhone手機殼 15 14 13 12 11 pro XS XR SE X 8 保護殼 軟殼 蘋果</t>
        </is>
      </c>
      <c r="C5173">
        <f>IMAGE("https://cf.shopee.tw/file/d3814043d2225061471ca9d7003b752f_tn")</f>
        <v/>
      </c>
      <c r="D5173" t="inlineStr">
        <is>
          <t>2. 雪人狗,7plus / 8plus</t>
        </is>
      </c>
      <c r="E5173" t="inlineStr"/>
      <c r="F5173">
        <f>IMAGE("https://cf.shopee.tw/file/sg-11134201-22090-y50cilvwxqhv82_tn")</f>
        <v/>
      </c>
    </row>
    <row r="5174">
      <c r="A5174" t="inlineStr">
        <is>
          <t>14793065559</t>
        </is>
      </c>
      <c r="B5174" t="inlineStr">
        <is>
          <t>隔日到貨🔥 iPhone手機殼 15 14 13 12 11 pro XS XR SE X 8 保護殼 軟殼 蘋果</t>
        </is>
      </c>
      <c r="C5174">
        <f>IMAGE("https://cf.shopee.tw/file/d3814043d2225061471ca9d7003b752f_tn")</f>
        <v/>
      </c>
      <c r="D5174" t="inlineStr">
        <is>
          <t>2. 雪人狗,X / XS</t>
        </is>
      </c>
      <c r="E5174" t="inlineStr">
        <is>
          <t>192432251038</t>
        </is>
      </c>
      <c r="F5174">
        <f>IMAGE("https://cf.shopee.tw/file/sg-11134201-22090-y50cilvwxqhv82_tn")</f>
        <v/>
      </c>
    </row>
    <row r="5175">
      <c r="A5175" t="inlineStr">
        <is>
          <t>14793065559</t>
        </is>
      </c>
      <c r="B5175" t="inlineStr">
        <is>
          <t>隔日到貨🔥 iPhone手機殼 15 14 13 12 11 pro XS XR SE X 8 保護殼 軟殼 蘋果</t>
        </is>
      </c>
      <c r="C5175">
        <f>IMAGE("https://cf.shopee.tw/file/d3814043d2225061471ca9d7003b752f_tn")</f>
        <v/>
      </c>
      <c r="D5175" t="inlineStr">
        <is>
          <t>2. 雪人狗,XS Max</t>
        </is>
      </c>
      <c r="E5175" t="inlineStr"/>
      <c r="F5175">
        <f>IMAGE("https://cf.shopee.tw/file/sg-11134201-22090-y50cilvwxqhv82_tn")</f>
        <v/>
      </c>
    </row>
    <row r="5176">
      <c r="A5176" t="inlineStr">
        <is>
          <t>14793065559</t>
        </is>
      </c>
      <c r="B5176" t="inlineStr">
        <is>
          <t>隔日到貨🔥 iPhone手機殼 15 14 13 12 11 pro XS XR SE X 8 保護殼 軟殼 蘋果</t>
        </is>
      </c>
      <c r="C5176">
        <f>IMAGE("https://cf.shopee.tw/file/d3814043d2225061471ca9d7003b752f_tn")</f>
        <v/>
      </c>
      <c r="D5176" t="inlineStr">
        <is>
          <t>2. 雪人狗,12 pro Max</t>
        </is>
      </c>
      <c r="E5176" t="inlineStr"/>
      <c r="F5176">
        <f>IMAGE("https://cf.shopee.tw/file/sg-11134201-22090-y50cilvwxqhv82_tn")</f>
        <v/>
      </c>
    </row>
    <row r="5177">
      <c r="A5177" t="inlineStr">
        <is>
          <t>14793065559</t>
        </is>
      </c>
      <c r="B5177" t="inlineStr">
        <is>
          <t>隔日到貨🔥 iPhone手機殼 15 14 13 12 11 pro XS XR SE X 8 保護殼 軟殼 蘋果</t>
        </is>
      </c>
      <c r="C5177">
        <f>IMAGE("https://cf.shopee.tw/file/d3814043d2225061471ca9d7003b752f_tn")</f>
        <v/>
      </c>
      <c r="D5177" t="inlineStr">
        <is>
          <t>2. 雪人狗,13 pro</t>
        </is>
      </c>
      <c r="E5177" t="inlineStr"/>
      <c r="F5177">
        <f>IMAGE("https://cf.shopee.tw/file/sg-11134201-22090-y50cilvwxqhv82_tn")</f>
        <v/>
      </c>
    </row>
    <row r="5178">
      <c r="A5178" t="inlineStr">
        <is>
          <t>14793065559</t>
        </is>
      </c>
      <c r="B5178" t="inlineStr">
        <is>
          <t>隔日到貨🔥 iPhone手機殼 15 14 13 12 11 pro XS XR SE X 8 保護殼 軟殼 蘋果</t>
        </is>
      </c>
      <c r="C5178">
        <f>IMAGE("https://cf.shopee.tw/file/d3814043d2225061471ca9d7003b752f_tn")</f>
        <v/>
      </c>
      <c r="D5178" t="inlineStr">
        <is>
          <t>2. 雪人狗,13 pro Max</t>
        </is>
      </c>
      <c r="E5178" t="inlineStr"/>
      <c r="F5178">
        <f>IMAGE("https://cf.shopee.tw/file/sg-11134201-22090-y50cilvwxqhv82_tn")</f>
        <v/>
      </c>
    </row>
    <row r="5179">
      <c r="A5179" t="inlineStr">
        <is>
          <t>14793065559</t>
        </is>
      </c>
      <c r="B5179" t="inlineStr">
        <is>
          <t>隔日到貨🔥 iPhone手機殼 15 14 13 12 11 pro XS XR SE X 8 保護殼 軟殼 蘋果</t>
        </is>
      </c>
      <c r="C5179">
        <f>IMAGE("https://cf.shopee.tw/file/d3814043d2225061471ca9d7003b752f_tn")</f>
        <v/>
      </c>
      <c r="D5179" t="inlineStr">
        <is>
          <t>2. 雪人狗,14 Plus</t>
        </is>
      </c>
      <c r="E5179" t="inlineStr"/>
      <c r="F5179">
        <f>IMAGE("https://cf.shopee.tw/file/sg-11134201-22090-y50cilvwxqhv82_tn")</f>
        <v/>
      </c>
    </row>
    <row r="5180">
      <c r="A5180" t="inlineStr">
        <is>
          <t>14793065559</t>
        </is>
      </c>
      <c r="B5180" t="inlineStr">
        <is>
          <t>隔日到貨🔥 iPhone手機殼 15 14 13 12 11 pro XS XR SE X 8 保護殼 軟殼 蘋果</t>
        </is>
      </c>
      <c r="C5180">
        <f>IMAGE("https://cf.shopee.tw/file/d3814043d2225061471ca9d7003b752f_tn")</f>
        <v/>
      </c>
      <c r="D5180" t="inlineStr">
        <is>
          <t>2. 雪人狗,14 pro</t>
        </is>
      </c>
      <c r="E5180" t="inlineStr"/>
      <c r="F5180">
        <f>IMAGE("https://cf.shopee.tw/file/sg-11134201-22090-y50cilvwxqhv82_tn")</f>
        <v/>
      </c>
    </row>
    <row r="5181">
      <c r="A5181" t="inlineStr">
        <is>
          <t>14793065559</t>
        </is>
      </c>
      <c r="B5181" t="inlineStr">
        <is>
          <t>隔日到貨🔥 iPhone手機殼 15 14 13 12 11 pro XS XR SE X 8 保護殼 軟殼 蘋果</t>
        </is>
      </c>
      <c r="C5181">
        <f>IMAGE("https://cf.shopee.tw/file/d3814043d2225061471ca9d7003b752f_tn")</f>
        <v/>
      </c>
      <c r="D5181" t="inlineStr">
        <is>
          <t>2. 雪人狗,14 pro Max</t>
        </is>
      </c>
      <c r="E5181" t="inlineStr"/>
      <c r="F5181">
        <f>IMAGE("https://cf.shopee.tw/file/sg-11134201-22090-y50cilvwxqhv82_tn")</f>
        <v/>
      </c>
    </row>
    <row r="5182">
      <c r="A5182" t="inlineStr">
        <is>
          <t>14793065559</t>
        </is>
      </c>
      <c r="B5182" t="inlineStr">
        <is>
          <t>隔日到貨🔥 iPhone手機殼 15 14 13 12 11 pro XS XR SE X 8 保護殼 軟殼 蘋果</t>
        </is>
      </c>
      <c r="C5182">
        <f>IMAGE("https://cf.shopee.tw/file/d3814043d2225061471ca9d7003b752f_tn")</f>
        <v/>
      </c>
      <c r="D5182" t="inlineStr">
        <is>
          <t>2. 雪人狗,15 Plus</t>
        </is>
      </c>
      <c r="E5182" t="inlineStr"/>
      <c r="F5182">
        <f>IMAGE("https://cf.shopee.tw/file/sg-11134201-22090-y50cilvwxqhv82_tn")</f>
        <v/>
      </c>
    </row>
    <row r="5183">
      <c r="A5183" t="inlineStr">
        <is>
          <t>14793065559</t>
        </is>
      </c>
      <c r="B5183" t="inlineStr">
        <is>
          <t>隔日到貨🔥 iPhone手機殼 15 14 13 12 11 pro XS XR SE X 8 保護殼 軟殼 蘋果</t>
        </is>
      </c>
      <c r="C5183">
        <f>IMAGE("https://cf.shopee.tw/file/d3814043d2225061471ca9d7003b752f_tn")</f>
        <v/>
      </c>
      <c r="D5183" t="inlineStr">
        <is>
          <t>2. 雪人狗,15 pro</t>
        </is>
      </c>
      <c r="E5183" t="inlineStr"/>
      <c r="F5183">
        <f>IMAGE("https://cf.shopee.tw/file/sg-11134201-22090-y50cilvwxqhv82_tn")</f>
        <v/>
      </c>
    </row>
    <row r="5184">
      <c r="A5184" t="inlineStr">
        <is>
          <t>14793065559</t>
        </is>
      </c>
      <c r="B5184" t="inlineStr">
        <is>
          <t>隔日到貨🔥 iPhone手機殼 15 14 13 12 11 pro XS XR SE X 8 保護殼 軟殼 蘋果</t>
        </is>
      </c>
      <c r="C5184">
        <f>IMAGE("https://cf.shopee.tw/file/d3814043d2225061471ca9d7003b752f_tn")</f>
        <v/>
      </c>
      <c r="D5184" t="inlineStr">
        <is>
          <t>2. 雪人狗,15 pro Max</t>
        </is>
      </c>
      <c r="E5184" t="inlineStr">
        <is>
          <t>59349530050</t>
        </is>
      </c>
      <c r="F5184">
        <f>IMAGE("https://cf.shopee.tw/file/sg-11134201-22090-y50cilvwxqhv82_tn")</f>
        <v/>
      </c>
    </row>
    <row r="5185">
      <c r="A5185" t="inlineStr">
        <is>
          <t>6071217646</t>
        </is>
      </c>
      <c r="B5185" t="inlineStr">
        <is>
          <t>隔日到貨🔥 韓版 泫雅風 土星單肩包 B10 復古 單肩包 斜背包 熱銷款 側背包 肩背包 帆布包 Ins 小包</t>
        </is>
      </c>
      <c r="C5185">
        <f>IMAGE("https://cf.shopee.tw/file/78cfa07b5a9e797770c969c5dc55dadd_tn")</f>
        <v/>
      </c>
      <c r="D5185" t="inlineStr">
        <is>
          <t>黑色</t>
        </is>
      </c>
      <c r="E5185" t="inlineStr"/>
      <c r="F5185">
        <f>IMAGE("https://cf.shopee.tw/file/4cada6c5d741c7d97f5cc1e4a12f0ae0_tn")</f>
        <v/>
      </c>
    </row>
    <row r="5186">
      <c r="A5186" t="inlineStr">
        <is>
          <t>6071217646</t>
        </is>
      </c>
      <c r="B5186" t="inlineStr">
        <is>
          <t>隔日到貨🔥 韓版 泫雅風 土星單肩包 B10 復古 單肩包 斜背包 熱銷款 側背包 肩背包 帆布包 Ins 小包</t>
        </is>
      </c>
      <c r="C5186">
        <f>IMAGE("https://cf.shopee.tw/file/78cfa07b5a9e797770c969c5dc55dadd_tn")</f>
        <v/>
      </c>
      <c r="D5186" t="inlineStr">
        <is>
          <t>白色</t>
        </is>
      </c>
      <c r="E5186" t="inlineStr"/>
      <c r="F5186">
        <f>IMAGE("https://cf.shopee.tw/file/1bfa0448d010b1a8620cb50070f4a2bb_tn")</f>
        <v/>
      </c>
    </row>
    <row r="5187">
      <c r="A5187" t="inlineStr">
        <is>
          <t>6071217646</t>
        </is>
      </c>
      <c r="B5187" t="inlineStr">
        <is>
          <t>隔日到貨🔥 韓版 泫雅風 土星單肩包 B10 復古 單肩包 斜背包 熱銷款 側背包 肩背包 帆布包 Ins 小包</t>
        </is>
      </c>
      <c r="C5187">
        <f>IMAGE("https://cf.shopee.tw/file/78cfa07b5a9e797770c969c5dc55dadd_tn")</f>
        <v/>
      </c>
      <c r="D5187" t="inlineStr">
        <is>
          <t>棕色</t>
        </is>
      </c>
      <c r="E5187" t="inlineStr">
        <is>
          <t>52773667999</t>
        </is>
      </c>
      <c r="F5187">
        <f>IMAGE("https://cf.shopee.tw/file/e91921082c39c8dd28e7ac0f01a53b69_tn")</f>
        <v/>
      </c>
    </row>
    <row r="5188">
      <c r="A5188" t="inlineStr">
        <is>
          <t>15323119538</t>
        </is>
      </c>
      <c r="B5188" t="inlineStr">
        <is>
          <t>隔日到貨🔥 卡通泰迪狗 Airpods 1代 2代 pro 軟殼 保護殼 A27 防摔殼 附掛飾 保護套 耳機套</t>
        </is>
      </c>
      <c r="C5188">
        <f>IMAGE("https://cf.shopee.tw/file/66dfffe5f385d6986bed3306d7395496_tn")</f>
        <v/>
      </c>
      <c r="D5188" t="inlineStr">
        <is>
          <t>棕色泰迪狗,Pro/Pro2 (通用)</t>
        </is>
      </c>
      <c r="E5188" t="inlineStr"/>
      <c r="F5188">
        <f>IMAGE("https://cf.shopee.tw/file/504f090e2eaba37b23fa7f6760d7c61d_tn")</f>
        <v/>
      </c>
    </row>
    <row r="5189">
      <c r="A5189" t="inlineStr">
        <is>
          <t>15323119538</t>
        </is>
      </c>
      <c r="B5189" t="inlineStr">
        <is>
          <t>隔日到貨🔥 卡通泰迪狗 Airpods 1代 2代 pro 軟殼 保護殼 A27 防摔殼 附掛飾 保護套 耳機套</t>
        </is>
      </c>
      <c r="C5189">
        <f>IMAGE("https://cf.shopee.tw/file/66dfffe5f385d6986bed3306d7395496_tn")</f>
        <v/>
      </c>
      <c r="D5189" t="inlineStr">
        <is>
          <t>米白泰迪狗,Pro/Pro2 (通用)</t>
        </is>
      </c>
      <c r="E5189" t="inlineStr"/>
      <c r="F5189">
        <f>IMAGE("https://cf.shopee.tw/file/cc656f1dbba8d71cc5728eefbc1c71c2_tn")</f>
        <v/>
      </c>
    </row>
    <row r="5190">
      <c r="A5190" t="inlineStr">
        <is>
          <t>15323119538</t>
        </is>
      </c>
      <c r="B5190" t="inlineStr">
        <is>
          <t>隔日到貨🔥 卡通泰迪狗 Airpods 1代 2代 pro 軟殼 保護殼 A27 防摔殼 附掛飾 保護套 耳機套</t>
        </is>
      </c>
      <c r="C5190">
        <f>IMAGE("https://cf.shopee.tw/file/66dfffe5f385d6986bed3306d7395496_tn")</f>
        <v/>
      </c>
      <c r="D5190" t="inlineStr">
        <is>
          <t>棕色泰迪狗,1代/2代</t>
        </is>
      </c>
      <c r="E5190" t="inlineStr">
        <is>
          <t>86327284131</t>
        </is>
      </c>
      <c r="F5190">
        <f>IMAGE("https://cf.shopee.tw/file/504f090e2eaba37b23fa7f6760d7c61d_tn")</f>
        <v/>
      </c>
    </row>
    <row r="5191">
      <c r="A5191" t="inlineStr">
        <is>
          <t>15323119538</t>
        </is>
      </c>
      <c r="B5191" t="inlineStr">
        <is>
          <t>隔日到貨🔥 卡通泰迪狗 Airpods 1代 2代 pro 軟殼 保護殼 A27 防摔殼 附掛飾 保護套 耳機套</t>
        </is>
      </c>
      <c r="C5191">
        <f>IMAGE("https://cf.shopee.tw/file/66dfffe5f385d6986bed3306d7395496_tn")</f>
        <v/>
      </c>
      <c r="D5191" t="inlineStr">
        <is>
          <t>棕色泰迪狗,3代</t>
        </is>
      </c>
      <c r="E5191" t="inlineStr">
        <is>
          <t>217075716274</t>
        </is>
      </c>
      <c r="F5191">
        <f>IMAGE("https://cf.shopee.tw/file/504f090e2eaba37b23fa7f6760d7c61d_tn")</f>
        <v/>
      </c>
    </row>
    <row r="5192">
      <c r="A5192" t="inlineStr">
        <is>
          <t>15323119538</t>
        </is>
      </c>
      <c r="B5192" t="inlineStr">
        <is>
          <t>隔日到貨🔥 卡通泰迪狗 Airpods 1代 2代 pro 軟殼 保護殼 A27 防摔殼 附掛飾 保護套 耳機套</t>
        </is>
      </c>
      <c r="C5192">
        <f>IMAGE("https://cf.shopee.tw/file/66dfffe5f385d6986bed3306d7395496_tn")</f>
        <v/>
      </c>
      <c r="D5192" t="inlineStr">
        <is>
          <t>米白泰迪狗,1代/2代</t>
        </is>
      </c>
      <c r="E5192" t="inlineStr"/>
      <c r="F5192">
        <f>IMAGE("https://cf.shopee.tw/file/cc656f1dbba8d71cc5728eefbc1c71c2_tn")</f>
        <v/>
      </c>
    </row>
    <row r="5193">
      <c r="A5193" t="inlineStr">
        <is>
          <t>15323119538</t>
        </is>
      </c>
      <c r="B5193" t="inlineStr">
        <is>
          <t>隔日到貨🔥 卡通泰迪狗 Airpods 1代 2代 pro 軟殼 保護殼 A27 防摔殼 附掛飾 保護套 耳機套</t>
        </is>
      </c>
      <c r="C5193">
        <f>IMAGE("https://cf.shopee.tw/file/66dfffe5f385d6986bed3306d7395496_tn")</f>
        <v/>
      </c>
      <c r="D5193" t="inlineStr">
        <is>
          <t>米白泰迪狗,3代</t>
        </is>
      </c>
      <c r="E5193" t="inlineStr"/>
      <c r="F5193">
        <f>IMAGE("https://cf.shopee.tw/file/cc656f1dbba8d71cc5728eefbc1c71c2_tn")</f>
        <v/>
      </c>
    </row>
    <row r="5194">
      <c r="A5194" t="inlineStr">
        <is>
          <t>23643744400</t>
        </is>
      </c>
      <c r="B5194" t="inlineStr">
        <is>
          <t>隔日到貨🔥 iPhone 手機殼 14 13 12 11 14pro 蘋果手機殼 蘋果殼 手機保護殼 保護殼 軟殼</t>
        </is>
      </c>
      <c r="C5194">
        <f>IMAGE("https://cf.shopee.tw/file/tw-11134207-7qul7-lha3bllqjv3db7_tn")</f>
        <v/>
      </c>
      <c r="D5194" t="inlineStr">
        <is>
          <t>兔兔頭像,12 pro</t>
        </is>
      </c>
      <c r="E5194" t="inlineStr"/>
      <c r="F5194">
        <f>IMAGE("https://cf.shopee.tw/file/tw-11134207-7qukz-lha3k5qh64300c_tn")</f>
        <v/>
      </c>
    </row>
    <row r="5195">
      <c r="A5195" t="inlineStr">
        <is>
          <t>23643744400</t>
        </is>
      </c>
      <c r="B5195" t="inlineStr">
        <is>
          <t>隔日到貨🔥 iPhone 手機殼 14 13 12 11 14pro 蘋果手機殼 蘋果殼 手機保護殼 保護殼 軟殼</t>
        </is>
      </c>
      <c r="C5195">
        <f>IMAGE("https://cf.shopee.tw/file/tw-11134207-7qul7-lha3bllqjv3db7_tn")</f>
        <v/>
      </c>
      <c r="D5195" t="inlineStr">
        <is>
          <t>兔兔頭像,12 pro Max</t>
        </is>
      </c>
      <c r="E5195" t="inlineStr"/>
      <c r="F5195">
        <f>IMAGE("https://cf.shopee.tw/file/tw-11134207-7qukz-lha3k5qh64300c_tn")</f>
        <v/>
      </c>
    </row>
    <row r="5196">
      <c r="A5196" t="inlineStr">
        <is>
          <t>23643744400</t>
        </is>
      </c>
      <c r="B5196" t="inlineStr">
        <is>
          <t>隔日到貨🔥 iPhone 手機殼 14 13 12 11 14pro 蘋果手機殼 蘋果殼 手機保護殼 保護殼 軟殼</t>
        </is>
      </c>
      <c r="C5196">
        <f>IMAGE("https://cf.shopee.tw/file/tw-11134207-7qul7-lha3bllqjv3db7_tn")</f>
        <v/>
      </c>
      <c r="D5196" t="inlineStr">
        <is>
          <t>兔兔頭像,13</t>
        </is>
      </c>
      <c r="E5196" t="inlineStr"/>
      <c r="F5196">
        <f>IMAGE("https://cf.shopee.tw/file/tw-11134207-7qukz-lha3k5qh64300c_tn")</f>
        <v/>
      </c>
    </row>
    <row r="5197">
      <c r="A5197" t="inlineStr">
        <is>
          <t>23643744400</t>
        </is>
      </c>
      <c r="B5197" t="inlineStr">
        <is>
          <t>隔日到貨🔥 iPhone 手機殼 14 13 12 11 14pro 蘋果手機殼 蘋果殼 手機保護殼 保護殼 軟殼</t>
        </is>
      </c>
      <c r="C5197">
        <f>IMAGE("https://cf.shopee.tw/file/tw-11134207-7qul7-lha3bllqjv3db7_tn")</f>
        <v/>
      </c>
      <c r="D5197" t="inlineStr">
        <is>
          <t>兔兔頭像,13 pro</t>
        </is>
      </c>
      <c r="E5197" t="inlineStr"/>
      <c r="F5197">
        <f>IMAGE("https://cf.shopee.tw/file/tw-11134207-7qukz-lha3k5qh64300c_tn")</f>
        <v/>
      </c>
    </row>
    <row r="5198">
      <c r="A5198" t="inlineStr">
        <is>
          <t>23643744400</t>
        </is>
      </c>
      <c r="B5198" t="inlineStr">
        <is>
          <t>隔日到貨🔥 iPhone 手機殼 14 13 12 11 14pro 蘋果手機殼 蘋果殼 手機保護殼 保護殼 軟殼</t>
        </is>
      </c>
      <c r="C5198">
        <f>IMAGE("https://cf.shopee.tw/file/tw-11134207-7qul7-lha3bllqjv3db7_tn")</f>
        <v/>
      </c>
      <c r="D5198" t="inlineStr">
        <is>
          <t>兔兔頭像,14</t>
        </is>
      </c>
      <c r="E5198" t="inlineStr"/>
      <c r="F5198">
        <f>IMAGE("https://cf.shopee.tw/file/tw-11134207-7qukz-lha3k5qh64300c_tn")</f>
        <v/>
      </c>
    </row>
    <row r="5199">
      <c r="A5199" t="inlineStr">
        <is>
          <t>23643744400</t>
        </is>
      </c>
      <c r="B5199" t="inlineStr">
        <is>
          <t>隔日到貨🔥 iPhone 手機殼 14 13 12 11 14pro 蘋果手機殼 蘋果殼 手機保護殼 保護殼 軟殼</t>
        </is>
      </c>
      <c r="C5199">
        <f>IMAGE("https://cf.shopee.tw/file/tw-11134207-7qul7-lha3bllqjv3db7_tn")</f>
        <v/>
      </c>
      <c r="D5199" t="inlineStr">
        <is>
          <t>兔兔頭像,14 pro</t>
        </is>
      </c>
      <c r="E5199" t="inlineStr"/>
      <c r="F5199">
        <f>IMAGE("https://cf.shopee.tw/file/tw-11134207-7qukz-lha3k5qh64300c_tn")</f>
        <v/>
      </c>
    </row>
    <row r="5200">
      <c r="A5200" t="inlineStr">
        <is>
          <t>23643744400</t>
        </is>
      </c>
      <c r="B5200" t="inlineStr">
        <is>
          <t>隔日到貨🔥 iPhone 手機殼 14 13 12 11 14pro 蘋果手機殼 蘋果殼 手機保護殼 保護殼 軟殼</t>
        </is>
      </c>
      <c r="C5200">
        <f>IMAGE("https://cf.shopee.tw/file/tw-11134207-7qul7-lha3bllqjv3db7_tn")</f>
        <v/>
      </c>
      <c r="D5200" t="inlineStr">
        <is>
          <t>兔兔頭像,11</t>
        </is>
      </c>
      <c r="E5200" t="inlineStr"/>
      <c r="F5200">
        <f>IMAGE("https://cf.shopee.tw/file/tw-11134207-7qukz-lha3k5qh64300c_tn")</f>
        <v/>
      </c>
    </row>
    <row r="5201">
      <c r="A5201" t="inlineStr">
        <is>
          <t>23643744400</t>
        </is>
      </c>
      <c r="B5201" t="inlineStr">
        <is>
          <t>隔日到貨🔥 iPhone 手機殼 14 13 12 11 14pro 蘋果手機殼 蘋果殼 手機保護殼 保護殼 軟殼</t>
        </is>
      </c>
      <c r="C5201">
        <f>IMAGE("https://cf.shopee.tw/file/tw-11134207-7qul7-lha3bllqjv3db7_tn")</f>
        <v/>
      </c>
      <c r="D5201" t="inlineStr">
        <is>
          <t>兔兔頭像,12</t>
        </is>
      </c>
      <c r="E5201" t="inlineStr"/>
      <c r="F5201">
        <f>IMAGE("https://cf.shopee.tw/file/tw-11134207-7qukz-lha3k5qh64300c_tn")</f>
        <v/>
      </c>
    </row>
    <row r="5202">
      <c r="A5202" t="inlineStr">
        <is>
          <t>23643744400</t>
        </is>
      </c>
      <c r="B5202" t="inlineStr">
        <is>
          <t>隔日到貨🔥 iPhone 手機殼 14 13 12 11 14pro 蘋果手機殼 蘋果殼 手機保護殼 保護殼 軟殼</t>
        </is>
      </c>
      <c r="C5202">
        <f>IMAGE("https://cf.shopee.tw/file/tw-11134207-7qul7-lha3bllqjv3db7_tn")</f>
        <v/>
      </c>
      <c r="D5202" t="inlineStr">
        <is>
          <t>兔兔頭像,13 pro Max</t>
        </is>
      </c>
      <c r="E5202" t="inlineStr"/>
      <c r="F5202">
        <f>IMAGE("https://cf.shopee.tw/file/tw-11134207-7qukz-lha3k5qh64300c_tn")</f>
        <v/>
      </c>
    </row>
    <row r="5203">
      <c r="A5203" t="inlineStr">
        <is>
          <t>23643744400</t>
        </is>
      </c>
      <c r="B5203" t="inlineStr">
        <is>
          <t>隔日到貨🔥 iPhone 手機殼 14 13 12 11 14pro 蘋果手機殼 蘋果殼 手機保護殼 保護殼 軟殼</t>
        </is>
      </c>
      <c r="C5203">
        <f>IMAGE("https://cf.shopee.tw/file/tw-11134207-7qul7-lha3bllqjv3db7_tn")</f>
        <v/>
      </c>
      <c r="D5203" t="inlineStr">
        <is>
          <t>兔兔頭像,14 Plus</t>
        </is>
      </c>
      <c r="E5203" t="inlineStr"/>
      <c r="F5203">
        <f>IMAGE("https://cf.shopee.tw/file/tw-11134207-7qukz-lha3k5qh64300c_tn")</f>
        <v/>
      </c>
    </row>
    <row r="5204">
      <c r="A5204" t="inlineStr">
        <is>
          <t>23643744400</t>
        </is>
      </c>
      <c r="B5204" t="inlineStr">
        <is>
          <t>隔日到貨🔥 iPhone 手機殼 14 13 12 11 14pro 蘋果手機殼 蘋果殼 手機保護殼 保護殼 軟殼</t>
        </is>
      </c>
      <c r="C5204">
        <f>IMAGE("https://cf.shopee.tw/file/tw-11134207-7qul7-lha3bllqjv3db7_tn")</f>
        <v/>
      </c>
      <c r="D5204" t="inlineStr">
        <is>
          <t>兔兔頭像,14 pro max</t>
        </is>
      </c>
      <c r="E5204" t="inlineStr">
        <is>
          <t>148224397575</t>
        </is>
      </c>
      <c r="F5204">
        <f>IMAGE("https://cf.shopee.tw/file/tw-11134207-7qukz-lha3k5qh64300c_tn")</f>
        <v/>
      </c>
    </row>
    <row r="5205">
      <c r="A5205" t="inlineStr">
        <is>
          <t>6284042525</t>
        </is>
      </c>
      <c r="B5205" t="inlineStr">
        <is>
          <t>隔日到貨🔥 Airpods 保護套 1代 2代 3代 pro pro2 軟殼 保護殼 A5 防摔殼 透明殼 耳機殼</t>
        </is>
      </c>
      <c r="C5205">
        <f>IMAGE("https://cf.shopee.tw/file/b9bf9da2e64dbe7a4563fbdefe5ba756_tn")</f>
        <v/>
      </c>
      <c r="D5205" t="inlineStr">
        <is>
          <t>9 (附掛鉤),1代 / 2代</t>
        </is>
      </c>
      <c r="E5205" t="inlineStr"/>
      <c r="F5205">
        <f>IMAGE("https://cf.shopee.tw/file/f604ba4df5aab007d9c6127827b6b477_tn")</f>
        <v/>
      </c>
    </row>
    <row r="5206">
      <c r="A5206" t="inlineStr">
        <is>
          <t>6284042525</t>
        </is>
      </c>
      <c r="B5206" t="inlineStr">
        <is>
          <t>隔日到貨🔥 Airpods 保護套 1代 2代 3代 pro pro2 軟殼 保護殼 A5 防摔殼 透明殼 耳機殼</t>
        </is>
      </c>
      <c r="C5206">
        <f>IMAGE("https://cf.shopee.tw/file/b9bf9da2e64dbe7a4563fbdefe5ba756_tn")</f>
        <v/>
      </c>
      <c r="D5206" t="inlineStr">
        <is>
          <t>9 (附掛鉤),［3代］</t>
        </is>
      </c>
      <c r="E5206" t="inlineStr"/>
      <c r="F5206">
        <f>IMAGE("https://cf.shopee.tw/file/f604ba4df5aab007d9c6127827b6b477_tn")</f>
        <v/>
      </c>
    </row>
    <row r="5207">
      <c r="A5207" t="inlineStr">
        <is>
          <t>6284042525</t>
        </is>
      </c>
      <c r="B5207" t="inlineStr">
        <is>
          <t>隔日到貨🔥 Airpods 保護套 1代 2代 3代 pro pro2 軟殼 保護殼 A5 防摔殼 透明殼 耳機殼</t>
        </is>
      </c>
      <c r="C5207">
        <f>IMAGE("https://cf.shopee.tw/file/b9bf9da2e64dbe7a4563fbdefe5ba756_tn")</f>
        <v/>
      </c>
      <c r="D5207" t="inlineStr">
        <is>
          <t>1(附同款吊飾),1代 / 2代</t>
        </is>
      </c>
      <c r="E5207" t="inlineStr"/>
      <c r="F5207">
        <f>IMAGE("https://cf.shopee.tw/file/8a38d4cb9c7f11ec5f3f9f5a331567e6_tn")</f>
        <v/>
      </c>
    </row>
    <row r="5208">
      <c r="A5208" t="inlineStr">
        <is>
          <t>6284042525</t>
        </is>
      </c>
      <c r="B5208" t="inlineStr">
        <is>
          <t>隔日到貨🔥 Airpods 保護套 1代 2代 3代 pro pro2 軟殼 保護殼 A5 防摔殼 透明殼 耳機殼</t>
        </is>
      </c>
      <c r="C5208">
        <f>IMAGE("https://cf.shopee.tw/file/b9bf9da2e64dbe7a4563fbdefe5ba756_tn")</f>
        <v/>
      </c>
      <c r="D5208" t="inlineStr">
        <is>
          <t>1(附同款吊飾),Pro1代/Pro2代 (通用）</t>
        </is>
      </c>
      <c r="E5208" t="inlineStr"/>
      <c r="F5208">
        <f>IMAGE("https://cf.shopee.tw/file/8a38d4cb9c7f11ec5f3f9f5a331567e6_tn")</f>
        <v/>
      </c>
    </row>
    <row r="5209">
      <c r="A5209" t="inlineStr">
        <is>
          <t>6284042525</t>
        </is>
      </c>
      <c r="B5209" t="inlineStr">
        <is>
          <t>隔日到貨🔥 Airpods 保護套 1代 2代 3代 pro pro2 軟殼 保護殼 A5 防摔殼 透明殼 耳機殼</t>
        </is>
      </c>
      <c r="C5209">
        <f>IMAGE("https://cf.shopee.tw/file/b9bf9da2e64dbe7a4563fbdefe5ba756_tn")</f>
        <v/>
      </c>
      <c r="D5209" t="inlineStr">
        <is>
          <t>1(附同款吊飾),［3代］</t>
        </is>
      </c>
      <c r="E5209" t="inlineStr"/>
      <c r="F5209">
        <f>IMAGE("https://cf.shopee.tw/file/8a38d4cb9c7f11ec5f3f9f5a331567e6_tn")</f>
        <v/>
      </c>
    </row>
    <row r="5210">
      <c r="A5210" t="inlineStr">
        <is>
          <t>6284042525</t>
        </is>
      </c>
      <c r="B5210" t="inlineStr">
        <is>
          <t>隔日到貨🔥 Airpods 保護套 1代 2代 3代 pro pro2 軟殼 保護殼 A5 防摔殼 透明殼 耳機殼</t>
        </is>
      </c>
      <c r="C5210">
        <f>IMAGE("https://cf.shopee.tw/file/b9bf9da2e64dbe7a4563fbdefe5ba756_tn")</f>
        <v/>
      </c>
      <c r="D5210" t="inlineStr">
        <is>
          <t>2 (附同款吊飾),1代 / 2代</t>
        </is>
      </c>
      <c r="E5210" t="inlineStr">
        <is>
          <t>44738819614</t>
        </is>
      </c>
      <c r="F5210">
        <f>IMAGE("https://cf.shopee.tw/file/07d88419ea1728707c90b8418d3a3702_tn")</f>
        <v/>
      </c>
    </row>
    <row r="5211">
      <c r="A5211" t="inlineStr">
        <is>
          <t>6284042525</t>
        </is>
      </c>
      <c r="B5211" t="inlineStr">
        <is>
          <t>隔日到貨🔥 Airpods 保護套 1代 2代 3代 pro pro2 軟殼 保護殼 A5 防摔殼 透明殼 耳機殼</t>
        </is>
      </c>
      <c r="C5211">
        <f>IMAGE("https://cf.shopee.tw/file/b9bf9da2e64dbe7a4563fbdefe5ba756_tn")</f>
        <v/>
      </c>
      <c r="D5211" t="inlineStr">
        <is>
          <t>2 (附同款吊飾),Pro1代/Pro2代 (通用）</t>
        </is>
      </c>
      <c r="E5211" t="inlineStr">
        <is>
          <t>44738819601</t>
        </is>
      </c>
      <c r="F5211">
        <f>IMAGE("https://cf.shopee.tw/file/07d88419ea1728707c90b8418d3a3702_tn")</f>
        <v/>
      </c>
    </row>
    <row r="5212">
      <c r="A5212" t="inlineStr">
        <is>
          <t>6284042525</t>
        </is>
      </c>
      <c r="B5212" t="inlineStr">
        <is>
          <t>隔日到貨🔥 Airpods 保護套 1代 2代 3代 pro pro2 軟殼 保護殼 A5 防摔殼 透明殼 耳機殼</t>
        </is>
      </c>
      <c r="C5212">
        <f>IMAGE("https://cf.shopee.tw/file/b9bf9da2e64dbe7a4563fbdefe5ba756_tn")</f>
        <v/>
      </c>
      <c r="D5212" t="inlineStr">
        <is>
          <t>2 (附同款吊飾),［3代］</t>
        </is>
      </c>
      <c r="E5212" t="inlineStr"/>
      <c r="F5212">
        <f>IMAGE("https://cf.shopee.tw/file/07d88419ea1728707c90b8418d3a3702_tn")</f>
        <v/>
      </c>
    </row>
    <row r="5213">
      <c r="A5213" t="inlineStr">
        <is>
          <t>6284042525</t>
        </is>
      </c>
      <c r="B5213" t="inlineStr">
        <is>
          <t>隔日到貨🔥 Airpods 保護套 1代 2代 3代 pro pro2 軟殼 保護殼 A5 防摔殼 透明殼 耳機殼</t>
        </is>
      </c>
      <c r="C5213">
        <f>IMAGE("https://cf.shopee.tw/file/b9bf9da2e64dbe7a4563fbdefe5ba756_tn")</f>
        <v/>
      </c>
      <c r="D5213" t="inlineStr">
        <is>
          <t>3 (附同款吊飾),1代 / 2代</t>
        </is>
      </c>
      <c r="E5213" t="inlineStr"/>
      <c r="F5213">
        <f>IMAGE("https://cf.shopee.tw/file/8faa6b37a864ee2de31ac0b91eae4a2c_tn")</f>
        <v/>
      </c>
    </row>
    <row r="5214">
      <c r="A5214" t="inlineStr">
        <is>
          <t>6284042525</t>
        </is>
      </c>
      <c r="B5214" t="inlineStr">
        <is>
          <t>隔日到貨🔥 Airpods 保護套 1代 2代 3代 pro pro2 軟殼 保護殼 A5 防摔殼 透明殼 耳機殼</t>
        </is>
      </c>
      <c r="C5214">
        <f>IMAGE("https://cf.shopee.tw/file/b9bf9da2e64dbe7a4563fbdefe5ba756_tn")</f>
        <v/>
      </c>
      <c r="D5214" t="inlineStr">
        <is>
          <t>3 (附同款吊飾),Pro1代/Pro2代 (通用）</t>
        </is>
      </c>
      <c r="E5214" t="inlineStr"/>
      <c r="F5214">
        <f>IMAGE("https://cf.shopee.tw/file/8faa6b37a864ee2de31ac0b91eae4a2c_tn")</f>
        <v/>
      </c>
    </row>
    <row r="5215">
      <c r="A5215" t="inlineStr">
        <is>
          <t>6284042525</t>
        </is>
      </c>
      <c r="B5215" t="inlineStr">
        <is>
          <t>隔日到貨🔥 Airpods 保護套 1代 2代 3代 pro pro2 軟殼 保護殼 A5 防摔殼 透明殼 耳機殼</t>
        </is>
      </c>
      <c r="C5215">
        <f>IMAGE("https://cf.shopee.tw/file/b9bf9da2e64dbe7a4563fbdefe5ba756_tn")</f>
        <v/>
      </c>
      <c r="D5215" t="inlineStr">
        <is>
          <t>3 (附同款吊飾),［3代］</t>
        </is>
      </c>
      <c r="E5215" t="inlineStr"/>
      <c r="F5215">
        <f>IMAGE("https://cf.shopee.tw/file/8faa6b37a864ee2de31ac0b91eae4a2c_tn")</f>
        <v/>
      </c>
    </row>
    <row r="5216">
      <c r="A5216" t="inlineStr">
        <is>
          <t>6284042525</t>
        </is>
      </c>
      <c r="B5216" t="inlineStr">
        <is>
          <t>隔日到貨🔥 Airpods 保護套 1代 2代 3代 pro pro2 軟殼 保護殼 A5 防摔殼 透明殼 耳機殼</t>
        </is>
      </c>
      <c r="C5216">
        <f>IMAGE("https://cf.shopee.tw/file/b9bf9da2e64dbe7a4563fbdefe5ba756_tn")</f>
        <v/>
      </c>
      <c r="D5216" t="inlineStr">
        <is>
          <t>4 (附同款吊飾),1代 / 2代</t>
        </is>
      </c>
      <c r="E5216" t="inlineStr"/>
      <c r="F5216">
        <f>IMAGE("https://cf.shopee.tw/file/e6141f314db3839f9ac6c8d6e40f4666_tn")</f>
        <v/>
      </c>
    </row>
    <row r="5217">
      <c r="A5217" t="inlineStr">
        <is>
          <t>6284042525</t>
        </is>
      </c>
      <c r="B5217" t="inlineStr">
        <is>
          <t>隔日到貨🔥 Airpods 保護套 1代 2代 3代 pro pro2 軟殼 保護殼 A5 防摔殼 透明殼 耳機殼</t>
        </is>
      </c>
      <c r="C5217">
        <f>IMAGE("https://cf.shopee.tw/file/b9bf9da2e64dbe7a4563fbdefe5ba756_tn")</f>
        <v/>
      </c>
      <c r="D5217" t="inlineStr">
        <is>
          <t>4 (附同款吊飾),Pro1代/Pro2代 (通用）</t>
        </is>
      </c>
      <c r="E5217" t="inlineStr"/>
      <c r="F5217">
        <f>IMAGE("https://cf.shopee.tw/file/e6141f314db3839f9ac6c8d6e40f4666_tn")</f>
        <v/>
      </c>
    </row>
    <row r="5218">
      <c r="A5218" t="inlineStr">
        <is>
          <t>6284042525</t>
        </is>
      </c>
      <c r="B5218" t="inlineStr">
        <is>
          <t>隔日到貨🔥 Airpods 保護套 1代 2代 3代 pro pro2 軟殼 保護殼 A5 防摔殼 透明殼 耳機殼</t>
        </is>
      </c>
      <c r="C5218">
        <f>IMAGE("https://cf.shopee.tw/file/b9bf9da2e64dbe7a4563fbdefe5ba756_tn")</f>
        <v/>
      </c>
      <c r="D5218" t="inlineStr">
        <is>
          <t>4 (附同款吊飾),［3代］</t>
        </is>
      </c>
      <c r="E5218" t="inlineStr"/>
      <c r="F5218">
        <f>IMAGE("https://cf.shopee.tw/file/e6141f314db3839f9ac6c8d6e40f4666_tn")</f>
        <v/>
      </c>
    </row>
    <row r="5219">
      <c r="A5219" t="inlineStr">
        <is>
          <t>6284042525</t>
        </is>
      </c>
      <c r="B5219" t="inlineStr">
        <is>
          <t>隔日到貨🔥 Airpods 保護套 1代 2代 3代 pro pro2 軟殼 保護殼 A5 防摔殼 透明殼 耳機殼</t>
        </is>
      </c>
      <c r="C5219">
        <f>IMAGE("https://cf.shopee.tw/file/b9bf9da2e64dbe7a4563fbdefe5ba756_tn")</f>
        <v/>
      </c>
      <c r="D5219" t="inlineStr">
        <is>
          <t>5 (附同款吊飾),1代 / 2代</t>
        </is>
      </c>
      <c r="E5219" t="inlineStr"/>
      <c r="F5219">
        <f>IMAGE("https://cf.shopee.tw/file/acaab6b85aef467873ad757e91e67c47_tn")</f>
        <v/>
      </c>
    </row>
    <row r="5220">
      <c r="A5220" t="inlineStr">
        <is>
          <t>6284042525</t>
        </is>
      </c>
      <c r="B5220" t="inlineStr">
        <is>
          <t>隔日到貨🔥 Airpods 保護套 1代 2代 3代 pro pro2 軟殼 保護殼 A5 防摔殼 透明殼 耳機殼</t>
        </is>
      </c>
      <c r="C5220">
        <f>IMAGE("https://cf.shopee.tw/file/b9bf9da2e64dbe7a4563fbdefe5ba756_tn")</f>
        <v/>
      </c>
      <c r="D5220" t="inlineStr">
        <is>
          <t>5 (附同款吊飾),Pro1代/Pro2代 (通用）</t>
        </is>
      </c>
      <c r="E5220" t="inlineStr">
        <is>
          <t>44738819615</t>
        </is>
      </c>
      <c r="F5220">
        <f>IMAGE("https://cf.shopee.tw/file/acaab6b85aef467873ad757e91e67c47_tn")</f>
        <v/>
      </c>
    </row>
    <row r="5221">
      <c r="A5221" t="inlineStr">
        <is>
          <t>6284042525</t>
        </is>
      </c>
      <c r="B5221" t="inlineStr">
        <is>
          <t>隔日到貨🔥 Airpods 保護套 1代 2代 3代 pro pro2 軟殼 保護殼 A5 防摔殼 透明殼 耳機殼</t>
        </is>
      </c>
      <c r="C5221">
        <f>IMAGE("https://cf.shopee.tw/file/b9bf9da2e64dbe7a4563fbdefe5ba756_tn")</f>
        <v/>
      </c>
      <c r="D5221" t="inlineStr">
        <is>
          <t>5 (附同款吊飾),［3代］</t>
        </is>
      </c>
      <c r="E5221" t="inlineStr">
        <is>
          <t>78375013478</t>
        </is>
      </c>
      <c r="F5221">
        <f>IMAGE("https://cf.shopee.tw/file/acaab6b85aef467873ad757e91e67c47_tn")</f>
        <v/>
      </c>
    </row>
    <row r="5222">
      <c r="A5222" t="inlineStr">
        <is>
          <t>6284042525</t>
        </is>
      </c>
      <c r="B5222" t="inlineStr">
        <is>
          <t>隔日到貨🔥 Airpods 保護套 1代 2代 3代 pro pro2 軟殼 保護殼 A5 防摔殼 透明殼 耳機殼</t>
        </is>
      </c>
      <c r="C5222">
        <f>IMAGE("https://cf.shopee.tw/file/b9bf9da2e64dbe7a4563fbdefe5ba756_tn")</f>
        <v/>
      </c>
      <c r="D5222" t="inlineStr">
        <is>
          <t>6 (附同款吊飾),1代 / 2代</t>
        </is>
      </c>
      <c r="E5222" t="inlineStr">
        <is>
          <t>44738819619</t>
        </is>
      </c>
      <c r="F5222">
        <f>IMAGE("https://cf.shopee.tw/file/ce714e8014b84e8e2dcfc1c2e75555f1_tn")</f>
        <v/>
      </c>
    </row>
    <row r="5223">
      <c r="A5223" t="inlineStr">
        <is>
          <t>6284042525</t>
        </is>
      </c>
      <c r="B5223" t="inlineStr">
        <is>
          <t>隔日到貨🔥 Airpods 保護套 1代 2代 3代 pro pro2 軟殼 保護殼 A5 防摔殼 透明殼 耳機殼</t>
        </is>
      </c>
      <c r="C5223">
        <f>IMAGE("https://cf.shopee.tw/file/b9bf9da2e64dbe7a4563fbdefe5ba756_tn")</f>
        <v/>
      </c>
      <c r="D5223" t="inlineStr">
        <is>
          <t>6 (附同款吊飾),Pro1代/Pro2代 (通用）</t>
        </is>
      </c>
      <c r="E5223" t="inlineStr"/>
      <c r="F5223">
        <f>IMAGE("https://cf.shopee.tw/file/ce714e8014b84e8e2dcfc1c2e75555f1_tn")</f>
        <v/>
      </c>
    </row>
    <row r="5224">
      <c r="A5224" t="inlineStr">
        <is>
          <t>6284042525</t>
        </is>
      </c>
      <c r="B5224" t="inlineStr">
        <is>
          <t>隔日到貨🔥 Airpods 保護套 1代 2代 3代 pro pro2 軟殼 保護殼 A5 防摔殼 透明殼 耳機殼</t>
        </is>
      </c>
      <c r="C5224">
        <f>IMAGE("https://cf.shopee.tw/file/b9bf9da2e64dbe7a4563fbdefe5ba756_tn")</f>
        <v/>
      </c>
      <c r="D5224" t="inlineStr">
        <is>
          <t>6 (附同款吊飾),［3代］</t>
        </is>
      </c>
      <c r="E5224" t="inlineStr"/>
      <c r="F5224">
        <f>IMAGE("https://cf.shopee.tw/file/ce714e8014b84e8e2dcfc1c2e75555f1_tn")</f>
        <v/>
      </c>
    </row>
    <row r="5225">
      <c r="A5225" t="inlineStr">
        <is>
          <t>6284042525</t>
        </is>
      </c>
      <c r="B5225" t="inlineStr">
        <is>
          <t>隔日到貨🔥 Airpods 保護套 1代 2代 3代 pro pro2 軟殼 保護殼 A5 防摔殼 透明殼 耳機殼</t>
        </is>
      </c>
      <c r="C5225">
        <f>IMAGE("https://cf.shopee.tw/file/b9bf9da2e64dbe7a4563fbdefe5ba756_tn")</f>
        <v/>
      </c>
      <c r="D5225" t="inlineStr">
        <is>
          <t>7 (附同款吊飾),1代 / 2代</t>
        </is>
      </c>
      <c r="E5225" t="inlineStr"/>
      <c r="F5225">
        <f>IMAGE("https://cf.shopee.tw/file/66f23d6aced534cd0ec3136059ee8f8c_tn")</f>
        <v/>
      </c>
    </row>
    <row r="5226">
      <c r="A5226" t="inlineStr">
        <is>
          <t>6284042525</t>
        </is>
      </c>
      <c r="B5226" t="inlineStr">
        <is>
          <t>隔日到貨🔥 Airpods 保護套 1代 2代 3代 pro pro2 軟殼 保護殼 A5 防摔殼 透明殼 耳機殼</t>
        </is>
      </c>
      <c r="C5226">
        <f>IMAGE("https://cf.shopee.tw/file/b9bf9da2e64dbe7a4563fbdefe5ba756_tn")</f>
        <v/>
      </c>
      <c r="D5226" t="inlineStr">
        <is>
          <t>7 (附同款吊飾),Pro1代/Pro2代 (通用）</t>
        </is>
      </c>
      <c r="E5226" t="inlineStr">
        <is>
          <t>44738819606</t>
        </is>
      </c>
      <c r="F5226">
        <f>IMAGE("https://cf.shopee.tw/file/66f23d6aced534cd0ec3136059ee8f8c_tn")</f>
        <v/>
      </c>
    </row>
    <row r="5227">
      <c r="A5227" t="inlineStr">
        <is>
          <t>6284042525</t>
        </is>
      </c>
      <c r="B5227" t="inlineStr">
        <is>
          <t>隔日到貨🔥 Airpods 保護套 1代 2代 3代 pro pro2 軟殼 保護殼 A5 防摔殼 透明殼 耳機殼</t>
        </is>
      </c>
      <c r="C5227">
        <f>IMAGE("https://cf.shopee.tw/file/b9bf9da2e64dbe7a4563fbdefe5ba756_tn")</f>
        <v/>
      </c>
      <c r="D5227" t="inlineStr">
        <is>
          <t>7 (附同款吊飾),［3代］</t>
        </is>
      </c>
      <c r="E5227" t="inlineStr">
        <is>
          <t>86932381107</t>
        </is>
      </c>
      <c r="F5227">
        <f>IMAGE("https://cf.shopee.tw/file/66f23d6aced534cd0ec3136059ee8f8c_tn")</f>
        <v/>
      </c>
    </row>
    <row r="5228">
      <c r="A5228" t="inlineStr">
        <is>
          <t>6284042525</t>
        </is>
      </c>
      <c r="B5228" t="inlineStr">
        <is>
          <t>隔日到貨🔥 Airpods 保護套 1代 2代 3代 pro pro2 軟殼 保護殼 A5 防摔殼 透明殼 耳機殼</t>
        </is>
      </c>
      <c r="C5228">
        <f>IMAGE("https://cf.shopee.tw/file/b9bf9da2e64dbe7a4563fbdefe5ba756_tn")</f>
        <v/>
      </c>
      <c r="D5228" t="inlineStr">
        <is>
          <t>8 (附同款吊飾),1代 / 2代</t>
        </is>
      </c>
      <c r="E5228" t="inlineStr"/>
      <c r="F5228">
        <f>IMAGE("https://cf.shopee.tw/file/6fcebe7d0022ec77724972972eb0a69b_tn")</f>
        <v/>
      </c>
    </row>
    <row r="5229">
      <c r="A5229" t="inlineStr">
        <is>
          <t>6284042525</t>
        </is>
      </c>
      <c r="B5229" t="inlineStr">
        <is>
          <t>隔日到貨🔥 Airpods 保護套 1代 2代 3代 pro pro2 軟殼 保護殼 A5 防摔殼 透明殼 耳機殼</t>
        </is>
      </c>
      <c r="C5229">
        <f>IMAGE("https://cf.shopee.tw/file/b9bf9da2e64dbe7a4563fbdefe5ba756_tn")</f>
        <v/>
      </c>
      <c r="D5229" t="inlineStr">
        <is>
          <t>8 (附同款吊飾),Pro1代/Pro2代 (通用）</t>
        </is>
      </c>
      <c r="E5229" t="inlineStr"/>
      <c r="F5229">
        <f>IMAGE("https://cf.shopee.tw/file/6fcebe7d0022ec77724972972eb0a69b_tn")</f>
        <v/>
      </c>
    </row>
    <row r="5230">
      <c r="A5230" t="inlineStr">
        <is>
          <t>6284042525</t>
        </is>
      </c>
      <c r="B5230" t="inlineStr">
        <is>
          <t>隔日到貨🔥 Airpods 保護套 1代 2代 3代 pro pro2 軟殼 保護殼 A5 防摔殼 透明殼 耳機殼</t>
        </is>
      </c>
      <c r="C5230">
        <f>IMAGE("https://cf.shopee.tw/file/b9bf9da2e64dbe7a4563fbdefe5ba756_tn")</f>
        <v/>
      </c>
      <c r="D5230" t="inlineStr">
        <is>
          <t>8 (附同款吊飾),［3代］</t>
        </is>
      </c>
      <c r="E5230" t="inlineStr">
        <is>
          <t>86932381105</t>
        </is>
      </c>
      <c r="F5230">
        <f>IMAGE("https://cf.shopee.tw/file/6fcebe7d0022ec77724972972eb0a69b_tn")</f>
        <v/>
      </c>
    </row>
    <row r="5231">
      <c r="A5231" t="inlineStr">
        <is>
          <t>6284042525</t>
        </is>
      </c>
      <c r="B5231" t="inlineStr">
        <is>
          <t>隔日到貨🔥 Airpods 保護套 1代 2代 3代 pro pro2 軟殼 保護殼 A5 防摔殼 透明殼 耳機殼</t>
        </is>
      </c>
      <c r="C5231">
        <f>IMAGE("https://cf.shopee.tw/file/b9bf9da2e64dbe7a4563fbdefe5ba756_tn")</f>
        <v/>
      </c>
      <c r="D5231" t="inlineStr">
        <is>
          <t>9 (附掛鉤),Pro1代/Pro2代 (通用）</t>
        </is>
      </c>
      <c r="E5231" t="inlineStr">
        <is>
          <t>44738819612</t>
        </is>
      </c>
      <c r="F5231">
        <f>IMAGE("https://cf.shopee.tw/file/f604ba4df5aab007d9c6127827b6b477_tn")</f>
        <v/>
      </c>
    </row>
    <row r="5232">
      <c r="A5232" t="inlineStr">
        <is>
          <t>22251528436</t>
        </is>
      </c>
      <c r="B5232" t="inlineStr">
        <is>
          <t>隔日到貨🔥 Airpods 保護套 1代 2代 3代 pro pro2 耳機套 A68 矽膠 保護殼 蘋果</t>
        </is>
      </c>
      <c r="C5232">
        <f>IMAGE("https://cf.shopee.tw/file/tw-11134207-7r98o-lkmmafwq3tmncf_tn")</f>
        <v/>
      </c>
      <c r="D5232" t="inlineStr">
        <is>
          <t>粉色殼+圖上掛飾,Pro1代/Pro2代 (通用）</t>
        </is>
      </c>
      <c r="E5232" t="inlineStr"/>
      <c r="F5232">
        <f>IMAGE("https://cf.shopee.tw/file/tw-11134207-7qul7-lkilmd8k1dw649_tn")</f>
        <v/>
      </c>
    </row>
    <row r="5233">
      <c r="A5233" t="inlineStr">
        <is>
          <t>22251528436</t>
        </is>
      </c>
      <c r="B5233" t="inlineStr">
        <is>
          <t>隔日到貨🔥 Airpods 保護套 1代 2代 3代 pro pro2 耳機套 A68 矽膠 保護殼 蘋果</t>
        </is>
      </c>
      <c r="C5233">
        <f>IMAGE("https://cf.shopee.tw/file/tw-11134207-7r98o-lkmmafwq3tmncf_tn")</f>
        <v/>
      </c>
      <c r="D5233" t="inlineStr">
        <is>
          <t>粉色殼+圖上掛飾,3代</t>
        </is>
      </c>
      <c r="E5233" t="inlineStr"/>
      <c r="F5233">
        <f>IMAGE("https://cf.shopee.tw/file/tw-11134207-7qul7-lkilmd8k1dw649_tn")</f>
        <v/>
      </c>
    </row>
    <row r="5234">
      <c r="A5234" t="inlineStr">
        <is>
          <t>22251528436</t>
        </is>
      </c>
      <c r="B5234" t="inlineStr">
        <is>
          <t>隔日到貨🔥 Airpods 保護套 1代 2代 3代 pro pro2 耳機套 A68 矽膠 保護殼 蘋果</t>
        </is>
      </c>
      <c r="C5234">
        <f>IMAGE("https://cf.shopee.tw/file/tw-11134207-7r98o-lkmmafwq3tmncf_tn")</f>
        <v/>
      </c>
      <c r="D5234" t="inlineStr">
        <is>
          <t>可愛奶酪+圖上掛飾,Pro1代/Pro2代 (通用）</t>
        </is>
      </c>
      <c r="E5234" t="inlineStr"/>
      <c r="F5234">
        <f>IMAGE("https://cf.shopee.tw/file/tw-11134207-7qul0-lkilmd8kxoyed7_tn")</f>
        <v/>
      </c>
    </row>
    <row r="5235">
      <c r="A5235" t="inlineStr">
        <is>
          <t>22251528436</t>
        </is>
      </c>
      <c r="B5235" t="inlineStr">
        <is>
          <t>隔日到貨🔥 Airpods 保護套 1代 2代 3代 pro pro2 耳機套 A68 矽膠 保護殼 蘋果</t>
        </is>
      </c>
      <c r="C5235">
        <f>IMAGE("https://cf.shopee.tw/file/tw-11134207-7r98o-lkmmafwq3tmncf_tn")</f>
        <v/>
      </c>
      <c r="D5235" t="inlineStr">
        <is>
          <t>咖啡熊+圖上掛飾,3代</t>
        </is>
      </c>
      <c r="E5235" t="inlineStr"/>
      <c r="F5235">
        <f>IMAGE("https://cf.shopee.tw/file/tw-11134207-7r98o-lkniqejly2bke5_tn")</f>
        <v/>
      </c>
    </row>
    <row r="5236">
      <c r="A5236" t="inlineStr">
        <is>
          <t>22251528436</t>
        </is>
      </c>
      <c r="B5236" t="inlineStr">
        <is>
          <t>隔日到貨🔥 Airpods 保護套 1代 2代 3代 pro pro2 耳機套 A68 矽膠 保護殼 蘋果</t>
        </is>
      </c>
      <c r="C5236">
        <f>IMAGE("https://cf.shopee.tw/file/tw-11134207-7r98o-lkmmafwq3tmncf_tn")</f>
        <v/>
      </c>
      <c r="D5236" t="inlineStr">
        <is>
          <t>黃方塊+圖上掛飾,1代/2代</t>
        </is>
      </c>
      <c r="E5236" t="inlineStr">
        <is>
          <t>167810516670</t>
        </is>
      </c>
      <c r="F5236">
        <f>IMAGE("https://cf.shopee.tw/file/tw-11134207-7qul8-lkilmd8k8f94ea_tn")</f>
        <v/>
      </c>
    </row>
    <row r="5237">
      <c r="A5237" t="inlineStr">
        <is>
          <t>22251528436</t>
        </is>
      </c>
      <c r="B5237" t="inlineStr">
        <is>
          <t>隔日到貨🔥 Airpods 保護套 1代 2代 3代 pro pro2 耳機套 A68 矽膠 保護殼 蘋果</t>
        </is>
      </c>
      <c r="C5237">
        <f>IMAGE("https://cf.shopee.tw/file/tw-11134207-7r98o-lkmmafwq3tmncf_tn")</f>
        <v/>
      </c>
      <c r="D5237" t="inlineStr">
        <is>
          <t>黃方塊+圖上掛飾,Pro1代/Pro2代 (通用）</t>
        </is>
      </c>
      <c r="E5237" t="inlineStr"/>
      <c r="F5237">
        <f>IMAGE("https://cf.shopee.tw/file/tw-11134207-7qul8-lkilmd8k8f94ea_tn")</f>
        <v/>
      </c>
    </row>
    <row r="5238">
      <c r="A5238" t="inlineStr">
        <is>
          <t>22251528436</t>
        </is>
      </c>
      <c r="B5238" t="inlineStr">
        <is>
          <t>隔日到貨🔥 Airpods 保護套 1代 2代 3代 pro pro2 耳機套 A68 矽膠 保護殼 蘋果</t>
        </is>
      </c>
      <c r="C5238">
        <f>IMAGE("https://cf.shopee.tw/file/tw-11134207-7r98o-lkmmafwq3tmncf_tn")</f>
        <v/>
      </c>
      <c r="D5238" t="inlineStr">
        <is>
          <t>黃方塊+圖上掛飾,3代</t>
        </is>
      </c>
      <c r="E5238" t="inlineStr">
        <is>
          <t>176045979643</t>
        </is>
      </c>
      <c r="F5238">
        <f>IMAGE("https://cf.shopee.tw/file/tw-11134207-7qul8-lkilmd8k8f94ea_tn")</f>
        <v/>
      </c>
    </row>
    <row r="5239">
      <c r="A5239" t="inlineStr">
        <is>
          <t>22251528436</t>
        </is>
      </c>
      <c r="B5239" t="inlineStr">
        <is>
          <t>隔日到貨🔥 Airpods 保護套 1代 2代 3代 pro pro2 耳機套 A68 矽膠 保護殼 蘋果</t>
        </is>
      </c>
      <c r="C5239">
        <f>IMAGE("https://cf.shopee.tw/file/tw-11134207-7r98o-lkmmafwq3tmncf_tn")</f>
        <v/>
      </c>
      <c r="D5239" t="inlineStr">
        <is>
          <t>粉色殼+圖上掛飾,1代/2代</t>
        </is>
      </c>
      <c r="E5239" t="inlineStr"/>
      <c r="F5239">
        <f>IMAGE("https://cf.shopee.tw/file/tw-11134207-7qul7-lkilmd8k1dw649_tn")</f>
        <v/>
      </c>
    </row>
    <row r="5240">
      <c r="A5240" t="inlineStr">
        <is>
          <t>22251528436</t>
        </is>
      </c>
      <c r="B5240" t="inlineStr">
        <is>
          <t>隔日到貨🔥 Airpods 保護套 1代 2代 3代 pro pro2 耳機套 A68 矽膠 保護殼 蘋果</t>
        </is>
      </c>
      <c r="C5240">
        <f>IMAGE("https://cf.shopee.tw/file/tw-11134207-7r98o-lkmmafwq3tmncf_tn")</f>
        <v/>
      </c>
      <c r="D5240" t="inlineStr">
        <is>
          <t>抹茶綠粉鬱金+圖上掛飾,1代/2代</t>
        </is>
      </c>
      <c r="E5240" t="inlineStr"/>
      <c r="F5240">
        <f>IMAGE("https://cf.shopee.tw/file/tw-11134207-7quky-lkilmd8kwawo9b_tn")</f>
        <v/>
      </c>
    </row>
    <row r="5241">
      <c r="A5241" t="inlineStr">
        <is>
          <t>22251528436</t>
        </is>
      </c>
      <c r="B5241" t="inlineStr">
        <is>
          <t>隔日到貨🔥 Airpods 保護套 1代 2代 3代 pro pro2 耳機套 A68 矽膠 保護殼 蘋果</t>
        </is>
      </c>
      <c r="C5241">
        <f>IMAGE("https://cf.shopee.tw/file/tw-11134207-7r98o-lkmmafwq3tmncf_tn")</f>
        <v/>
      </c>
      <c r="D5241" t="inlineStr">
        <is>
          <t>抹茶綠粉鬱金+圖上掛飾,Pro1代/Pro2代 (通用）</t>
        </is>
      </c>
      <c r="E5241" t="inlineStr">
        <is>
          <t>176045979650</t>
        </is>
      </c>
      <c r="F5241">
        <f>IMAGE("https://cf.shopee.tw/file/tw-11134207-7quky-lkilmd8kwawo9b_tn")</f>
        <v/>
      </c>
    </row>
    <row r="5242">
      <c r="A5242" t="inlineStr">
        <is>
          <t>22251528436</t>
        </is>
      </c>
      <c r="B5242" t="inlineStr">
        <is>
          <t>隔日到貨🔥 Airpods 保護套 1代 2代 3代 pro pro2 耳機套 A68 矽膠 保護殼 蘋果</t>
        </is>
      </c>
      <c r="C5242">
        <f>IMAGE("https://cf.shopee.tw/file/tw-11134207-7r98o-lkmmafwq3tmncf_tn")</f>
        <v/>
      </c>
      <c r="D5242" t="inlineStr">
        <is>
          <t>抹茶綠粉鬱金+圖上掛飾,3代</t>
        </is>
      </c>
      <c r="E5242" t="inlineStr"/>
      <c r="F5242">
        <f>IMAGE("https://cf.shopee.tw/file/tw-11134207-7quky-lkilmd8kwawo9b_tn")</f>
        <v/>
      </c>
    </row>
    <row r="5243">
      <c r="A5243" t="inlineStr">
        <is>
          <t>22251528436</t>
        </is>
      </c>
      <c r="B5243" t="inlineStr">
        <is>
          <t>隔日到貨🔥 Airpods 保護套 1代 2代 3代 pro pro2 耳機套 A68 矽膠 保護殼 蘋果</t>
        </is>
      </c>
      <c r="C5243">
        <f>IMAGE("https://cf.shopee.tw/file/tw-11134207-7r98o-lkmmafwq3tmncf_tn")</f>
        <v/>
      </c>
      <c r="D5243" t="inlineStr">
        <is>
          <t>抹茶綠向日葵+圖上吊飾,1代/2代</t>
        </is>
      </c>
      <c r="E5243" t="inlineStr"/>
      <c r="F5243">
        <f>IMAGE("https://cf.shopee.tw/file/tw-11134207-7qukz-lkilmd8k1eew28_tn")</f>
        <v/>
      </c>
    </row>
    <row r="5244">
      <c r="A5244" t="inlineStr">
        <is>
          <t>22251528436</t>
        </is>
      </c>
      <c r="B5244" t="inlineStr">
        <is>
          <t>隔日到貨🔥 Airpods 保護套 1代 2代 3代 pro pro2 耳機套 A68 矽膠 保護殼 蘋果</t>
        </is>
      </c>
      <c r="C5244">
        <f>IMAGE("https://cf.shopee.tw/file/tw-11134207-7r98o-lkmmafwq3tmncf_tn")</f>
        <v/>
      </c>
      <c r="D5244" t="inlineStr">
        <is>
          <t>抹茶綠向日葵+圖上吊飾,Pro1代/Pro2代 (通用）</t>
        </is>
      </c>
      <c r="E5244" t="inlineStr"/>
      <c r="F5244">
        <f>IMAGE("https://cf.shopee.tw/file/tw-11134207-7qukz-lkilmd8k1eew28_tn")</f>
        <v/>
      </c>
    </row>
    <row r="5245">
      <c r="A5245" t="inlineStr">
        <is>
          <t>22251528436</t>
        </is>
      </c>
      <c r="B5245" t="inlineStr">
        <is>
          <t>隔日到貨🔥 Airpods 保護套 1代 2代 3代 pro pro2 耳機套 A68 矽膠 保護殼 蘋果</t>
        </is>
      </c>
      <c r="C5245">
        <f>IMAGE("https://cf.shopee.tw/file/tw-11134207-7r98o-lkmmafwq3tmncf_tn")</f>
        <v/>
      </c>
      <c r="D5245" t="inlineStr">
        <is>
          <t>抹茶綠向日葵+圖上吊飾,3代</t>
        </is>
      </c>
      <c r="E5245" t="inlineStr"/>
      <c r="F5245">
        <f>IMAGE("https://cf.shopee.tw/file/tw-11134207-7qukz-lkilmd8k1eew28_tn")</f>
        <v/>
      </c>
    </row>
    <row r="5246">
      <c r="A5246" t="inlineStr">
        <is>
          <t>22251528436</t>
        </is>
      </c>
      <c r="B5246" t="inlineStr">
        <is>
          <t>隔日到貨🔥 Airpods 保護套 1代 2代 3代 pro pro2 耳機套 A68 矽膠 保護殼 蘋果</t>
        </is>
      </c>
      <c r="C5246">
        <f>IMAGE("https://cf.shopee.tw/file/tw-11134207-7r98o-lkmmafwq3tmncf_tn")</f>
        <v/>
      </c>
      <c r="D5246" t="inlineStr">
        <is>
          <t>抹茶綠奶白愛心+圖上掛飾,1代/2代</t>
        </is>
      </c>
      <c r="E5246" t="inlineStr"/>
      <c r="F5246">
        <f>IMAGE("https://cf.shopee.tw/file/tw-11134207-7qul3-lkilmd8lbr5kc0_tn")</f>
        <v/>
      </c>
    </row>
    <row r="5247">
      <c r="A5247" t="inlineStr">
        <is>
          <t>22251528436</t>
        </is>
      </c>
      <c r="B5247" t="inlineStr">
        <is>
          <t>隔日到貨🔥 Airpods 保護套 1代 2代 3代 pro pro2 耳機套 A68 矽膠 保護殼 蘋果</t>
        </is>
      </c>
      <c r="C5247">
        <f>IMAGE("https://cf.shopee.tw/file/tw-11134207-7r98o-lkmmafwq3tmncf_tn")</f>
        <v/>
      </c>
      <c r="D5247" t="inlineStr">
        <is>
          <t>抹茶綠奶白愛心+圖上掛飾,Pro1代/Pro2代 (通用）</t>
        </is>
      </c>
      <c r="E5247" t="inlineStr">
        <is>
          <t>176045979648</t>
        </is>
      </c>
      <c r="F5247">
        <f>IMAGE("https://cf.shopee.tw/file/tw-11134207-7qul3-lkilmd8lbr5kc0_tn")</f>
        <v/>
      </c>
    </row>
    <row r="5248">
      <c r="A5248" t="inlineStr">
        <is>
          <t>22251528436</t>
        </is>
      </c>
      <c r="B5248" t="inlineStr">
        <is>
          <t>隔日到貨🔥 Airpods 保護套 1代 2代 3代 pro pro2 耳機套 A68 矽膠 保護殼 蘋果</t>
        </is>
      </c>
      <c r="C5248">
        <f>IMAGE("https://cf.shopee.tw/file/tw-11134207-7r98o-lkmmafwq3tmncf_tn")</f>
        <v/>
      </c>
      <c r="D5248" t="inlineStr">
        <is>
          <t>抹茶綠奶白愛心+圖上掛飾,3代</t>
        </is>
      </c>
      <c r="E5248" t="inlineStr"/>
      <c r="F5248">
        <f>IMAGE("https://cf.shopee.tw/file/tw-11134207-7qul3-lkilmd8lbr5kc0_tn")</f>
        <v/>
      </c>
    </row>
    <row r="5249">
      <c r="A5249" t="inlineStr">
        <is>
          <t>22251528436</t>
        </is>
      </c>
      <c r="B5249" t="inlineStr">
        <is>
          <t>隔日到貨🔥 Airpods 保護套 1代 2代 3代 pro pro2 耳機套 A68 矽膠 保護殼 蘋果</t>
        </is>
      </c>
      <c r="C5249">
        <f>IMAGE("https://cf.shopee.tw/file/tw-11134207-7r98o-lkmmafwq3tmncf_tn")</f>
        <v/>
      </c>
      <c r="D5249" t="inlineStr">
        <is>
          <t>紫花朵+圖上掛飾,1代/2代</t>
        </is>
      </c>
      <c r="E5249" t="inlineStr"/>
      <c r="F5249">
        <f>IMAGE("https://cf.shopee.tw/file/tw-11134207-7qul4-lkilmd8ki8pi5e_tn")</f>
        <v/>
      </c>
    </row>
    <row r="5250">
      <c r="A5250" t="inlineStr">
        <is>
          <t>22251528436</t>
        </is>
      </c>
      <c r="B5250" t="inlineStr">
        <is>
          <t>隔日到貨🔥 Airpods 保護套 1代 2代 3代 pro pro2 耳機套 A68 矽膠 保護殼 蘋果</t>
        </is>
      </c>
      <c r="C5250">
        <f>IMAGE("https://cf.shopee.tw/file/tw-11134207-7r98o-lkmmafwq3tmncf_tn")</f>
        <v/>
      </c>
      <c r="D5250" t="inlineStr">
        <is>
          <t>紫花朵+圖上掛飾,Pro1代/Pro2代 (通用）</t>
        </is>
      </c>
      <c r="E5250" t="inlineStr"/>
      <c r="F5250">
        <f>IMAGE("https://cf.shopee.tw/file/tw-11134207-7qul4-lkilmd8ki8pi5e_tn")</f>
        <v/>
      </c>
    </row>
    <row r="5251">
      <c r="A5251" t="inlineStr">
        <is>
          <t>22251528436</t>
        </is>
      </c>
      <c r="B5251" t="inlineStr">
        <is>
          <t>隔日到貨🔥 Airpods 保護套 1代 2代 3代 pro pro2 耳機套 A68 矽膠 保護殼 蘋果</t>
        </is>
      </c>
      <c r="C5251">
        <f>IMAGE("https://cf.shopee.tw/file/tw-11134207-7r98o-lkmmafwq3tmncf_tn")</f>
        <v/>
      </c>
      <c r="D5251" t="inlineStr">
        <is>
          <t>紫花朵+圖上掛飾,3代</t>
        </is>
      </c>
      <c r="E5251" t="inlineStr"/>
      <c r="F5251">
        <f>IMAGE("https://cf.shopee.tw/file/tw-11134207-7qul4-lkilmd8ki8pi5e_tn")</f>
        <v/>
      </c>
    </row>
    <row r="5252">
      <c r="A5252" t="inlineStr">
        <is>
          <t>22251528436</t>
        </is>
      </c>
      <c r="B5252" t="inlineStr">
        <is>
          <t>隔日到貨🔥 Airpods 保護套 1代 2代 3代 pro pro2 耳機套 A68 矽膠 保護殼 蘋果</t>
        </is>
      </c>
      <c r="C5252">
        <f>IMAGE("https://cf.shopee.tw/file/tw-11134207-7r98o-lkmmafwq3tmncf_tn")</f>
        <v/>
      </c>
      <c r="D5252" t="inlineStr">
        <is>
          <t>星星蝴蝶+圖上掛飾,1代/2代</t>
        </is>
      </c>
      <c r="E5252" t="inlineStr"/>
      <c r="F5252">
        <f>IMAGE("https://cf.shopee.tw/file/tw-11134207-7qul7-lkilmd8lejrq3f_tn")</f>
        <v/>
      </c>
    </row>
    <row r="5253">
      <c r="A5253" t="inlineStr">
        <is>
          <t>22251528436</t>
        </is>
      </c>
      <c r="B5253" t="inlineStr">
        <is>
          <t>隔日到貨🔥 Airpods 保護套 1代 2代 3代 pro pro2 耳機套 A68 矽膠 保護殼 蘋果</t>
        </is>
      </c>
      <c r="C5253">
        <f>IMAGE("https://cf.shopee.tw/file/tw-11134207-7r98o-lkmmafwq3tmncf_tn")</f>
        <v/>
      </c>
      <c r="D5253" t="inlineStr">
        <is>
          <t>星星蝴蝶+圖上掛飾,Pro1代/Pro2代 (通用）</t>
        </is>
      </c>
      <c r="E5253" t="inlineStr"/>
      <c r="F5253">
        <f>IMAGE("https://cf.shopee.tw/file/tw-11134207-7qul7-lkilmd8lejrq3f_tn")</f>
        <v/>
      </c>
    </row>
    <row r="5254">
      <c r="A5254" t="inlineStr">
        <is>
          <t>22251528436</t>
        </is>
      </c>
      <c r="B5254" t="inlineStr">
        <is>
          <t>隔日到貨🔥 Airpods 保護套 1代 2代 3代 pro pro2 耳機套 A68 矽膠 保護殼 蘋果</t>
        </is>
      </c>
      <c r="C5254">
        <f>IMAGE("https://cf.shopee.tw/file/tw-11134207-7r98o-lkmmafwq3tmncf_tn")</f>
        <v/>
      </c>
      <c r="D5254" t="inlineStr">
        <is>
          <t>星星蝴蝶+圖上掛飾,3代</t>
        </is>
      </c>
      <c r="E5254" t="inlineStr">
        <is>
          <t>176045979645</t>
        </is>
      </c>
      <c r="F5254">
        <f>IMAGE("https://cf.shopee.tw/file/tw-11134207-7qul7-lkilmd8lejrq3f_tn")</f>
        <v/>
      </c>
    </row>
    <row r="5255">
      <c r="A5255" t="inlineStr">
        <is>
          <t>22251528436</t>
        </is>
      </c>
      <c r="B5255" t="inlineStr">
        <is>
          <t>隔日到貨🔥 Airpods 保護套 1代 2代 3代 pro pro2 耳機套 A68 矽膠 保護殼 蘋果</t>
        </is>
      </c>
      <c r="C5255">
        <f>IMAGE("https://cf.shopee.tw/file/tw-11134207-7r98o-lkmmafwq3tmncf_tn")</f>
        <v/>
      </c>
      <c r="D5255" t="inlineStr">
        <is>
          <t>可愛奶酪+圖上掛飾,1代/2代</t>
        </is>
      </c>
      <c r="E5255" t="inlineStr">
        <is>
          <t>176045979652</t>
        </is>
      </c>
      <c r="F5255">
        <f>IMAGE("https://cf.shopee.tw/file/tw-11134207-7qul0-lkilmd8kxoyed7_tn")</f>
        <v/>
      </c>
    </row>
    <row r="5256">
      <c r="A5256" t="inlineStr">
        <is>
          <t>22251528436</t>
        </is>
      </c>
      <c r="B5256" t="inlineStr">
        <is>
          <t>隔日到貨🔥 Airpods 保護套 1代 2代 3代 pro pro2 耳機套 A68 矽膠 保護殼 蘋果</t>
        </is>
      </c>
      <c r="C5256">
        <f>IMAGE("https://cf.shopee.tw/file/tw-11134207-7r98o-lkmmafwq3tmncf_tn")</f>
        <v/>
      </c>
      <c r="D5256" t="inlineStr">
        <is>
          <t>可愛奶酪+圖上掛飾,3代</t>
        </is>
      </c>
      <c r="E5256" t="inlineStr">
        <is>
          <t>176045979663</t>
        </is>
      </c>
      <c r="F5256">
        <f>IMAGE("https://cf.shopee.tw/file/tw-11134207-7qul0-lkilmd8kxoyed7_tn")</f>
        <v/>
      </c>
    </row>
    <row r="5257">
      <c r="A5257" t="inlineStr">
        <is>
          <t>22251528436</t>
        </is>
      </c>
      <c r="B5257" t="inlineStr">
        <is>
          <t>隔日到貨🔥 Airpods 保護套 1代 2代 3代 pro pro2 耳機套 A68 矽膠 保護殼 蘋果</t>
        </is>
      </c>
      <c r="C5257">
        <f>IMAGE("https://cf.shopee.tw/file/tw-11134207-7r98o-lkmmafwq3tmncf_tn")</f>
        <v/>
      </c>
      <c r="D5257" t="inlineStr">
        <is>
          <t>咖啡熊+圖上掛飾,1代/2代</t>
        </is>
      </c>
      <c r="E5257" t="inlineStr"/>
      <c r="F5257">
        <f>IMAGE("https://cf.shopee.tw/file/tw-11134207-7r98o-lkniqejly2bke5_tn")</f>
        <v/>
      </c>
    </row>
    <row r="5258">
      <c r="A5258" t="inlineStr">
        <is>
          <t>22251528436</t>
        </is>
      </c>
      <c r="B5258" t="inlineStr">
        <is>
          <t>隔日到貨🔥 Airpods 保護套 1代 2代 3代 pro pro2 耳機套 A68 矽膠 保護殼 蘋果</t>
        </is>
      </c>
      <c r="C5258">
        <f>IMAGE("https://cf.shopee.tw/file/tw-11134207-7r98o-lkmmafwq3tmncf_tn")</f>
        <v/>
      </c>
      <c r="D5258" t="inlineStr">
        <is>
          <t>咖啡熊+圖上掛飾,Pro1代/Pro2代 (通用）</t>
        </is>
      </c>
      <c r="E5258" t="inlineStr"/>
      <c r="F5258">
        <f>IMAGE("https://cf.shopee.tw/file/tw-11134207-7r98o-lkniqejly2bke5_tn")</f>
        <v/>
      </c>
    </row>
    <row r="5259">
      <c r="A5259" t="inlineStr">
        <is>
          <t>29255793415</t>
        </is>
      </c>
      <c r="B5259" t="inlineStr">
        <is>
          <t>隔日到貨🔥 Airpods 保護套 A32 1代 2代 3代 pro pro2 耳機套 防摔 硬殼 保護殼 蘋果</t>
        </is>
      </c>
      <c r="C5259">
        <f>IMAGE("https://cf.shopee.tw/file/tw-11134207-7r98y-lxxop8ipb8s00d_tn")</f>
        <v/>
      </c>
      <c r="D5259" t="inlineStr">
        <is>
          <t>1. 蝴蝶結櫻桃,1代 / 2代</t>
        </is>
      </c>
      <c r="E5259" t="inlineStr"/>
      <c r="F5259">
        <f>IMAGE("https://cf.shopee.tw/file/tw-11134207-7r98r-lxxop8io53qob7_tn")</f>
        <v/>
      </c>
    </row>
    <row r="5260">
      <c r="A5260" t="inlineStr">
        <is>
          <t>29255793415</t>
        </is>
      </c>
      <c r="B5260" t="inlineStr">
        <is>
          <t>隔日到貨🔥 Airpods 保護套 A32 1代 2代 3代 pro pro2 耳機套 防摔 硬殼 保護殼 蘋果</t>
        </is>
      </c>
      <c r="C5260">
        <f>IMAGE("https://cf.shopee.tw/file/tw-11134207-7r98y-lxxop8ipb8s00d_tn")</f>
        <v/>
      </c>
      <c r="D5260" t="inlineStr">
        <is>
          <t>1. 蝴蝶結櫻桃,3代</t>
        </is>
      </c>
      <c r="E5260" t="inlineStr"/>
      <c r="F5260">
        <f>IMAGE("https://cf.shopee.tw/file/tw-11134207-7r98r-lxxop8io53qob7_tn")</f>
        <v/>
      </c>
    </row>
    <row r="5261">
      <c r="A5261" t="inlineStr">
        <is>
          <t>29255793415</t>
        </is>
      </c>
      <c r="B5261" t="inlineStr">
        <is>
          <t>隔日到貨🔥 Airpods 保護套 A32 1代 2代 3代 pro pro2 耳機套 防摔 硬殼 保護殼 蘋果</t>
        </is>
      </c>
      <c r="C5261">
        <f>IMAGE("https://cf.shopee.tw/file/tw-11134207-7r98y-lxxop8ipb8s00d_tn")</f>
        <v/>
      </c>
      <c r="D5261" t="inlineStr">
        <is>
          <t>2. 魅影煤球,1代 / 2代</t>
        </is>
      </c>
      <c r="E5261" t="inlineStr"/>
      <c r="F5261">
        <f>IMAGE("https://cf.shopee.tw/file/tw-11134207-7r98q-lxxop8io7wvka6_tn")</f>
        <v/>
      </c>
    </row>
    <row r="5262">
      <c r="A5262" t="inlineStr">
        <is>
          <t>29255793415</t>
        </is>
      </c>
      <c r="B5262" t="inlineStr">
        <is>
          <t>隔日到貨🔥 Airpods 保護套 A32 1代 2代 3代 pro pro2 耳機套 防摔 硬殼 保護殼 蘋果</t>
        </is>
      </c>
      <c r="C5262">
        <f>IMAGE("https://cf.shopee.tw/file/tw-11134207-7r98y-lxxop8ipb8s00d_tn")</f>
        <v/>
      </c>
      <c r="D5262" t="inlineStr">
        <is>
          <t>2. 魅影煤球,Pro1代/Pro2代 (通用）</t>
        </is>
      </c>
      <c r="E5262" t="inlineStr"/>
      <c r="F5262">
        <f>IMAGE("https://cf.shopee.tw/file/tw-11134207-7r98q-lxxop8io7wvka6_tn")</f>
        <v/>
      </c>
    </row>
    <row r="5263">
      <c r="A5263" t="inlineStr">
        <is>
          <t>29255793415</t>
        </is>
      </c>
      <c r="B5263" t="inlineStr">
        <is>
          <t>隔日到貨🔥 Airpods 保護套 A32 1代 2代 3代 pro pro2 耳機套 防摔 硬殼 保護殼 蘋果</t>
        </is>
      </c>
      <c r="C5263">
        <f>IMAGE("https://cf.shopee.tw/file/tw-11134207-7r98y-lxxop8ipb8s00d_tn")</f>
        <v/>
      </c>
      <c r="D5263" t="inlineStr">
        <is>
          <t>2. 魅影煤球,3代</t>
        </is>
      </c>
      <c r="E5263" t="inlineStr"/>
      <c r="F5263">
        <f>IMAGE("https://cf.shopee.tw/file/tw-11134207-7r98q-lxxop8io7wvka6_tn")</f>
        <v/>
      </c>
    </row>
    <row r="5264">
      <c r="A5264" t="inlineStr">
        <is>
          <t>29255793415</t>
        </is>
      </c>
      <c r="B5264" t="inlineStr">
        <is>
          <t>隔日到貨🔥 Airpods 保護套 A32 1代 2代 3代 pro pro2 耳機套 防摔 硬殼 保護殼 蘋果</t>
        </is>
      </c>
      <c r="C5264">
        <f>IMAGE("https://cf.shopee.tw/file/tw-11134207-7r98y-lxxop8ipb8s00d_tn")</f>
        <v/>
      </c>
      <c r="D5264" t="inlineStr">
        <is>
          <t>3. 熊貓,Pro1代/Pro2代 (通用）</t>
        </is>
      </c>
      <c r="E5264" t="inlineStr"/>
      <c r="F5264">
        <f>IMAGE("https://cf.shopee.tw/file/tw-11134207-7r992-lxxop8io6ib420_tn")</f>
        <v/>
      </c>
    </row>
    <row r="5265">
      <c r="A5265" t="inlineStr">
        <is>
          <t>29255793415</t>
        </is>
      </c>
      <c r="B5265" t="inlineStr">
        <is>
          <t>隔日到貨🔥 Airpods 保護套 A32 1代 2代 3代 pro pro2 耳機套 防摔 硬殼 保護殼 蘋果</t>
        </is>
      </c>
      <c r="C5265">
        <f>IMAGE("https://cf.shopee.tw/file/tw-11134207-7r98y-lxxop8ipb8s00d_tn")</f>
        <v/>
      </c>
      <c r="D5265" t="inlineStr">
        <is>
          <t>4. 藍色水母,1代 / 2代</t>
        </is>
      </c>
      <c r="E5265" t="inlineStr">
        <is>
          <t>187664504538</t>
        </is>
      </c>
      <c r="F5265">
        <f>IMAGE("https://cf.shopee.tw/file/tw-11134207-7r98r-lxxop8iohr1ia8_tn")</f>
        <v/>
      </c>
    </row>
    <row r="5266">
      <c r="A5266" t="inlineStr">
        <is>
          <t>29255793415</t>
        </is>
      </c>
      <c r="B5266" t="inlineStr">
        <is>
          <t>隔日到貨🔥 Airpods 保護套 A32 1代 2代 3代 pro pro2 耳機套 防摔 硬殼 保護殼 蘋果</t>
        </is>
      </c>
      <c r="C5266">
        <f>IMAGE("https://cf.shopee.tw/file/tw-11134207-7r98y-lxxop8ipb8s00d_tn")</f>
        <v/>
      </c>
      <c r="D5266" t="inlineStr">
        <is>
          <t>4. 藍色水母,Pro1代/Pro2代 (通用）</t>
        </is>
      </c>
      <c r="E5266" t="inlineStr"/>
      <c r="F5266">
        <f>IMAGE("https://cf.shopee.tw/file/tw-11134207-7r98r-lxxop8iohr1ia8_tn")</f>
        <v/>
      </c>
    </row>
    <row r="5267">
      <c r="A5267" t="inlineStr">
        <is>
          <t>29255793415</t>
        </is>
      </c>
      <c r="B5267" t="inlineStr">
        <is>
          <t>隔日到貨🔥 Airpods 保護套 A32 1代 2代 3代 pro pro2 耳機套 防摔 硬殼 保護殼 蘋果</t>
        </is>
      </c>
      <c r="C5267">
        <f>IMAGE("https://cf.shopee.tw/file/tw-11134207-7r98y-lxxop8ipb8s00d_tn")</f>
        <v/>
      </c>
      <c r="D5267" t="inlineStr">
        <is>
          <t>4. 藍色水母,3代</t>
        </is>
      </c>
      <c r="E5267" t="inlineStr"/>
      <c r="F5267">
        <f>IMAGE("https://cf.shopee.tw/file/tw-11134207-7r98r-lxxop8iohr1ia8_tn")</f>
        <v/>
      </c>
    </row>
    <row r="5268">
      <c r="A5268" t="inlineStr">
        <is>
          <t>29255793415</t>
        </is>
      </c>
      <c r="B5268" t="inlineStr">
        <is>
          <t>隔日到貨🔥 Airpods 保護套 A32 1代 2代 3代 pro pro2 耳機套 防摔 硬殼 保護殼 蘋果</t>
        </is>
      </c>
      <c r="C5268">
        <f>IMAGE("https://cf.shopee.tw/file/tw-11134207-7r98y-lxxop8ipb8s00d_tn")</f>
        <v/>
      </c>
      <c r="D5268" t="inlineStr">
        <is>
          <t>6. 紫色鬱金香,1代 / 2代</t>
        </is>
      </c>
      <c r="E5268" t="inlineStr"/>
      <c r="F5268">
        <f>IMAGE("https://cf.shopee.tw/file/tw-11134207-7r98w-lxxop8ipcncgc1_tn")</f>
        <v/>
      </c>
    </row>
    <row r="5269">
      <c r="A5269" t="inlineStr">
        <is>
          <t>29255793415</t>
        </is>
      </c>
      <c r="B5269" t="inlineStr">
        <is>
          <t>隔日到貨🔥 Airpods 保護套 A32 1代 2代 3代 pro pro2 耳機套 防摔 硬殼 保護殼 蘋果</t>
        </is>
      </c>
      <c r="C5269">
        <f>IMAGE("https://cf.shopee.tw/file/tw-11134207-7r98y-lxxop8ipb8s00d_tn")</f>
        <v/>
      </c>
      <c r="D5269" t="inlineStr">
        <is>
          <t>6. 紫色鬱金香,Pro1代/Pro2代 (通用）</t>
        </is>
      </c>
      <c r="E5269" t="inlineStr"/>
      <c r="F5269">
        <f>IMAGE("https://cf.shopee.tw/file/tw-11134207-7r98w-lxxop8ipcncgc1_tn")</f>
        <v/>
      </c>
    </row>
    <row r="5270">
      <c r="A5270" t="inlineStr">
        <is>
          <t>29255793415</t>
        </is>
      </c>
      <c r="B5270" t="inlineStr">
        <is>
          <t>隔日到貨🔥 Airpods 保護套 A32 1代 2代 3代 pro pro2 耳機套 防摔 硬殼 保護殼 蘋果</t>
        </is>
      </c>
      <c r="C5270">
        <f>IMAGE("https://cf.shopee.tw/file/tw-11134207-7r98y-lxxop8ipb8s00d_tn")</f>
        <v/>
      </c>
      <c r="D5270" t="inlineStr">
        <is>
          <t>6. 紫色鬱金香,3代</t>
        </is>
      </c>
      <c r="E5270" t="inlineStr"/>
      <c r="F5270">
        <f>IMAGE("https://cf.shopee.tw/file/tw-11134207-7r98w-lxxop8ipcncgc1_tn")</f>
        <v/>
      </c>
    </row>
    <row r="5271">
      <c r="A5271" t="inlineStr">
        <is>
          <t>29255793415</t>
        </is>
      </c>
      <c r="B5271" t="inlineStr">
        <is>
          <t>隔日到貨🔥 Airpods 保護套 A32 1代 2代 3代 pro pro2 耳機套 防摔 硬殼 保護殼 蘋果</t>
        </is>
      </c>
      <c r="C5271">
        <f>IMAGE("https://cf.shopee.tw/file/tw-11134207-7r98y-lxxop8ipb8s00d_tn")</f>
        <v/>
      </c>
      <c r="D5271" t="inlineStr">
        <is>
          <t>7. 夢影小豬,Pro1代/Pro2代 (通用）</t>
        </is>
      </c>
      <c r="E5271" t="inlineStr"/>
      <c r="F5271">
        <f>IMAGE("https://cf.shopee.tw/file/tw-11134207-7r98x-lxxop8iox7ae17_tn")</f>
        <v/>
      </c>
    </row>
    <row r="5272">
      <c r="A5272" t="inlineStr">
        <is>
          <t>29255793415</t>
        </is>
      </c>
      <c r="B5272" t="inlineStr">
        <is>
          <t>隔日到貨🔥 Airpods 保護套 A32 1代 2代 3代 pro pro2 耳機套 防摔 硬殼 保護殼 蘋果</t>
        </is>
      </c>
      <c r="C5272">
        <f>IMAGE("https://cf.shopee.tw/file/tw-11134207-7r98y-lxxop8ipb8s00d_tn")</f>
        <v/>
      </c>
      <c r="D5272" t="inlineStr">
        <is>
          <t>8. 奶酪相框,1代 / 2代</t>
        </is>
      </c>
      <c r="E5272" t="inlineStr"/>
      <c r="F5272">
        <f>IMAGE("https://cf.shopee.tw/file/tw-11134207-7r98q-lxxop8ips3lcf1_tn")</f>
        <v/>
      </c>
    </row>
    <row r="5273">
      <c r="A5273" t="inlineStr">
        <is>
          <t>29255793415</t>
        </is>
      </c>
      <c r="B5273" t="inlineStr">
        <is>
          <t>隔日到貨🔥 Airpods 保護套 A32 1代 2代 3代 pro pro2 耳機套 防摔 硬殼 保護殼 蘋果</t>
        </is>
      </c>
      <c r="C5273">
        <f>IMAGE("https://cf.shopee.tw/file/tw-11134207-7r98y-lxxop8ipb8s00d_tn")</f>
        <v/>
      </c>
      <c r="D5273" t="inlineStr">
        <is>
          <t>8. 奶酪相框,3代</t>
        </is>
      </c>
      <c r="E5273" t="inlineStr"/>
      <c r="F5273">
        <f>IMAGE("https://cf.shopee.tw/file/tw-11134207-7r98q-lxxop8ips3lcf1_tn")</f>
        <v/>
      </c>
    </row>
    <row r="5274">
      <c r="A5274" t="inlineStr">
        <is>
          <t>29255793415</t>
        </is>
      </c>
      <c r="B5274" t="inlineStr">
        <is>
          <t>隔日到貨🔥 Airpods 保護套 A32 1代 2代 3代 pro pro2 耳機套 防摔 硬殼 保護殼 蘋果</t>
        </is>
      </c>
      <c r="C5274">
        <f>IMAGE("https://cf.shopee.tw/file/tw-11134207-7r98y-lxxop8ipb8s00d_tn")</f>
        <v/>
      </c>
      <c r="D5274" t="inlineStr">
        <is>
          <t>1. 蝴蝶結櫻桃,Pro1代/Pro2代 (通用）</t>
        </is>
      </c>
      <c r="E5274" t="inlineStr"/>
      <c r="F5274">
        <f>IMAGE("https://cf.shopee.tw/file/tw-11134207-7r98r-lxxop8io53qob7_tn")</f>
        <v/>
      </c>
    </row>
    <row r="5275">
      <c r="A5275" t="inlineStr">
        <is>
          <t>29255793415</t>
        </is>
      </c>
      <c r="B5275" t="inlineStr">
        <is>
          <t>隔日到貨🔥 Airpods 保護套 A32 1代 2代 3代 pro pro2 耳機套 防摔 硬殼 保護殼 蘋果</t>
        </is>
      </c>
      <c r="C5275">
        <f>IMAGE("https://cf.shopee.tw/file/tw-11134207-7r98y-lxxop8ipb8s00d_tn")</f>
        <v/>
      </c>
      <c r="D5275" t="inlineStr">
        <is>
          <t>3. 熊貓,1代 / 2代</t>
        </is>
      </c>
      <c r="E5275" t="inlineStr"/>
      <c r="F5275">
        <f>IMAGE("https://cf.shopee.tw/file/tw-11134207-7r992-lxxop8io6ib420_tn")</f>
        <v/>
      </c>
    </row>
    <row r="5276">
      <c r="A5276" t="inlineStr">
        <is>
          <t>29255793415</t>
        </is>
      </c>
      <c r="B5276" t="inlineStr">
        <is>
          <t>隔日到貨🔥 Airpods 保護套 A32 1代 2代 3代 pro pro2 耳機套 防摔 硬殼 保護殼 蘋果</t>
        </is>
      </c>
      <c r="C5276">
        <f>IMAGE("https://cf.shopee.tw/file/tw-11134207-7r98y-lxxop8ipb8s00d_tn")</f>
        <v/>
      </c>
      <c r="D5276" t="inlineStr">
        <is>
          <t>3. 熊貓,3代</t>
        </is>
      </c>
      <c r="E5276" t="inlineStr"/>
      <c r="F5276">
        <f>IMAGE("https://cf.shopee.tw/file/tw-11134207-7r992-lxxop8io6ib420_tn")</f>
        <v/>
      </c>
    </row>
    <row r="5277">
      <c r="A5277" t="inlineStr">
        <is>
          <t>29255793415</t>
        </is>
      </c>
      <c r="B5277" t="inlineStr">
        <is>
          <t>隔日到貨🔥 Airpods 保護套 A32 1代 2代 3代 pro pro2 耳機套 防摔 硬殼 保護殼 蘋果</t>
        </is>
      </c>
      <c r="C5277">
        <f>IMAGE("https://cf.shopee.tw/file/tw-11134207-7r98y-lxxop8ipb8s00d_tn")</f>
        <v/>
      </c>
      <c r="D5277" t="inlineStr">
        <is>
          <t>5. 棕色小熊,1代 / 2代</t>
        </is>
      </c>
      <c r="E5277" t="inlineStr"/>
      <c r="F5277">
        <f>IMAGE("https://cf.shopee.tw/file/tw-11134207-7r992-lxxop8io2asmc8_tn")</f>
        <v/>
      </c>
    </row>
    <row r="5278">
      <c r="A5278" t="inlineStr">
        <is>
          <t>29255793415</t>
        </is>
      </c>
      <c r="B5278" t="inlineStr">
        <is>
          <t>隔日到貨🔥 Airpods 保護套 A32 1代 2代 3代 pro pro2 耳機套 防摔 硬殼 保護殼 蘋果</t>
        </is>
      </c>
      <c r="C5278">
        <f>IMAGE("https://cf.shopee.tw/file/tw-11134207-7r98y-lxxop8ipb8s00d_tn")</f>
        <v/>
      </c>
      <c r="D5278" t="inlineStr">
        <is>
          <t>5. 棕色小熊,Pro1代/Pro2代 (通用）</t>
        </is>
      </c>
      <c r="E5278" t="inlineStr">
        <is>
          <t>195253273905</t>
        </is>
      </c>
      <c r="F5278">
        <f>IMAGE("https://cf.shopee.tw/file/tw-11134207-7r992-lxxop8io2asmc8_tn")</f>
        <v/>
      </c>
    </row>
    <row r="5279">
      <c r="A5279" t="inlineStr">
        <is>
          <t>29255793415</t>
        </is>
      </c>
      <c r="B5279" t="inlineStr">
        <is>
          <t>隔日到貨🔥 Airpods 保護套 A32 1代 2代 3代 pro pro2 耳機套 防摔 硬殼 保護殼 蘋果</t>
        </is>
      </c>
      <c r="C5279">
        <f>IMAGE("https://cf.shopee.tw/file/tw-11134207-7r98y-lxxop8ipb8s00d_tn")</f>
        <v/>
      </c>
      <c r="D5279" t="inlineStr">
        <is>
          <t>5. 棕色小熊,3代</t>
        </is>
      </c>
      <c r="E5279" t="inlineStr"/>
      <c r="F5279">
        <f>IMAGE("https://cf.shopee.tw/file/tw-11134207-7r992-lxxop8io2asmc8_tn")</f>
        <v/>
      </c>
    </row>
    <row r="5280">
      <c r="A5280" t="inlineStr">
        <is>
          <t>29255793415</t>
        </is>
      </c>
      <c r="B5280" t="inlineStr">
        <is>
          <t>隔日到貨🔥 Airpods 保護套 A32 1代 2代 3代 pro pro2 耳機套 防摔 硬殼 保護殼 蘋果</t>
        </is>
      </c>
      <c r="C5280">
        <f>IMAGE("https://cf.shopee.tw/file/tw-11134207-7r98y-lxxop8ipb8s00d_tn")</f>
        <v/>
      </c>
      <c r="D5280" t="inlineStr">
        <is>
          <t>7. 夢影小豬,1代 / 2代</t>
        </is>
      </c>
      <c r="E5280" t="inlineStr"/>
      <c r="F5280">
        <f>IMAGE("https://cf.shopee.tw/file/tw-11134207-7r98x-lxxop8iox7ae17_tn")</f>
        <v/>
      </c>
    </row>
    <row r="5281">
      <c r="A5281" t="inlineStr">
        <is>
          <t>29255793415</t>
        </is>
      </c>
      <c r="B5281" t="inlineStr">
        <is>
          <t>隔日到貨🔥 Airpods 保護套 A32 1代 2代 3代 pro pro2 耳機套 防摔 硬殼 保護殼 蘋果</t>
        </is>
      </c>
      <c r="C5281">
        <f>IMAGE("https://cf.shopee.tw/file/tw-11134207-7r98y-lxxop8ipb8s00d_tn")</f>
        <v/>
      </c>
      <c r="D5281" t="inlineStr">
        <is>
          <t>7. 夢影小豬,3代</t>
        </is>
      </c>
      <c r="E5281" t="inlineStr"/>
      <c r="F5281">
        <f>IMAGE("https://cf.shopee.tw/file/tw-11134207-7r98x-lxxop8iox7ae17_tn")</f>
        <v/>
      </c>
    </row>
    <row r="5282">
      <c r="A5282" t="inlineStr">
        <is>
          <t>29255793415</t>
        </is>
      </c>
      <c r="B5282" t="inlineStr">
        <is>
          <t>隔日到貨🔥 Airpods 保護套 A32 1代 2代 3代 pro pro2 耳機套 防摔 硬殼 保護殼 蘋果</t>
        </is>
      </c>
      <c r="C5282">
        <f>IMAGE("https://cf.shopee.tw/file/tw-11134207-7r98y-lxxop8ipb8s00d_tn")</f>
        <v/>
      </c>
      <c r="D5282" t="inlineStr">
        <is>
          <t>8. 奶酪相框,Pro1代/Pro2代 (通用）</t>
        </is>
      </c>
      <c r="E5282" t="inlineStr"/>
      <c r="F5282">
        <f>IMAGE("https://cf.shopee.tw/file/tw-11134207-7r98q-lxxop8ips3lcf1_tn")</f>
        <v/>
      </c>
    </row>
    <row r="5283">
      <c r="A5283" t="inlineStr">
        <is>
          <t>29255793415</t>
        </is>
      </c>
      <c r="B5283" t="inlineStr">
        <is>
          <t>隔日到貨🔥 Airpods 保護套 A32 1代 2代 3代 pro pro2 耳機套 防摔 硬殼 保護殼 蘋果</t>
        </is>
      </c>
      <c r="C5283">
        <f>IMAGE("https://cf.shopee.tw/file/tw-11134207-7r98y-lxxop8ipb8s00d_tn")</f>
        <v/>
      </c>
      <c r="D5283" t="inlineStr">
        <is>
          <t>9. 甜甜圈,1代 / 2代</t>
        </is>
      </c>
      <c r="E5283" t="inlineStr"/>
      <c r="F5283">
        <f>IMAGE("https://cf.shopee.tw/file/tw-11134207-7r98x-lxxop8ipcnja3b_tn")</f>
        <v/>
      </c>
    </row>
    <row r="5284">
      <c r="A5284" t="inlineStr">
        <is>
          <t>29255793415</t>
        </is>
      </c>
      <c r="B5284" t="inlineStr">
        <is>
          <t>隔日到貨🔥 Airpods 保護套 A32 1代 2代 3代 pro pro2 耳機套 防摔 硬殼 保護殼 蘋果</t>
        </is>
      </c>
      <c r="C5284">
        <f>IMAGE("https://cf.shopee.tw/file/tw-11134207-7r98y-lxxop8ipb8s00d_tn")</f>
        <v/>
      </c>
      <c r="D5284" t="inlineStr">
        <is>
          <t>9. 甜甜圈,Pro1代/Pro2代 (通用）</t>
        </is>
      </c>
      <c r="E5284" t="inlineStr"/>
      <c r="F5284">
        <f>IMAGE("https://cf.shopee.tw/file/tw-11134207-7r98x-lxxop8ipcnja3b_tn")</f>
        <v/>
      </c>
    </row>
    <row r="5285">
      <c r="A5285" t="inlineStr">
        <is>
          <t>29255793415</t>
        </is>
      </c>
      <c r="B5285" t="inlineStr">
        <is>
          <t>隔日到貨🔥 Airpods 保護套 A32 1代 2代 3代 pro pro2 耳機套 防摔 硬殼 保護殼 蘋果</t>
        </is>
      </c>
      <c r="C5285">
        <f>IMAGE("https://cf.shopee.tw/file/tw-11134207-7r98y-lxxop8ipb8s00d_tn")</f>
        <v/>
      </c>
      <c r="D5285" t="inlineStr">
        <is>
          <t>9. 甜甜圈,3代</t>
        </is>
      </c>
      <c r="E5285" t="inlineStr"/>
      <c r="F5285">
        <f>IMAGE("https://cf.shopee.tw/file/tw-11134207-7r98x-lxxop8ipcnja3b_tn")</f>
        <v/>
      </c>
    </row>
    <row r="5286">
      <c r="A5286" t="inlineStr">
        <is>
          <t>18527128082</t>
        </is>
      </c>
      <c r="B5286" t="inlineStr">
        <is>
          <t>隔日到貨🔥 ins 微醺蜜桃 Airpods保護殼 1代 2代 pro 3代 附掛鉤 A8 軟殼 保護殼 耳機殼</t>
        </is>
      </c>
      <c r="C5286">
        <f>IMAGE("https://cf.shopee.tw/file/tw-11134207-23020-8u8btvu3b0mv79_tn")</f>
        <v/>
      </c>
      <c r="D5286" t="inlineStr">
        <is>
          <t>白色微醺藍,Pro1代/Pro2代 (通用）</t>
        </is>
      </c>
      <c r="E5286" t="inlineStr"/>
      <c r="F5286">
        <f>IMAGE("https://cf.shopee.tw/file/d5610579912e99c730ef1e54a9ba52d3_tn")</f>
        <v/>
      </c>
    </row>
    <row r="5287">
      <c r="A5287" t="inlineStr">
        <is>
          <t>18527128082</t>
        </is>
      </c>
      <c r="B5287" t="inlineStr">
        <is>
          <t>隔日到貨🔥 ins 微醺蜜桃 Airpods保護殼 1代 2代 pro 3代 附掛鉤 A8 軟殼 保護殼 耳機殼</t>
        </is>
      </c>
      <c r="C5287">
        <f>IMAGE("https://cf.shopee.tw/file/tw-11134207-23020-8u8btvu3b0mv79_tn")</f>
        <v/>
      </c>
      <c r="D5287" t="inlineStr">
        <is>
          <t>微醺粉,1/2代</t>
        </is>
      </c>
      <c r="E5287" t="inlineStr"/>
      <c r="F5287">
        <f>IMAGE("https://cf.shopee.tw/file/0364e5144755bab86d74c19f0705f48a_tn")</f>
        <v/>
      </c>
    </row>
    <row r="5288">
      <c r="A5288" t="inlineStr">
        <is>
          <t>18527128082</t>
        </is>
      </c>
      <c r="B5288" t="inlineStr">
        <is>
          <t>隔日到貨🔥 ins 微醺蜜桃 Airpods保護殼 1代 2代 pro 3代 附掛鉤 A8 軟殼 保護殼 耳機殼</t>
        </is>
      </c>
      <c r="C5288">
        <f>IMAGE("https://cf.shopee.tw/file/tw-11134207-23020-8u8btvu3b0mv79_tn")</f>
        <v/>
      </c>
      <c r="D5288" t="inlineStr">
        <is>
          <t>微醺粉,Pro1代/Pro2代 (通用）</t>
        </is>
      </c>
      <c r="E5288" t="inlineStr"/>
      <c r="F5288">
        <f>IMAGE("https://cf.shopee.tw/file/0364e5144755bab86d74c19f0705f48a_tn")</f>
        <v/>
      </c>
    </row>
    <row r="5289">
      <c r="A5289" t="inlineStr">
        <is>
          <t>18527128082</t>
        </is>
      </c>
      <c r="B5289" t="inlineStr">
        <is>
          <t>隔日到貨🔥 ins 微醺蜜桃 Airpods保護殼 1代 2代 pro 3代 附掛鉤 A8 軟殼 保護殼 耳機殼</t>
        </is>
      </c>
      <c r="C5289">
        <f>IMAGE("https://cf.shopee.tw/file/tw-11134207-23020-8u8btvu3b0mv79_tn")</f>
        <v/>
      </c>
      <c r="D5289" t="inlineStr">
        <is>
          <t>微醺粉,3代</t>
        </is>
      </c>
      <c r="E5289" t="inlineStr">
        <is>
          <t>68961789708</t>
        </is>
      </c>
      <c r="F5289">
        <f>IMAGE("https://cf.shopee.tw/file/0364e5144755bab86d74c19f0705f48a_tn")</f>
        <v/>
      </c>
    </row>
    <row r="5290">
      <c r="A5290" t="inlineStr">
        <is>
          <t>18527128082</t>
        </is>
      </c>
      <c r="B5290" t="inlineStr">
        <is>
          <t>隔日到貨🔥 ins 微醺蜜桃 Airpods保護殼 1代 2代 pro 3代 附掛鉤 A8 軟殼 保護殼 耳機殼</t>
        </is>
      </c>
      <c r="C5290">
        <f>IMAGE("https://cf.shopee.tw/file/tw-11134207-23020-8u8btvu3b0mv79_tn")</f>
        <v/>
      </c>
      <c r="D5290" t="inlineStr">
        <is>
          <t>白色微醺藍,1/2代</t>
        </is>
      </c>
      <c r="E5290" t="inlineStr"/>
      <c r="F5290">
        <f>IMAGE("https://cf.shopee.tw/file/d5610579912e99c730ef1e54a9ba52d3_tn")</f>
        <v/>
      </c>
    </row>
    <row r="5291">
      <c r="A5291" t="inlineStr">
        <is>
          <t>18527128082</t>
        </is>
      </c>
      <c r="B5291" t="inlineStr">
        <is>
          <t>隔日到貨🔥 ins 微醺蜜桃 Airpods保護殼 1代 2代 pro 3代 附掛鉤 A8 軟殼 保護殼 耳機殼</t>
        </is>
      </c>
      <c r="C5291">
        <f>IMAGE("https://cf.shopee.tw/file/tw-11134207-23020-8u8btvu3b0mv79_tn")</f>
        <v/>
      </c>
      <c r="D5291" t="inlineStr">
        <is>
          <t>白色微醺藍,3代</t>
        </is>
      </c>
      <c r="E5291" t="inlineStr">
        <is>
          <t>68961789705</t>
        </is>
      </c>
      <c r="F5291">
        <f>IMAGE("https://cf.shopee.tw/file/d5610579912e99c730ef1e54a9ba52d3_tn")</f>
        <v/>
      </c>
    </row>
    <row r="5292">
      <c r="A5292" t="inlineStr">
        <is>
          <t>18527128082</t>
        </is>
      </c>
      <c r="B5292" t="inlineStr">
        <is>
          <t>隔日到貨🔥 ins 微醺蜜桃 Airpods保護殼 1代 2代 pro 3代 附掛鉤 A8 軟殼 保護殼 耳機殼</t>
        </is>
      </c>
      <c r="C5292">
        <f>IMAGE("https://cf.shopee.tw/file/tw-11134207-23020-8u8btvu3b0mv79_tn")</f>
        <v/>
      </c>
      <c r="D5292" t="inlineStr">
        <is>
          <t>微醺橙,1/2代</t>
        </is>
      </c>
      <c r="E5292" t="inlineStr"/>
      <c r="F5292">
        <f>IMAGE("https://cf.shopee.tw/file/89584e3e47a113332d3bd2d72b149a8c_tn")</f>
        <v/>
      </c>
    </row>
    <row r="5293">
      <c r="A5293" t="inlineStr">
        <is>
          <t>18527128082</t>
        </is>
      </c>
      <c r="B5293" t="inlineStr">
        <is>
          <t>隔日到貨🔥 ins 微醺蜜桃 Airpods保護殼 1代 2代 pro 3代 附掛鉤 A8 軟殼 保護殼 耳機殼</t>
        </is>
      </c>
      <c r="C5293">
        <f>IMAGE("https://cf.shopee.tw/file/tw-11134207-23020-8u8btvu3b0mv79_tn")</f>
        <v/>
      </c>
      <c r="D5293" t="inlineStr">
        <is>
          <t>微醺橙,Pro1代/Pro2代 (通用）</t>
        </is>
      </c>
      <c r="E5293" t="inlineStr"/>
      <c r="F5293">
        <f>IMAGE("https://cf.shopee.tw/file/89584e3e47a113332d3bd2d72b149a8c_tn")</f>
        <v/>
      </c>
    </row>
    <row r="5294">
      <c r="A5294" t="inlineStr">
        <is>
          <t>18527128082</t>
        </is>
      </c>
      <c r="B5294" t="inlineStr">
        <is>
          <t>隔日到貨🔥 ins 微醺蜜桃 Airpods保護殼 1代 2代 pro 3代 附掛鉤 A8 軟殼 保護殼 耳機殼</t>
        </is>
      </c>
      <c r="C5294">
        <f>IMAGE("https://cf.shopee.tw/file/tw-11134207-23020-8u8btvu3b0mv79_tn")</f>
        <v/>
      </c>
      <c r="D5294" t="inlineStr">
        <is>
          <t>微醺橙,3代</t>
        </is>
      </c>
      <c r="E5294" t="inlineStr"/>
      <c r="F5294">
        <f>IMAGE("https://cf.shopee.tw/file/89584e3e47a113332d3bd2d72b149a8c_tn")</f>
        <v/>
      </c>
    </row>
    <row r="5295">
      <c r="A5295" t="inlineStr">
        <is>
          <t>3241091515</t>
        </is>
      </c>
      <c r="B5295" t="inlineStr">
        <is>
          <t>隔日到貨🔥 楓葉棒球帽 鴨舌帽 刺繡 老帽 可調整 男女皆可 簡約 潮帽 遮陽帽 好看帽 潮流帽 百搭帽 韓系</t>
        </is>
      </c>
      <c r="C5295">
        <f>IMAGE("https://cf.shopee.tw/file/tw-11134207-7r98o-lknhvq3s764faf_tn")</f>
        <v/>
      </c>
      <c r="D5295" t="inlineStr">
        <is>
          <t>黑色,M (56-58cm)</t>
        </is>
      </c>
      <c r="E5295" t="inlineStr"/>
      <c r="F5295">
        <f>IMAGE("https://cf.shopee.tw/file/fe87205590c56746275a642588b36199_tn")</f>
        <v/>
      </c>
    </row>
    <row r="5296">
      <c r="A5296" t="inlineStr">
        <is>
          <t>3241091515</t>
        </is>
      </c>
      <c r="B5296" t="inlineStr">
        <is>
          <t>隔日到貨🔥 楓葉棒球帽 鴨舌帽 刺繡 老帽 可調整 男女皆可 簡約 潮帽 遮陽帽 好看帽 潮流帽 百搭帽 韓系</t>
        </is>
      </c>
      <c r="C5296">
        <f>IMAGE("https://cf.shopee.tw/file/tw-11134207-7r98o-lknhvq3s764faf_tn")</f>
        <v/>
      </c>
      <c r="D5296" t="inlineStr">
        <is>
          <t>卡其色,M (56-58cm)</t>
        </is>
      </c>
      <c r="E5296" t="inlineStr"/>
      <c r="F5296">
        <f>IMAGE("https://cf.shopee.tw/file/677471549366c96261a40a1a2f02ea02_tn")</f>
        <v/>
      </c>
    </row>
    <row r="5297">
      <c r="A5297" t="inlineStr">
        <is>
          <t>3241091515</t>
        </is>
      </c>
      <c r="B5297" t="inlineStr">
        <is>
          <t>隔日到貨🔥 楓葉棒球帽 鴨舌帽 刺繡 老帽 可調整 男女皆可 簡約 潮帽 遮陽帽 好看帽 潮流帽 百搭帽 韓系</t>
        </is>
      </c>
      <c r="C5297">
        <f>IMAGE("https://cf.shopee.tw/file/tw-11134207-7r98o-lknhvq3s764faf_tn")</f>
        <v/>
      </c>
      <c r="D5297" t="inlineStr">
        <is>
          <t>橘色,M (56-58cm)</t>
        </is>
      </c>
      <c r="E5297" t="inlineStr"/>
      <c r="F5297">
        <f>IMAGE("https://cf.shopee.tw/file/caa2cea2708106601756c95de38c0439_tn")</f>
        <v/>
      </c>
    </row>
    <row r="5298">
      <c r="A5298" t="inlineStr">
        <is>
          <t>3241091515</t>
        </is>
      </c>
      <c r="B5298" t="inlineStr">
        <is>
          <t>隔日到貨🔥 楓葉棒球帽 鴨舌帽 刺繡 老帽 可調整 男女皆可 簡約 潮帽 遮陽帽 好看帽 潮流帽 百搭帽 韓系</t>
        </is>
      </c>
      <c r="C5298">
        <f>IMAGE("https://cf.shopee.tw/file/tw-11134207-7r98o-lknhvq3s764faf_tn")</f>
        <v/>
      </c>
      <c r="D5298" t="inlineStr">
        <is>
          <t>藍色,M (56-58cm)</t>
        </is>
      </c>
      <c r="E5298" t="inlineStr"/>
      <c r="F5298">
        <f>IMAGE("https://cf.shopee.tw/file/4c802d6f1f02eef57f5449370f678e65_tn")</f>
        <v/>
      </c>
    </row>
    <row r="5299">
      <c r="A5299" t="inlineStr">
        <is>
          <t>3241091515</t>
        </is>
      </c>
      <c r="B5299" t="inlineStr">
        <is>
          <t>隔日到貨🔥 楓葉棒球帽 鴨舌帽 刺繡 老帽 可調整 男女皆可 簡約 潮帽 遮陽帽 好看帽 潮流帽 百搭帽 韓系</t>
        </is>
      </c>
      <c r="C5299">
        <f>IMAGE("https://cf.shopee.tw/file/tw-11134207-7r98o-lknhvq3s764faf_tn")</f>
        <v/>
      </c>
      <c r="D5299" t="inlineStr">
        <is>
          <t>米白色,M (56-58cm)</t>
        </is>
      </c>
      <c r="E5299" t="inlineStr">
        <is>
          <t>50193954521</t>
        </is>
      </c>
      <c r="F5299">
        <f>IMAGE("https://cf.shopee.tw/file/tw-11134207-7r98o-lknhvq3s75ts51_tn")</f>
        <v/>
      </c>
    </row>
    <row r="5300">
      <c r="A5300" t="inlineStr">
        <is>
          <t>3241091515</t>
        </is>
      </c>
      <c r="B5300" t="inlineStr">
        <is>
          <t>隔日到貨🔥 楓葉棒球帽 鴨舌帽 刺繡 老帽 可調整 男女皆可 簡約 潮帽 遮陽帽 好看帽 潮流帽 百搭帽 韓系</t>
        </is>
      </c>
      <c r="C5300">
        <f>IMAGE("https://cf.shopee.tw/file/tw-11134207-7r98o-lknhvq3s764faf_tn")</f>
        <v/>
      </c>
      <c r="D5300" t="inlineStr">
        <is>
          <t>綠色,M (56-58cm)</t>
        </is>
      </c>
      <c r="E5300" t="inlineStr"/>
      <c r="F5300">
        <f>IMAGE("https://cf.shopee.tw/file/2f9fb9fc741361d9ffad5b0335b6b4ac_tn")</f>
        <v/>
      </c>
    </row>
    <row r="5301">
      <c r="A5301" t="inlineStr">
        <is>
          <t>9211504495</t>
        </is>
      </c>
      <c r="B5301" t="inlineStr">
        <is>
          <t>隔日到貨🔥 iPhone 手機殼 14 pro 13 12 11 XR 防摔殼 空壓殼 四角獸 保護殼 防撞 蘋果</t>
        </is>
      </c>
      <c r="C5301">
        <f>IMAGE("https://cf.shopee.tw/file/e411de92386050abde0ed813aeda81fd_tn")</f>
        <v/>
      </c>
      <c r="D5301" t="inlineStr">
        <is>
          <t>TPU 防摔殼 - 透明殼,7 / 8 / SE2 / SE3</t>
        </is>
      </c>
      <c r="E5301" t="inlineStr"/>
      <c r="F5301">
        <f>IMAGE("https://cf.shopee.tw/file/b7fa5b79b5e8d411cd087bcf6359513f_tn")</f>
        <v/>
      </c>
    </row>
    <row r="5302">
      <c r="A5302" t="inlineStr">
        <is>
          <t>9211504495</t>
        </is>
      </c>
      <c r="B5302" t="inlineStr">
        <is>
          <t>隔日到貨🔥 iPhone 手機殼 14 pro 13 12 11 XR 防摔殼 空壓殼 四角獸 保護殼 防撞 蘋果</t>
        </is>
      </c>
      <c r="C5302">
        <f>IMAGE("https://cf.shopee.tw/file/e411de92386050abde0ed813aeda81fd_tn")</f>
        <v/>
      </c>
      <c r="D5302" t="inlineStr">
        <is>
          <t>TPU 防摔殼 - 透明殼,7plus / 8 plus</t>
        </is>
      </c>
      <c r="E5302" t="inlineStr"/>
      <c r="F5302">
        <f>IMAGE("https://cf.shopee.tw/file/b7fa5b79b5e8d411cd087bcf6359513f_tn")</f>
        <v/>
      </c>
    </row>
    <row r="5303">
      <c r="A5303" t="inlineStr">
        <is>
          <t>9211504495</t>
        </is>
      </c>
      <c r="B5303" t="inlineStr">
        <is>
          <t>隔日到貨🔥 iPhone 手機殼 14 pro 13 12 11 XR 防摔殼 空壓殼 四角獸 保護殼 防撞 蘋果</t>
        </is>
      </c>
      <c r="C5303">
        <f>IMAGE("https://cf.shopee.tw/file/e411de92386050abde0ed813aeda81fd_tn")</f>
        <v/>
      </c>
      <c r="D5303" t="inlineStr">
        <is>
          <t>TPU 防摔殼 - 透明殼,X / XS</t>
        </is>
      </c>
      <c r="E5303" t="inlineStr"/>
      <c r="F5303">
        <f>IMAGE("https://cf.shopee.tw/file/b7fa5b79b5e8d411cd087bcf6359513f_tn")</f>
        <v/>
      </c>
    </row>
    <row r="5304">
      <c r="A5304" t="inlineStr">
        <is>
          <t>9211504495</t>
        </is>
      </c>
      <c r="B5304" t="inlineStr">
        <is>
          <t>隔日到貨🔥 iPhone 手機殼 14 pro 13 12 11 XR 防摔殼 空壓殼 四角獸 保護殼 防撞 蘋果</t>
        </is>
      </c>
      <c r="C5304">
        <f>IMAGE("https://cf.shopee.tw/file/e411de92386050abde0ed813aeda81fd_tn")</f>
        <v/>
      </c>
      <c r="D5304" t="inlineStr">
        <is>
          <t>TPU 防摔殼 - 透明殼,XR</t>
        </is>
      </c>
      <c r="E5304" t="inlineStr"/>
      <c r="F5304">
        <f>IMAGE("https://cf.shopee.tw/file/b7fa5b79b5e8d411cd087bcf6359513f_tn")</f>
        <v/>
      </c>
    </row>
    <row r="5305">
      <c r="A5305" t="inlineStr">
        <is>
          <t>9211504495</t>
        </is>
      </c>
      <c r="B5305" t="inlineStr">
        <is>
          <t>隔日到貨🔥 iPhone 手機殼 14 pro 13 12 11 XR 防摔殼 空壓殼 四角獸 保護殼 防撞 蘋果</t>
        </is>
      </c>
      <c r="C5305">
        <f>IMAGE("https://cf.shopee.tw/file/e411de92386050abde0ed813aeda81fd_tn")</f>
        <v/>
      </c>
      <c r="D5305" t="inlineStr">
        <is>
          <t>TPU 防摔殼 - 透明殼,11 Pro</t>
        </is>
      </c>
      <c r="E5305" t="inlineStr"/>
      <c r="F5305">
        <f>IMAGE("https://cf.shopee.tw/file/b7fa5b79b5e8d411cd087bcf6359513f_tn")</f>
        <v/>
      </c>
    </row>
    <row r="5306">
      <c r="A5306" t="inlineStr">
        <is>
          <t>9211504495</t>
        </is>
      </c>
      <c r="B5306" t="inlineStr">
        <is>
          <t>隔日到貨🔥 iPhone 手機殼 14 pro 13 12 11 XR 防摔殼 空壓殼 四角獸 保護殼 防撞 蘋果</t>
        </is>
      </c>
      <c r="C5306">
        <f>IMAGE("https://cf.shopee.tw/file/e411de92386050abde0ed813aeda81fd_tn")</f>
        <v/>
      </c>
      <c r="D5306" t="inlineStr">
        <is>
          <t>TPU 防摔殼 - 透明殼,11 Pro Max</t>
        </is>
      </c>
      <c r="E5306" t="inlineStr"/>
      <c r="F5306">
        <f>IMAGE("https://cf.shopee.tw/file/b7fa5b79b5e8d411cd087bcf6359513f_tn")</f>
        <v/>
      </c>
    </row>
    <row r="5307">
      <c r="A5307" t="inlineStr">
        <is>
          <t>9211504495</t>
        </is>
      </c>
      <c r="B5307" t="inlineStr">
        <is>
          <t>隔日到貨🔥 iPhone 手機殼 14 pro 13 12 11 XR 防摔殼 空壓殼 四角獸 保護殼 防撞 蘋果</t>
        </is>
      </c>
      <c r="C5307">
        <f>IMAGE("https://cf.shopee.tw/file/e411de92386050abde0ed813aeda81fd_tn")</f>
        <v/>
      </c>
      <c r="D5307" t="inlineStr">
        <is>
          <t>TPU 防摔殼 - 透明殼,12 Pro Max</t>
        </is>
      </c>
      <c r="E5307" t="inlineStr"/>
      <c r="F5307">
        <f>IMAGE("https://cf.shopee.tw/file/b7fa5b79b5e8d411cd087bcf6359513f_tn")</f>
        <v/>
      </c>
    </row>
    <row r="5308">
      <c r="A5308" t="inlineStr">
        <is>
          <t>9211504495</t>
        </is>
      </c>
      <c r="B5308" t="inlineStr">
        <is>
          <t>隔日到貨🔥 iPhone 手機殼 14 pro 13 12 11 XR 防摔殼 空壓殼 四角獸 保護殼 防撞 蘋果</t>
        </is>
      </c>
      <c r="C5308">
        <f>IMAGE("https://cf.shopee.tw/file/e411de92386050abde0ed813aeda81fd_tn")</f>
        <v/>
      </c>
      <c r="D5308" t="inlineStr">
        <is>
          <t>TPU 防摔殼 - 透明殼,12 mini</t>
        </is>
      </c>
      <c r="E5308" t="inlineStr"/>
      <c r="F5308">
        <f>IMAGE("https://cf.shopee.tw/file/b7fa5b79b5e8d411cd087bcf6359513f_tn")</f>
        <v/>
      </c>
    </row>
    <row r="5309">
      <c r="A5309" t="inlineStr">
        <is>
          <t>9211504495</t>
        </is>
      </c>
      <c r="B5309" t="inlineStr">
        <is>
          <t>隔日到貨🔥 iPhone 手機殼 14 pro 13 12 11 XR 防摔殼 空壓殼 四角獸 保護殼 防撞 蘋果</t>
        </is>
      </c>
      <c r="C5309">
        <f>IMAGE("https://cf.shopee.tw/file/e411de92386050abde0ed813aeda81fd_tn")</f>
        <v/>
      </c>
      <c r="D5309" t="inlineStr">
        <is>
          <t>TPU 防摔殼 - 透明殼,XS Max</t>
        </is>
      </c>
      <c r="E5309" t="inlineStr"/>
      <c r="F5309">
        <f>IMAGE("https://cf.shopee.tw/file/b7fa5b79b5e8d411cd087bcf6359513f_tn")</f>
        <v/>
      </c>
    </row>
    <row r="5310">
      <c r="A5310" t="inlineStr">
        <is>
          <t>9211504495</t>
        </is>
      </c>
      <c r="B5310" t="inlineStr">
        <is>
          <t>隔日到貨🔥 iPhone 手機殼 14 pro 13 12 11 XR 防摔殼 空壓殼 四角獸 保護殼 防撞 蘋果</t>
        </is>
      </c>
      <c r="C5310">
        <f>IMAGE("https://cf.shopee.tw/file/e411de92386050abde0ed813aeda81fd_tn")</f>
        <v/>
      </c>
      <c r="D5310" t="inlineStr">
        <is>
          <t>TPU 防摔殼 - 透明殼,13</t>
        </is>
      </c>
      <c r="E5310" t="inlineStr"/>
      <c r="F5310">
        <f>IMAGE("https://cf.shopee.tw/file/b7fa5b79b5e8d411cd087bcf6359513f_tn")</f>
        <v/>
      </c>
    </row>
    <row r="5311">
      <c r="A5311" t="inlineStr">
        <is>
          <t>9211504495</t>
        </is>
      </c>
      <c r="B5311" t="inlineStr">
        <is>
          <t>隔日到貨🔥 iPhone 手機殼 14 pro 13 12 11 XR 防摔殼 空壓殼 四角獸 保護殼 防撞 蘋果</t>
        </is>
      </c>
      <c r="C5311">
        <f>IMAGE("https://cf.shopee.tw/file/e411de92386050abde0ed813aeda81fd_tn")</f>
        <v/>
      </c>
      <c r="D5311" t="inlineStr">
        <is>
          <t>TPU 防摔殼 - 透明殼,13 Pro</t>
        </is>
      </c>
      <c r="E5311" t="inlineStr"/>
      <c r="F5311">
        <f>IMAGE("https://cf.shopee.tw/file/b7fa5b79b5e8d411cd087bcf6359513f_tn")</f>
        <v/>
      </c>
    </row>
    <row r="5312">
      <c r="A5312" t="inlineStr">
        <is>
          <t>9211504495</t>
        </is>
      </c>
      <c r="B5312" t="inlineStr">
        <is>
          <t>隔日到貨🔥 iPhone 手機殼 14 pro 13 12 11 XR 防摔殼 空壓殼 四角獸 保護殼 防撞 蘋果</t>
        </is>
      </c>
      <c r="C5312">
        <f>IMAGE("https://cf.shopee.tw/file/e411de92386050abde0ed813aeda81fd_tn")</f>
        <v/>
      </c>
      <c r="D5312" t="inlineStr">
        <is>
          <t>TPU 防摔殼 - 透明殼,14 Plus</t>
        </is>
      </c>
      <c r="E5312" t="inlineStr"/>
      <c r="F5312">
        <f>IMAGE("https://cf.shopee.tw/file/b7fa5b79b5e8d411cd087bcf6359513f_tn")</f>
        <v/>
      </c>
    </row>
    <row r="5313">
      <c r="A5313" t="inlineStr">
        <is>
          <t>9211504495</t>
        </is>
      </c>
      <c r="B5313" t="inlineStr">
        <is>
          <t>隔日到貨🔥 iPhone 手機殼 14 pro 13 12 11 XR 防摔殼 空壓殼 四角獸 保護殼 防撞 蘋果</t>
        </is>
      </c>
      <c r="C5313">
        <f>IMAGE("https://cf.shopee.tw/file/e411de92386050abde0ed813aeda81fd_tn")</f>
        <v/>
      </c>
      <c r="D5313" t="inlineStr">
        <is>
          <t>TPU 防摔殼 - 透明殼,14 pro</t>
        </is>
      </c>
      <c r="E5313" t="inlineStr"/>
      <c r="F5313">
        <f>IMAGE("https://cf.shopee.tw/file/b7fa5b79b5e8d411cd087bcf6359513f_tn")</f>
        <v/>
      </c>
    </row>
    <row r="5314">
      <c r="A5314" t="inlineStr">
        <is>
          <t>9211504495</t>
        </is>
      </c>
      <c r="B5314" t="inlineStr">
        <is>
          <t>隔日到貨🔥 iPhone 手機殼 14 pro 13 12 11 XR 防摔殼 空壓殼 四角獸 保護殼 防撞 蘋果</t>
        </is>
      </c>
      <c r="C5314">
        <f>IMAGE("https://cf.shopee.tw/file/e411de92386050abde0ed813aeda81fd_tn")</f>
        <v/>
      </c>
      <c r="D5314" t="inlineStr">
        <is>
          <t>TPU 防摔殼 - 透明殼,12 pro</t>
        </is>
      </c>
      <c r="E5314" t="inlineStr"/>
      <c r="F5314">
        <f>IMAGE("https://cf.shopee.tw/file/b7fa5b79b5e8d411cd087bcf6359513f_tn")</f>
        <v/>
      </c>
    </row>
    <row r="5315">
      <c r="A5315" t="inlineStr">
        <is>
          <t>9211504495</t>
        </is>
      </c>
      <c r="B5315" t="inlineStr">
        <is>
          <t>隔日到貨🔥 iPhone 手機殼 14 pro 13 12 11 XR 防摔殼 空壓殼 四角獸 保護殼 防撞 蘋果</t>
        </is>
      </c>
      <c r="C5315">
        <f>IMAGE("https://cf.shopee.tw/file/e411de92386050abde0ed813aeda81fd_tn")</f>
        <v/>
      </c>
      <c r="D5315" t="inlineStr">
        <is>
          <t>TPU 防摔殼 - 透明殼,11</t>
        </is>
      </c>
      <c r="E5315" t="inlineStr"/>
      <c r="F5315">
        <f>IMAGE("https://cf.shopee.tw/file/b7fa5b79b5e8d411cd087bcf6359513f_tn")</f>
        <v/>
      </c>
    </row>
    <row r="5316">
      <c r="A5316" t="inlineStr">
        <is>
          <t>9211504495</t>
        </is>
      </c>
      <c r="B5316" t="inlineStr">
        <is>
          <t>隔日到貨🔥 iPhone 手機殼 14 pro 13 12 11 XR 防摔殼 空壓殼 四角獸 保護殼 防撞 蘋果</t>
        </is>
      </c>
      <c r="C5316">
        <f>IMAGE("https://cf.shopee.tw/file/e411de92386050abde0ed813aeda81fd_tn")</f>
        <v/>
      </c>
      <c r="D5316" t="inlineStr">
        <is>
          <t>TPU 防摔殼 - 透明殼,12</t>
        </is>
      </c>
      <c r="E5316" t="inlineStr"/>
      <c r="F5316">
        <f>IMAGE("https://cf.shopee.tw/file/b7fa5b79b5e8d411cd087bcf6359513f_tn")</f>
        <v/>
      </c>
    </row>
    <row r="5317">
      <c r="A5317" t="inlineStr">
        <is>
          <t>9211504495</t>
        </is>
      </c>
      <c r="B5317" t="inlineStr">
        <is>
          <t>隔日到貨🔥 iPhone 手機殼 14 pro 13 12 11 XR 防摔殼 空壓殼 四角獸 保護殼 防撞 蘋果</t>
        </is>
      </c>
      <c r="C5317">
        <f>IMAGE("https://cf.shopee.tw/file/e411de92386050abde0ed813aeda81fd_tn")</f>
        <v/>
      </c>
      <c r="D5317" t="inlineStr">
        <is>
          <t>TPU 防摔殼 - 透明殼,13 Pro Max</t>
        </is>
      </c>
      <c r="E5317" t="inlineStr"/>
      <c r="F5317">
        <f>IMAGE("https://cf.shopee.tw/file/b7fa5b79b5e8d411cd087bcf6359513f_tn")</f>
        <v/>
      </c>
    </row>
    <row r="5318">
      <c r="A5318" t="inlineStr">
        <is>
          <t>9211504495</t>
        </is>
      </c>
      <c r="B5318" t="inlineStr">
        <is>
          <t>隔日到貨🔥 iPhone 手機殼 14 pro 13 12 11 XR 防摔殼 空壓殼 四角獸 保護殼 防撞 蘋果</t>
        </is>
      </c>
      <c r="C5318">
        <f>IMAGE("https://cf.shopee.tw/file/e411de92386050abde0ed813aeda81fd_tn")</f>
        <v/>
      </c>
      <c r="D5318" t="inlineStr">
        <is>
          <t>TPU 防摔殼 - 透明殼,14</t>
        </is>
      </c>
      <c r="E5318" t="inlineStr"/>
      <c r="F5318">
        <f>IMAGE("https://cf.shopee.tw/file/b7fa5b79b5e8d411cd087bcf6359513f_tn")</f>
        <v/>
      </c>
    </row>
    <row r="5319">
      <c r="A5319" t="inlineStr">
        <is>
          <t>9211504495</t>
        </is>
      </c>
      <c r="B5319" t="inlineStr">
        <is>
          <t>隔日到貨🔥 iPhone 手機殼 14 pro 13 12 11 XR 防摔殼 空壓殼 四角獸 保護殼 防撞 蘋果</t>
        </is>
      </c>
      <c r="C5319">
        <f>IMAGE("https://cf.shopee.tw/file/e411de92386050abde0ed813aeda81fd_tn")</f>
        <v/>
      </c>
      <c r="D5319" t="inlineStr">
        <is>
          <t>TPU 防摔殼 - 透明殼,14 pro Max</t>
        </is>
      </c>
      <c r="E5319" t="inlineStr"/>
      <c r="F5319">
        <f>IMAGE("https://cf.shopee.tw/file/b7fa5b79b5e8d411cd087bcf6359513f_tn")</f>
        <v/>
      </c>
    </row>
    <row r="5320">
      <c r="A5320" t="inlineStr">
        <is>
          <t>9778519442</t>
        </is>
      </c>
      <c r="B5320" t="inlineStr">
        <is>
          <t>隔日到貨🔥 帆布袋 杯套 杯袋 飲料提袋 飲料袋 環保袋 手搖飲料袋 飲料袋 提袋 方便 便攜 棉麻 飲料杯套</t>
        </is>
      </c>
      <c r="C5320">
        <f>IMAGE("https://cf.shopee.tw/file/ce72bb726e48c9522753ae3cdbcd8a1d_tn")</f>
        <v/>
      </c>
      <c r="D5320" t="inlineStr">
        <is>
          <t>A01</t>
        </is>
      </c>
      <c r="E5320" t="inlineStr"/>
      <c r="F5320">
        <f>IMAGE("https://cf.shopee.tw/file/5773f95d653056bb882f03ed46f6af50_tn")</f>
        <v/>
      </c>
    </row>
    <row r="5321">
      <c r="A5321" t="inlineStr">
        <is>
          <t>9778519442</t>
        </is>
      </c>
      <c r="B5321" t="inlineStr">
        <is>
          <t>隔日到貨🔥 帆布袋 杯套 杯袋 飲料提袋 飲料袋 環保袋 手搖飲料袋 飲料袋 提袋 方便 便攜 棉麻 飲料杯套</t>
        </is>
      </c>
      <c r="C5321">
        <f>IMAGE("https://cf.shopee.tw/file/ce72bb726e48c9522753ae3cdbcd8a1d_tn")</f>
        <v/>
      </c>
      <c r="D5321" t="inlineStr">
        <is>
          <t>A02</t>
        </is>
      </c>
      <c r="E5321" t="inlineStr"/>
      <c r="F5321">
        <f>IMAGE("https://cf.shopee.tw/file/fb48fb5b2d92840ee81eff670caafe06_tn")</f>
        <v/>
      </c>
    </row>
    <row r="5322">
      <c r="A5322" t="inlineStr">
        <is>
          <t>9778519442</t>
        </is>
      </c>
      <c r="B5322" t="inlineStr">
        <is>
          <t>隔日到貨🔥 帆布袋 杯套 杯袋 飲料提袋 飲料袋 環保袋 手搖飲料袋 飲料袋 提袋 方便 便攜 棉麻 飲料杯套</t>
        </is>
      </c>
      <c r="C5322">
        <f>IMAGE("https://cf.shopee.tw/file/ce72bb726e48c9522753ae3cdbcd8a1d_tn")</f>
        <v/>
      </c>
      <c r="D5322" t="inlineStr">
        <is>
          <t>A03</t>
        </is>
      </c>
      <c r="E5322" t="inlineStr"/>
      <c r="F5322">
        <f>IMAGE("https://cf.shopee.tw/file/8df6cef88f35b48a7b8d98b377066e56_tn")</f>
        <v/>
      </c>
    </row>
    <row r="5323">
      <c r="A5323" t="inlineStr">
        <is>
          <t>9778519442</t>
        </is>
      </c>
      <c r="B5323" t="inlineStr">
        <is>
          <t>隔日到貨🔥 帆布袋 杯套 杯袋 飲料提袋 飲料袋 環保袋 手搖飲料袋 飲料袋 提袋 方便 便攜 棉麻 飲料杯套</t>
        </is>
      </c>
      <c r="C5323">
        <f>IMAGE("https://cf.shopee.tw/file/ce72bb726e48c9522753ae3cdbcd8a1d_tn")</f>
        <v/>
      </c>
      <c r="D5323" t="inlineStr">
        <is>
          <t>B01</t>
        </is>
      </c>
      <c r="E5323" t="inlineStr"/>
      <c r="F5323">
        <f>IMAGE("https://cf.shopee.tw/file/063b1995d0f0b3b0e86ce18f3c3dae26_tn")</f>
        <v/>
      </c>
    </row>
    <row r="5324">
      <c r="A5324" t="inlineStr">
        <is>
          <t>9778519442</t>
        </is>
      </c>
      <c r="B5324" t="inlineStr">
        <is>
          <t>隔日到貨🔥 帆布袋 杯套 杯袋 飲料提袋 飲料袋 環保袋 手搖飲料袋 飲料袋 提袋 方便 便攜 棉麻 飲料杯套</t>
        </is>
      </c>
      <c r="C5324">
        <f>IMAGE("https://cf.shopee.tw/file/ce72bb726e48c9522753ae3cdbcd8a1d_tn")</f>
        <v/>
      </c>
      <c r="D5324" t="inlineStr">
        <is>
          <t>B02</t>
        </is>
      </c>
      <c r="E5324" t="inlineStr"/>
      <c r="F5324">
        <f>IMAGE("https://cf.shopee.tw/file/b711e6f0c9b747817b0a0bb49303658f_tn")</f>
        <v/>
      </c>
    </row>
    <row r="5325">
      <c r="A5325" t="inlineStr">
        <is>
          <t>9778519442</t>
        </is>
      </c>
      <c r="B5325" t="inlineStr">
        <is>
          <t>隔日到貨🔥 帆布袋 杯套 杯袋 飲料提袋 飲料袋 環保袋 手搖飲料袋 飲料袋 提袋 方便 便攜 棉麻 飲料杯套</t>
        </is>
      </c>
      <c r="C5325">
        <f>IMAGE("https://cf.shopee.tw/file/ce72bb726e48c9522753ae3cdbcd8a1d_tn")</f>
        <v/>
      </c>
      <c r="D5325" t="inlineStr">
        <is>
          <t>B03</t>
        </is>
      </c>
      <c r="E5325" t="inlineStr"/>
      <c r="F5325">
        <f>IMAGE("https://cf.shopee.tw/file/16ba5d2adaa79868aab60c777a220935_tn")</f>
        <v/>
      </c>
    </row>
    <row r="5326">
      <c r="A5326" t="inlineStr">
        <is>
          <t>9778519442</t>
        </is>
      </c>
      <c r="B5326" t="inlineStr">
        <is>
          <t>隔日到貨🔥 帆布袋 杯套 杯袋 飲料提袋 飲料袋 環保袋 手搖飲料袋 飲料袋 提袋 方便 便攜 棉麻 飲料杯套</t>
        </is>
      </c>
      <c r="C5326">
        <f>IMAGE("https://cf.shopee.tw/file/ce72bb726e48c9522753ae3cdbcd8a1d_tn")</f>
        <v/>
      </c>
      <c r="D5326" t="inlineStr">
        <is>
          <t>C01</t>
        </is>
      </c>
      <c r="E5326" t="inlineStr"/>
      <c r="F5326">
        <f>IMAGE("https://cf.shopee.tw/file/e379066e97b04a9c5b21c9009c74572f_tn")</f>
        <v/>
      </c>
    </row>
    <row r="5327">
      <c r="A5327" t="inlineStr">
        <is>
          <t>9778519442</t>
        </is>
      </c>
      <c r="B5327" t="inlineStr">
        <is>
          <t>隔日到貨🔥 帆布袋 杯套 杯袋 飲料提袋 飲料袋 環保袋 手搖飲料袋 飲料袋 提袋 方便 便攜 棉麻 飲料杯套</t>
        </is>
      </c>
      <c r="C5327">
        <f>IMAGE("https://cf.shopee.tw/file/ce72bb726e48c9522753ae3cdbcd8a1d_tn")</f>
        <v/>
      </c>
      <c r="D5327" t="inlineStr">
        <is>
          <t>C02</t>
        </is>
      </c>
      <c r="E5327" t="inlineStr"/>
      <c r="F5327">
        <f>IMAGE("https://cf.shopee.tw/file/af8ca1c86bef2c9549338bb206f0ab4c_tn")</f>
        <v/>
      </c>
    </row>
    <row r="5328">
      <c r="A5328" t="inlineStr">
        <is>
          <t>9778519442</t>
        </is>
      </c>
      <c r="B5328" t="inlineStr">
        <is>
          <t>隔日到貨🔥 帆布袋 杯套 杯袋 飲料提袋 飲料袋 環保袋 手搖飲料袋 飲料袋 提袋 方便 便攜 棉麻 飲料杯套</t>
        </is>
      </c>
      <c r="C5328">
        <f>IMAGE("https://cf.shopee.tw/file/ce72bb726e48c9522753ae3cdbcd8a1d_tn")</f>
        <v/>
      </c>
      <c r="D5328" t="inlineStr">
        <is>
          <t>C03</t>
        </is>
      </c>
      <c r="E5328" t="inlineStr"/>
      <c r="F5328">
        <f>IMAGE("https://cf.shopee.tw/file/0d65f7999ce2a11a20101869b9cb1be3_tn")</f>
        <v/>
      </c>
    </row>
    <row r="5329">
      <c r="A5329" t="inlineStr">
        <is>
          <t>9778519442</t>
        </is>
      </c>
      <c r="B5329" t="inlineStr">
        <is>
          <t>隔日到貨🔥 帆布袋 杯套 杯袋 飲料提袋 飲料袋 環保袋 手搖飲料袋 飲料袋 提袋 方便 便攜 棉麻 飲料杯套</t>
        </is>
      </c>
      <c r="C5329">
        <f>IMAGE("https://cf.shopee.tw/file/ce72bb726e48c9522753ae3cdbcd8a1d_tn")</f>
        <v/>
      </c>
      <c r="D5329" t="inlineStr">
        <is>
          <t>C04</t>
        </is>
      </c>
      <c r="E5329" t="inlineStr"/>
      <c r="F5329">
        <f>IMAGE("https://cf.shopee.tw/file/89387cdc0f61b14629caa8b5f5c54712_tn")</f>
        <v/>
      </c>
    </row>
    <row r="5330">
      <c r="A5330" t="inlineStr">
        <is>
          <t>9778519442</t>
        </is>
      </c>
      <c r="B5330" t="inlineStr">
        <is>
          <t>隔日到貨🔥 帆布袋 杯套 杯袋 飲料提袋 飲料袋 環保袋 手搖飲料袋 飲料袋 提袋 方便 便攜 棉麻 飲料杯套</t>
        </is>
      </c>
      <c r="C5330">
        <f>IMAGE("https://cf.shopee.tw/file/ce72bb726e48c9522753ae3cdbcd8a1d_tn")</f>
        <v/>
      </c>
      <c r="D5330" t="inlineStr">
        <is>
          <t>C05</t>
        </is>
      </c>
      <c r="E5330" t="inlineStr"/>
      <c r="F5330">
        <f>IMAGE("https://cf.shopee.tw/file/cde6ee87e10d82358dc6946f8b4d7c34_tn")</f>
        <v/>
      </c>
    </row>
    <row r="5331">
      <c r="A5331" t="inlineStr">
        <is>
          <t>9778519442</t>
        </is>
      </c>
      <c r="B5331" t="inlineStr">
        <is>
          <t>隔日到貨🔥 帆布袋 杯套 杯袋 飲料提袋 飲料袋 環保袋 手搖飲料袋 飲料袋 提袋 方便 便攜 棉麻 飲料杯套</t>
        </is>
      </c>
      <c r="C5331">
        <f>IMAGE("https://cf.shopee.tw/file/ce72bb726e48c9522753ae3cdbcd8a1d_tn")</f>
        <v/>
      </c>
      <c r="D5331" t="inlineStr">
        <is>
          <t>D01</t>
        </is>
      </c>
      <c r="E5331" t="inlineStr"/>
      <c r="F5331">
        <f>IMAGE("https://cf.shopee.tw/file/593ff9fe2cd94fe22b3e116a54f42cfb_tn")</f>
        <v/>
      </c>
    </row>
    <row r="5332">
      <c r="A5332" t="inlineStr">
        <is>
          <t>9778519442</t>
        </is>
      </c>
      <c r="B5332" t="inlineStr">
        <is>
          <t>隔日到貨🔥 帆布袋 杯套 杯袋 飲料提袋 飲料袋 環保袋 手搖飲料袋 飲料袋 提袋 方便 便攜 棉麻 飲料杯套</t>
        </is>
      </c>
      <c r="C5332">
        <f>IMAGE("https://cf.shopee.tw/file/ce72bb726e48c9522753ae3cdbcd8a1d_tn")</f>
        <v/>
      </c>
      <c r="D5332" t="inlineStr">
        <is>
          <t>D02</t>
        </is>
      </c>
      <c r="E5332" t="inlineStr"/>
      <c r="F5332">
        <f>IMAGE("https://cf.shopee.tw/file/f366e81767a994e29abfa666e17a94ca_tn")</f>
        <v/>
      </c>
    </row>
    <row r="5333">
      <c r="A5333" t="inlineStr">
        <is>
          <t>9778519442</t>
        </is>
      </c>
      <c r="B5333" t="inlineStr">
        <is>
          <t>隔日到貨🔥 帆布袋 杯套 杯袋 飲料提袋 飲料袋 環保袋 手搖飲料袋 飲料袋 提袋 方便 便攜 棉麻 飲料杯套</t>
        </is>
      </c>
      <c r="C5333">
        <f>IMAGE("https://cf.shopee.tw/file/ce72bb726e48c9522753ae3cdbcd8a1d_tn")</f>
        <v/>
      </c>
      <c r="D5333" t="inlineStr">
        <is>
          <t>D03</t>
        </is>
      </c>
      <c r="E5333" t="inlineStr"/>
      <c r="F5333">
        <f>IMAGE("https://cf.shopee.tw/file/e4a84494c8ffe727a5d2c86f1b38475f_tn")</f>
        <v/>
      </c>
    </row>
    <row r="5334">
      <c r="A5334" t="inlineStr">
        <is>
          <t>9778519442</t>
        </is>
      </c>
      <c r="B5334" t="inlineStr">
        <is>
          <t>隔日到貨🔥 帆布袋 杯套 杯袋 飲料提袋 飲料袋 環保袋 手搖飲料袋 飲料袋 提袋 方便 便攜 棉麻 飲料杯套</t>
        </is>
      </c>
      <c r="C5334">
        <f>IMAGE("https://cf.shopee.tw/file/ce72bb726e48c9522753ae3cdbcd8a1d_tn")</f>
        <v/>
      </c>
      <c r="D5334" t="inlineStr">
        <is>
          <t>D04</t>
        </is>
      </c>
      <c r="E5334" t="inlineStr"/>
      <c r="F5334">
        <f>IMAGE("https://cf.shopee.tw/file/e9ca54a9e6135197383f70f9a95acae9_tn")</f>
        <v/>
      </c>
    </row>
    <row r="5335">
      <c r="A5335" t="inlineStr">
        <is>
          <t>9778519442</t>
        </is>
      </c>
      <c r="B5335" t="inlineStr">
        <is>
          <t>隔日到貨🔥 帆布袋 杯套 杯袋 飲料提袋 飲料袋 環保袋 手搖飲料袋 飲料袋 提袋 方便 便攜 棉麻 飲料杯套</t>
        </is>
      </c>
      <c r="C5335">
        <f>IMAGE("https://cf.shopee.tw/file/ce72bb726e48c9522753ae3cdbcd8a1d_tn")</f>
        <v/>
      </c>
      <c r="D5335" t="inlineStr">
        <is>
          <t>D05</t>
        </is>
      </c>
      <c r="E5335" t="inlineStr"/>
      <c r="F5335">
        <f>IMAGE("https://cf.shopee.tw/file/47d4a2da1f8319901ef7a88528d6473c_tn")</f>
        <v/>
      </c>
    </row>
    <row r="5336">
      <c r="A5336" t="inlineStr">
        <is>
          <t>9778519442</t>
        </is>
      </c>
      <c r="B5336" t="inlineStr">
        <is>
          <t>隔日到貨🔥 帆布袋 杯套 杯袋 飲料提袋 飲料袋 環保袋 手搖飲料袋 飲料袋 提袋 方便 便攜 棉麻 飲料杯套</t>
        </is>
      </c>
      <c r="C5336">
        <f>IMAGE("https://cf.shopee.tw/file/ce72bb726e48c9522753ae3cdbcd8a1d_tn")</f>
        <v/>
      </c>
      <c r="D5336" t="inlineStr">
        <is>
          <t>D06</t>
        </is>
      </c>
      <c r="E5336" t="inlineStr"/>
      <c r="F5336">
        <f>IMAGE("https://cf.shopee.tw/file/e8706041c251be26193c4e1e001b60c0_tn")</f>
        <v/>
      </c>
    </row>
    <row r="5337">
      <c r="A5337" t="inlineStr">
        <is>
          <t>9778519442</t>
        </is>
      </c>
      <c r="B5337" t="inlineStr">
        <is>
          <t>隔日到貨🔥 帆布袋 杯套 杯袋 飲料提袋 飲料袋 環保袋 手搖飲料袋 飲料袋 提袋 方便 便攜 棉麻 飲料杯套</t>
        </is>
      </c>
      <c r="C5337">
        <f>IMAGE("https://cf.shopee.tw/file/ce72bb726e48c9522753ae3cdbcd8a1d_tn")</f>
        <v/>
      </c>
      <c r="D5337" t="inlineStr">
        <is>
          <t>D07</t>
        </is>
      </c>
      <c r="E5337" t="inlineStr"/>
      <c r="F5337">
        <f>IMAGE("https://cf.shopee.tw/file/5b78a9afa76c525b8ec56931a1c2c2b3_tn")</f>
        <v/>
      </c>
    </row>
    <row r="5338">
      <c r="A5338" t="inlineStr">
        <is>
          <t>9778519442</t>
        </is>
      </c>
      <c r="B5338" t="inlineStr">
        <is>
          <t>隔日到貨🔥 帆布袋 杯套 杯袋 飲料提袋 飲料袋 環保袋 手搖飲料袋 飲料袋 提袋 方便 便攜 棉麻 飲料杯套</t>
        </is>
      </c>
      <c r="C5338">
        <f>IMAGE("https://cf.shopee.tw/file/ce72bb726e48c9522753ae3cdbcd8a1d_tn")</f>
        <v/>
      </c>
      <c r="D5338" t="inlineStr">
        <is>
          <t>E01</t>
        </is>
      </c>
      <c r="E5338" t="inlineStr"/>
      <c r="F5338">
        <f>IMAGE("https://cf.shopee.tw/file/64d187684c466c4bff8a92e0b146e003_tn")</f>
        <v/>
      </c>
    </row>
    <row r="5339">
      <c r="A5339" t="inlineStr">
        <is>
          <t>9778519442</t>
        </is>
      </c>
      <c r="B5339" t="inlineStr">
        <is>
          <t>隔日到貨🔥 帆布袋 杯套 杯袋 飲料提袋 飲料袋 環保袋 手搖飲料袋 飲料袋 提袋 方便 便攜 棉麻 飲料杯套</t>
        </is>
      </c>
      <c r="C5339">
        <f>IMAGE("https://cf.shopee.tw/file/ce72bb726e48c9522753ae3cdbcd8a1d_tn")</f>
        <v/>
      </c>
      <c r="D5339" t="inlineStr">
        <is>
          <t>E02</t>
        </is>
      </c>
      <c r="E5339" t="inlineStr"/>
      <c r="F5339">
        <f>IMAGE("https://cf.shopee.tw/file/60ab607b05812ac80dea55c78d0e1a96_tn")</f>
        <v/>
      </c>
    </row>
    <row r="5340">
      <c r="A5340" t="inlineStr">
        <is>
          <t>28312902484</t>
        </is>
      </c>
      <c r="B5340" t="inlineStr">
        <is>
          <t>隔日到貨🔥 韓版 小眾設計 可愛小狗磨砂質感隨身杯 保溫瓶 保溫杯 隨手杯 不鏽鋼杯 吸管水壺 水壺</t>
        </is>
      </c>
      <c r="C5340">
        <f>IMAGE("https://cf.shopee.tw/file/tw-11134207-7rasg-m0v8c2n31rs773_tn")</f>
        <v/>
      </c>
      <c r="D5340" t="inlineStr">
        <is>
          <t>鬱金香小狗 360ml</t>
        </is>
      </c>
      <c r="E5340" t="inlineStr"/>
      <c r="F5340">
        <f>IMAGE("https://cf.shopee.tw/file/tw-11134207-7rasi-m0v8c2n336qb28_tn")</f>
        <v/>
      </c>
    </row>
    <row r="5341">
      <c r="A5341" t="inlineStr">
        <is>
          <t>28312902484</t>
        </is>
      </c>
      <c r="B5341" t="inlineStr">
        <is>
          <t>隔日到貨🔥 韓版 小眾設計 可愛小狗磨砂質感隨身杯 保溫瓶 保溫杯 隨手杯 不鏽鋼杯 吸管水壺 水壺</t>
        </is>
      </c>
      <c r="C5341">
        <f>IMAGE("https://cf.shopee.tw/file/tw-11134207-7rasg-m0v8c2n31rs773_tn")</f>
        <v/>
      </c>
      <c r="D5341" t="inlineStr">
        <is>
          <t>放P小狗 360ml</t>
        </is>
      </c>
      <c r="E5341" t="inlineStr"/>
      <c r="F5341">
        <f>IMAGE("https://cf.shopee.tw/file/tw-11134207-7rasi-m0v8c2n3y38304_tn")</f>
        <v/>
      </c>
    </row>
    <row r="5342">
      <c r="A5342" t="inlineStr">
        <is>
          <t>28312902484</t>
        </is>
      </c>
      <c r="B5342" t="inlineStr">
        <is>
          <t>隔日到貨🔥 韓版 小眾設計 可愛小狗磨砂質感隨身杯 保溫瓶 保溫杯 隨手杯 不鏽鋼杯 吸管水壺 水壺</t>
        </is>
      </c>
      <c r="C5342">
        <f>IMAGE("https://cf.shopee.tw/file/tw-11134207-7rasg-m0v8c2n31rs773_tn")</f>
        <v/>
      </c>
      <c r="D5342" t="inlineStr">
        <is>
          <t>MerryChristmas 360ml</t>
        </is>
      </c>
      <c r="E5342" t="inlineStr"/>
      <c r="F5342">
        <f>IMAGE("https://cf.shopee.tw/file/tw-11134207-7rasg-m0v8c2n4djgzc0_tn")</f>
        <v/>
      </c>
    </row>
    <row r="5343">
      <c r="A5343" t="inlineStr">
        <is>
          <t>28312902484</t>
        </is>
      </c>
      <c r="B5343" t="inlineStr">
        <is>
          <t>隔日到貨🔥 韓版 小眾設計 可愛小狗磨砂質感隨身杯 保溫瓶 保溫杯 隨手杯 不鏽鋼杯 吸管水壺 水壺</t>
        </is>
      </c>
      <c r="C5343">
        <f>IMAGE("https://cf.shopee.tw/file/tw-11134207-7rasg-m0v8c2n31rs773_tn")</f>
        <v/>
      </c>
      <c r="D5343" t="inlineStr">
        <is>
          <t>藍色字母 240ml</t>
        </is>
      </c>
      <c r="E5343" t="inlineStr"/>
      <c r="F5343">
        <f>IMAGE("https://cf.shopee.tw/file/tw-11134207-7rasb-m0v8c2n3imljd1_tn")</f>
        <v/>
      </c>
    </row>
    <row r="5344">
      <c r="A5344" t="inlineStr">
        <is>
          <t>28312902484</t>
        </is>
      </c>
      <c r="B5344" t="inlineStr">
        <is>
          <t>隔日到貨🔥 韓版 小眾設計 可愛小狗磨砂質感隨身杯 保溫瓶 保溫杯 隨手杯 不鏽鋼杯 吸管水壺 水壺</t>
        </is>
      </c>
      <c r="C5344">
        <f>IMAGE("https://cf.shopee.tw/file/tw-11134207-7rasg-m0v8c2n31rs773_tn")</f>
        <v/>
      </c>
      <c r="D5344" t="inlineStr">
        <is>
          <t>小狗 360ml</t>
        </is>
      </c>
      <c r="E5344" t="inlineStr"/>
      <c r="F5344">
        <f>IMAGE("https://cf.shopee.tw/file/tw-11134207-7rasc-m0v8c2n3imz721_tn")</f>
        <v/>
      </c>
    </row>
    <row r="5345">
      <c r="A5345" t="inlineStr">
        <is>
          <t>18488269880</t>
        </is>
      </c>
      <c r="B5345" t="inlineStr">
        <is>
          <t>隔日到貨🔥 ins 日系小清新船襪 短襪 中筒襪 襪子 韓風 熱銷 女襪 S40 長襪 情侶襪 可愛襪 襪</t>
        </is>
      </c>
      <c r="C5345">
        <f>IMAGE("https://cf.shopee.tw/file/tw-11134207-7qul0-lg6qzp0wkglda4_tn")</f>
        <v/>
      </c>
      <c r="D5345" t="inlineStr">
        <is>
          <t>綠條紋,均碼 22 - 25 公分</t>
        </is>
      </c>
      <c r="E5345" t="inlineStr"/>
      <c r="F5345">
        <f>IMAGE("https://cf.shopee.tw/file/tw-11134207-7qul5-lg6r2i4yloh69a_tn")</f>
        <v/>
      </c>
    </row>
    <row r="5346">
      <c r="A5346" t="inlineStr">
        <is>
          <t>18488269880</t>
        </is>
      </c>
      <c r="B5346" t="inlineStr">
        <is>
          <t>隔日到貨🔥 ins 日系小清新船襪 短襪 中筒襪 襪子 韓風 熱銷 女襪 S40 長襪 情侶襪 可愛襪 襪</t>
        </is>
      </c>
      <c r="C5346">
        <f>IMAGE("https://cf.shopee.tw/file/tw-11134207-7qul0-lg6qzp0wkglda4_tn")</f>
        <v/>
      </c>
      <c r="D5346" t="inlineStr">
        <is>
          <t>一朵小鬱金香,均碼 22 - 25 公分</t>
        </is>
      </c>
      <c r="E5346" t="inlineStr"/>
      <c r="F5346">
        <f>IMAGE("https://cf.shopee.tw/file/tw-11134207-7qul0-lg6r2ok37ga215_tn")</f>
        <v/>
      </c>
    </row>
    <row r="5347">
      <c r="A5347" t="inlineStr">
        <is>
          <t>18488269880</t>
        </is>
      </c>
      <c r="B5347" t="inlineStr">
        <is>
          <t>隔日到貨🔥 ins 日系小清新船襪 短襪 中筒襪 襪子 韓風 熱銷 女襪 S40 長襪 情侶襪 可愛襪 襪</t>
        </is>
      </c>
      <c r="C5347">
        <f>IMAGE("https://cf.shopee.tw/file/tw-11134207-7qul0-lg6qzp0wkglda4_tn")</f>
        <v/>
      </c>
      <c r="D5347" t="inlineStr">
        <is>
          <t>大鬱金香,均碼 22 - 25 公分</t>
        </is>
      </c>
      <c r="E5347" t="inlineStr"/>
      <c r="F5347">
        <f>IMAGE("https://cf.shopee.tw/file/tw-11134207-7qul9-lg6r2uh6jm6941_tn")</f>
        <v/>
      </c>
    </row>
    <row r="5348">
      <c r="A5348" t="inlineStr">
        <is>
          <t>18488269880</t>
        </is>
      </c>
      <c r="B5348" t="inlineStr">
        <is>
          <t>隔日到貨🔥 ins 日系小清新船襪 短襪 中筒襪 襪子 韓風 熱銷 女襪 S40 長襪 情侶襪 可愛襪 襪</t>
        </is>
      </c>
      <c r="C5348">
        <f>IMAGE("https://cf.shopee.tw/file/tw-11134207-7qul0-lg6qzp0wkglda4_tn")</f>
        <v/>
      </c>
      <c r="D5348" t="inlineStr">
        <is>
          <t>綠底兔頭,均碼 22 - 25 公分</t>
        </is>
      </c>
      <c r="E5348" t="inlineStr"/>
      <c r="F5348">
        <f>IMAGE("https://cf.shopee.tw/file/tw-11134207-7qul7-lg6r2zwiokru0c_tn")</f>
        <v/>
      </c>
    </row>
    <row r="5349">
      <c r="A5349" t="inlineStr">
        <is>
          <t>18488269880</t>
        </is>
      </c>
      <c r="B5349" t="inlineStr">
        <is>
          <t>隔日到貨🔥 ins 日系小清新船襪 短襪 中筒襪 襪子 韓風 熱銷 女襪 S40 長襪 情侶襪 可愛襪 襪</t>
        </is>
      </c>
      <c r="C5349">
        <f>IMAGE("https://cf.shopee.tw/file/tw-11134207-7qul0-lg6qzp0wkglda4_tn")</f>
        <v/>
      </c>
      <c r="D5349" t="inlineStr">
        <is>
          <t>卷邊,均碼 22 - 25 公分</t>
        </is>
      </c>
      <c r="E5349" t="inlineStr"/>
      <c r="F5349">
        <f>IMAGE("https://cf.shopee.tw/file/tw-11134207-7qul1-lg6r39434jy959_tn")</f>
        <v/>
      </c>
    </row>
    <row r="5350">
      <c r="A5350" t="inlineStr">
        <is>
          <t>7633236978</t>
        </is>
      </c>
      <c r="B5350" t="inlineStr">
        <is>
          <t>隔日到貨🔥 可愛柯基造型 地墊 門廳腳墊 踏墊 玄關入門踏墊 家用地毯 浴室腳墊 廚房腳墊 地墊</t>
        </is>
      </c>
      <c r="C5350">
        <f>IMAGE("https://cf.shopee.tw/file/b3a568140ff107b8b1ca1b89be3c94e2_tn")</f>
        <v/>
      </c>
      <c r="D5350" t="inlineStr">
        <is>
          <t>1.綠色柯基</t>
        </is>
      </c>
      <c r="E5350" t="inlineStr"/>
      <c r="F5350">
        <f>IMAGE("https://cf.shopee.tw/file/30a1f4f2ecbb0080ddfdb861ed806707_tn")</f>
        <v/>
      </c>
    </row>
    <row r="5351">
      <c r="A5351" t="inlineStr">
        <is>
          <t>7633236978</t>
        </is>
      </c>
      <c r="B5351" t="inlineStr">
        <is>
          <t>隔日到貨🔥 可愛柯基造型 地墊 門廳腳墊 踏墊 玄關入門踏墊 家用地毯 浴室腳墊 廚房腳墊 地墊</t>
        </is>
      </c>
      <c r="C5351">
        <f>IMAGE("https://cf.shopee.tw/file/b3a568140ff107b8b1ca1b89be3c94e2_tn")</f>
        <v/>
      </c>
      <c r="D5351" t="inlineStr">
        <is>
          <t>2.黃色小貓</t>
        </is>
      </c>
      <c r="E5351" t="inlineStr"/>
      <c r="F5351">
        <f>IMAGE("https://cf.shopee.tw/file/5b9bc0b92f0ce628c3daf9ff4f9755f1_tn")</f>
        <v/>
      </c>
    </row>
    <row r="5352">
      <c r="A5352" t="inlineStr">
        <is>
          <t>7633236978</t>
        </is>
      </c>
      <c r="B5352" t="inlineStr">
        <is>
          <t>隔日到貨🔥 可愛柯基造型 地墊 門廳腳墊 踏墊 玄關入門踏墊 家用地毯 浴室腳墊 廚房腳墊 地墊</t>
        </is>
      </c>
      <c r="C5352">
        <f>IMAGE("https://cf.shopee.tw/file/b3a568140ff107b8b1ca1b89be3c94e2_tn")</f>
        <v/>
      </c>
      <c r="D5352" t="inlineStr">
        <is>
          <t>3.綠色小貓</t>
        </is>
      </c>
      <c r="E5352" t="inlineStr"/>
      <c r="F5352">
        <f>IMAGE("https://cf.shopee.tw/file/c86eeb666275b06d57880b08753ae81e_tn")</f>
        <v/>
      </c>
    </row>
    <row r="5353">
      <c r="A5353" t="inlineStr">
        <is>
          <t>7633236978</t>
        </is>
      </c>
      <c r="B5353" t="inlineStr">
        <is>
          <t>隔日到貨🔥 可愛柯基造型 地墊 門廳腳墊 踏墊 玄關入門踏墊 家用地毯 浴室腳墊 廚房腳墊 地墊</t>
        </is>
      </c>
      <c r="C5353">
        <f>IMAGE("https://cf.shopee.tw/file/b3a568140ff107b8b1ca1b89be3c94e2_tn")</f>
        <v/>
      </c>
      <c r="D5353" t="inlineStr">
        <is>
          <t>4.咖啡小貓</t>
        </is>
      </c>
      <c r="E5353" t="inlineStr"/>
      <c r="F5353">
        <f>IMAGE("https://cf.shopee.tw/file/920be753bb373879ca685b499532436f_tn")</f>
        <v/>
      </c>
    </row>
    <row r="5354">
      <c r="A5354" t="inlineStr">
        <is>
          <t>7633236978</t>
        </is>
      </c>
      <c r="B5354" t="inlineStr">
        <is>
          <t>隔日到貨🔥 可愛柯基造型 地墊 門廳腳墊 踏墊 玄關入門踏墊 家用地毯 浴室腳墊 廚房腳墊 地墊</t>
        </is>
      </c>
      <c r="C5354">
        <f>IMAGE("https://cf.shopee.tw/file/b3a568140ff107b8b1ca1b89be3c94e2_tn")</f>
        <v/>
      </c>
      <c r="D5354" t="inlineStr">
        <is>
          <t>5.綠色小狗</t>
        </is>
      </c>
      <c r="E5354" t="inlineStr"/>
      <c r="F5354">
        <f>IMAGE("https://cf.shopee.tw/file/24d5fa10366279f0cd5f8f5a2a13077d_tn")</f>
        <v/>
      </c>
    </row>
    <row r="5355">
      <c r="A5355" t="inlineStr">
        <is>
          <t>7633236978</t>
        </is>
      </c>
      <c r="B5355" t="inlineStr">
        <is>
          <t>隔日到貨🔥 可愛柯基造型 地墊 門廳腳墊 踏墊 玄關入門踏墊 家用地毯 浴室腳墊 廚房腳墊 地墊</t>
        </is>
      </c>
      <c r="C5355">
        <f>IMAGE("https://cf.shopee.tw/file/b3a568140ff107b8b1ca1b89be3c94e2_tn")</f>
        <v/>
      </c>
      <c r="D5355" t="inlineStr">
        <is>
          <t>6.咖啡柯基</t>
        </is>
      </c>
      <c r="E5355" t="inlineStr"/>
      <c r="F5355">
        <f>IMAGE("https://cf.shopee.tw/file/dbddf22b721f5a08f57acd81e541fd78_tn")</f>
        <v/>
      </c>
    </row>
    <row r="5356">
      <c r="A5356" t="inlineStr">
        <is>
          <t>21381401142</t>
        </is>
      </c>
      <c r="B5356" t="inlineStr">
        <is>
          <t>隔日到貨🔥 韓系可愛餐具 木柄甜品餐具 不鏽鋼餐具 木柄餐具 小湯匙 甜品湯匙 叉子 廚房餐具 甜點餐具 環保餐具</t>
        </is>
      </c>
      <c r="C5356">
        <f>IMAGE("https://cf.shopee.tw/file/tw-11134207-7qul6-liorv907mvr66f_tn")</f>
        <v/>
      </c>
      <c r="D5356" t="inlineStr">
        <is>
          <t>小熊叉子</t>
        </is>
      </c>
      <c r="E5356" t="inlineStr"/>
      <c r="F5356">
        <f>IMAGE("https://cf.shopee.tw/file/tw-11134207-7quky-lior0q0twi8276_tn")</f>
        <v/>
      </c>
    </row>
    <row r="5357">
      <c r="A5357" t="inlineStr">
        <is>
          <t>21381401142</t>
        </is>
      </c>
      <c r="B5357" t="inlineStr">
        <is>
          <t>隔日到貨🔥 韓系可愛餐具 木柄甜品餐具 不鏽鋼餐具 木柄餐具 小湯匙 甜品湯匙 叉子 廚房餐具 甜點餐具 環保餐具</t>
        </is>
      </c>
      <c r="C5357">
        <f>IMAGE("https://cf.shopee.tw/file/tw-11134207-7qul6-liorv907mvr66f_tn")</f>
        <v/>
      </c>
      <c r="D5357" t="inlineStr">
        <is>
          <t>貓咪湯匙</t>
        </is>
      </c>
      <c r="E5357" t="inlineStr"/>
      <c r="F5357">
        <f>IMAGE("https://cf.shopee.tw/file/tw-11134207-7qukw-lior0q14bjuqfd_tn")</f>
        <v/>
      </c>
    </row>
    <row r="5358">
      <c r="A5358" t="inlineStr">
        <is>
          <t>21381401142</t>
        </is>
      </c>
      <c r="B5358" t="inlineStr">
        <is>
          <t>隔日到貨🔥 韓系可愛餐具 木柄甜品餐具 不鏽鋼餐具 木柄餐具 小湯匙 甜品湯匙 叉子 廚房餐具 甜點餐具 環保餐具</t>
        </is>
      </c>
      <c r="C5358">
        <f>IMAGE("https://cf.shopee.tw/file/tw-11134207-7qul6-liorv907mvr66f_tn")</f>
        <v/>
      </c>
      <c r="D5358" t="inlineStr">
        <is>
          <t>小熊湯匙</t>
        </is>
      </c>
      <c r="E5358" t="inlineStr"/>
      <c r="F5358">
        <f>IMAGE("https://cf.shopee.tw/file/tw-11134207-7qukz-lior0q09xbjoba_tn")</f>
        <v/>
      </c>
    </row>
    <row r="5359">
      <c r="A5359" t="inlineStr">
        <is>
          <t>21381401142</t>
        </is>
      </c>
      <c r="B5359" t="inlineStr">
        <is>
          <t>隔日到貨🔥 韓系可愛餐具 木柄甜品餐具 不鏽鋼餐具 木柄餐具 小湯匙 甜品湯匙 叉子 廚房餐具 甜點餐具 環保餐具</t>
        </is>
      </c>
      <c r="C5359">
        <f>IMAGE("https://cf.shopee.tw/file/tw-11134207-7qul6-liorv907mvr66f_tn")</f>
        <v/>
      </c>
      <c r="D5359" t="inlineStr">
        <is>
          <t>貓咪叉子</t>
        </is>
      </c>
      <c r="E5359" t="inlineStr"/>
      <c r="F5359">
        <f>IMAGE("https://cf.shopee.tw/file/tw-11134207-7qukx-lior0q13w3lu79_tn")</f>
        <v/>
      </c>
    </row>
    <row r="5360">
      <c r="A5360" t="inlineStr">
        <is>
          <t>4045215254</t>
        </is>
      </c>
      <c r="B5360" t="inlineStr">
        <is>
          <t>隔日到貨🔥 韓風 ins爆款🍒 不鏽鋼 保溫杯 500ML 隨手杯 附吸管 不鏽鋼杯 吸管水壺 水壺 禮物 咖啡杯</t>
        </is>
      </c>
      <c r="C5360">
        <f>IMAGE("https://cf.shopee.tw/file/c55c00ba2b0e05bf7467a92077fc96f7_tn")</f>
        <v/>
      </c>
      <c r="D5360" t="inlineStr">
        <is>
          <t>吸管是食品級PP材質 耐100度高溫</t>
        </is>
      </c>
      <c r="E5360" t="inlineStr"/>
      <c r="F5360">
        <f>IMAGE("https://cf.shopee.tw/file/487a4b84a24b78dbe22001a1d0c2d782_tn")</f>
        <v/>
      </c>
    </row>
    <row r="5361">
      <c r="A5361" t="inlineStr">
        <is>
          <t>4045215254</t>
        </is>
      </c>
      <c r="B5361" t="inlineStr">
        <is>
          <t>隔日到貨🔥 韓風 ins爆款🍒 不鏽鋼 保溫杯 500ML 隨手杯 附吸管 不鏽鋼杯 吸管水壺 水壺 禮物 咖啡杯</t>
        </is>
      </c>
      <c r="C5361">
        <f>IMAGE("https://cf.shopee.tw/file/c55c00ba2b0e05bf7467a92077fc96f7_tn")</f>
        <v/>
      </c>
      <c r="D5361" t="inlineStr">
        <is>
          <t>可以裝熱水並安心食用👌</t>
        </is>
      </c>
      <c r="E5361" t="inlineStr"/>
      <c r="F5361">
        <f>IMAGE("https://cf.shopee.tw/file/6d21287628769e7d1aa8f482577b9b4d_tn")</f>
        <v/>
      </c>
    </row>
    <row r="5362">
      <c r="A5362" t="inlineStr">
        <is>
          <t>4045215254</t>
        </is>
      </c>
      <c r="B5362" t="inlineStr">
        <is>
          <t>隔日到貨🔥 韓風 ins爆款🍒 不鏽鋼 保溫杯 500ML 隨手杯 附吸管 不鏽鋼杯 吸管水壺 水壺 禮物 咖啡杯</t>
        </is>
      </c>
      <c r="C5362">
        <f>IMAGE("https://cf.shopee.tw/file/c55c00ba2b0e05bf7467a92077fc96f7_tn")</f>
        <v/>
      </c>
      <c r="D5362" t="inlineStr">
        <is>
          <t>藍色 Water (附吸管)</t>
        </is>
      </c>
      <c r="E5362" t="inlineStr"/>
      <c r="F5362">
        <f>IMAGE("https://cf.shopee.tw/file/4a478a9089bd6b23b521d26750083c98_tn")</f>
        <v/>
      </c>
    </row>
    <row r="5363">
      <c r="A5363" t="inlineStr">
        <is>
          <t>4045215254</t>
        </is>
      </c>
      <c r="B5363" t="inlineStr">
        <is>
          <t>隔日到貨🔥 韓風 ins爆款🍒 不鏽鋼 保溫杯 500ML 隨手杯 附吸管 不鏽鋼杯 吸管水壺 水壺 禮物 咖啡杯</t>
        </is>
      </c>
      <c r="C5363">
        <f>IMAGE("https://cf.shopee.tw/file/c55c00ba2b0e05bf7467a92077fc96f7_tn")</f>
        <v/>
      </c>
      <c r="D5363" t="inlineStr">
        <is>
          <t>灰色 Milk (附吸管)</t>
        </is>
      </c>
      <c r="E5363" t="inlineStr"/>
      <c r="F5363">
        <f>IMAGE("https://cf.shopee.tw/file/8ae39a685721d8ff30849cfa3eb2b658_tn")</f>
        <v/>
      </c>
    </row>
    <row r="5364">
      <c r="A5364" t="inlineStr">
        <is>
          <t>4045215254</t>
        </is>
      </c>
      <c r="B5364" t="inlineStr">
        <is>
          <t>隔日到貨🔥 韓風 ins爆款🍒 不鏽鋼 保溫杯 500ML 隨手杯 附吸管 不鏽鋼杯 吸管水壺 水壺 禮物 咖啡杯</t>
        </is>
      </c>
      <c r="C5364">
        <f>IMAGE("https://cf.shopee.tw/file/c55c00ba2b0e05bf7467a92077fc96f7_tn")</f>
        <v/>
      </c>
      <c r="D5364" t="inlineStr">
        <is>
          <t>墨綠 Coffee (附吸管)</t>
        </is>
      </c>
      <c r="E5364" t="inlineStr"/>
      <c r="F5364">
        <f>IMAGE("https://cf.shopee.tw/file/44971e0a2a6112f3e587a9a1d29bbb8c_tn")</f>
        <v/>
      </c>
    </row>
    <row r="5365">
      <c r="A5365" t="inlineStr">
        <is>
          <t>4045215254</t>
        </is>
      </c>
      <c r="B5365" t="inlineStr">
        <is>
          <t>隔日到貨🔥 韓風 ins爆款🍒 不鏽鋼 保溫杯 500ML 隨手杯 附吸管 不鏽鋼杯 吸管水壺 水壺 禮物 咖啡杯</t>
        </is>
      </c>
      <c r="C5365">
        <f>IMAGE("https://cf.shopee.tw/file/c55c00ba2b0e05bf7467a92077fc96f7_tn")</f>
        <v/>
      </c>
      <c r="D5365" t="inlineStr">
        <is>
          <t>粉色 Tea(附吸管)</t>
        </is>
      </c>
      <c r="E5365" t="inlineStr"/>
      <c r="F5365">
        <f>IMAGE("https://cf.shopee.tw/file/ac2e8a897310ad49f8920d957ef5ca2b_tn")</f>
        <v/>
      </c>
    </row>
    <row r="5366">
      <c r="A5366" t="inlineStr">
        <is>
          <t>22851973418</t>
        </is>
      </c>
      <c r="B5366" t="inlineStr">
        <is>
          <t>隔日到貨🔥 Airpods 透明殼 1代 2代 pro pro2 3 軟殼 A21 保護殼 防摔殼 保護套 耳機殼</t>
        </is>
      </c>
      <c r="C5366">
        <f>IMAGE("https://cf.shopee.tw/file/tw-11134207-7r98o-lkng9x5hf60wa5_tn")</f>
        <v/>
      </c>
      <c r="D5366" t="inlineStr">
        <is>
          <t>1號,Pro1代 / Pro2代 (通用）</t>
        </is>
      </c>
      <c r="E5366" t="inlineStr"/>
      <c r="F5366">
        <f>IMAGE("https://cf.shopee.tw/file/tw-11134207-7r98o-lkng9x61ecsg7d_tn")</f>
        <v/>
      </c>
    </row>
    <row r="5367">
      <c r="A5367" t="inlineStr">
        <is>
          <t>22851973418</t>
        </is>
      </c>
      <c r="B5367" t="inlineStr">
        <is>
          <t>隔日到貨🔥 Airpods 透明殼 1代 2代 pro pro2 3 軟殼 A21 保護殼 防摔殼 保護套 耳機殼</t>
        </is>
      </c>
      <c r="C5367">
        <f>IMAGE("https://cf.shopee.tw/file/tw-11134207-7r98o-lkng9x5hf60wa5_tn")</f>
        <v/>
      </c>
      <c r="D5367" t="inlineStr">
        <is>
          <t>3號,Pro1代 / Pro2代 (通用）</t>
        </is>
      </c>
      <c r="E5367" t="inlineStr"/>
      <c r="F5367">
        <f>IMAGE("https://cf.shopee.tw/file/tw-11134207-7r98o-lknh71x1ybb300_tn")</f>
        <v/>
      </c>
    </row>
    <row r="5368">
      <c r="A5368" t="inlineStr">
        <is>
          <t>22851973418</t>
        </is>
      </c>
      <c r="B5368" t="inlineStr">
        <is>
          <t>隔日到貨🔥 Airpods 透明殼 1代 2代 pro pro2 3 軟殼 A21 保護殼 防摔殼 保護套 耳機殼</t>
        </is>
      </c>
      <c r="C5368">
        <f>IMAGE("https://cf.shopee.tw/file/tw-11134207-7r98o-lkng9x5hf60wa5_tn")</f>
        <v/>
      </c>
      <c r="D5368" t="inlineStr">
        <is>
          <t>4號,Pro1代 / Pro2代 (通用）</t>
        </is>
      </c>
      <c r="E5368" t="inlineStr"/>
      <c r="F5368">
        <f>IMAGE("https://cf.shopee.tw/file/tw-11134207-7r98o-lknh7dnwq3zza5_tn")</f>
        <v/>
      </c>
    </row>
    <row r="5369">
      <c r="A5369" t="inlineStr">
        <is>
          <t>22851973418</t>
        </is>
      </c>
      <c r="B5369" t="inlineStr">
        <is>
          <t>隔日到貨🔥 Airpods 透明殼 1代 2代 pro pro2 3 軟殼 A21 保護殼 防摔殼 保護套 耳機殼</t>
        </is>
      </c>
      <c r="C5369">
        <f>IMAGE("https://cf.shopee.tw/file/tw-11134207-7r98o-lkng9x5hf60wa5_tn")</f>
        <v/>
      </c>
      <c r="D5369" t="inlineStr">
        <is>
          <t>4號,［3代］</t>
        </is>
      </c>
      <c r="E5369" t="inlineStr"/>
      <c r="F5369">
        <f>IMAGE("https://cf.shopee.tw/file/tw-11134207-7r98o-lknh7dnwq3zza5_tn")</f>
        <v/>
      </c>
    </row>
    <row r="5370">
      <c r="A5370" t="inlineStr">
        <is>
          <t>22851973418</t>
        </is>
      </c>
      <c r="B5370" t="inlineStr">
        <is>
          <t>隔日到貨🔥 Airpods 透明殼 1代 2代 pro pro2 3 軟殼 A21 保護殼 防摔殼 保護套 耳機殼</t>
        </is>
      </c>
      <c r="C5370">
        <f>IMAGE("https://cf.shopee.tw/file/tw-11134207-7r98o-lkng9x5hf60wa5_tn")</f>
        <v/>
      </c>
      <c r="D5370" t="inlineStr">
        <is>
          <t>5號,Pro1代 / Pro2代 (通用）</t>
        </is>
      </c>
      <c r="E5370" t="inlineStr"/>
      <c r="F5370">
        <f>IMAGE("https://cf.shopee.tw/file/tw-11134207-7r98o-lknh7dnwrikf40_tn")</f>
        <v/>
      </c>
    </row>
    <row r="5371">
      <c r="A5371" t="inlineStr">
        <is>
          <t>22851973418</t>
        </is>
      </c>
      <c r="B5371" t="inlineStr">
        <is>
          <t>隔日到貨🔥 Airpods 透明殼 1代 2代 pro pro2 3 軟殼 A21 保護殼 防摔殼 保護套 耳機殼</t>
        </is>
      </c>
      <c r="C5371">
        <f>IMAGE("https://cf.shopee.tw/file/tw-11134207-7r98o-lkng9x5hf60wa5_tn")</f>
        <v/>
      </c>
      <c r="D5371" t="inlineStr">
        <is>
          <t>5號,［3代］</t>
        </is>
      </c>
      <c r="E5371" t="inlineStr"/>
      <c r="F5371">
        <f>IMAGE("https://cf.shopee.tw/file/tw-11134207-7r98o-lknh7dnwrikf40_tn")</f>
        <v/>
      </c>
    </row>
    <row r="5372">
      <c r="A5372" t="inlineStr">
        <is>
          <t>22851973418</t>
        </is>
      </c>
      <c r="B5372" t="inlineStr">
        <is>
          <t>隔日到貨🔥 Airpods 透明殼 1代 2代 pro pro2 3 軟殼 A21 保護殼 防摔殼 保護套 耳機殼</t>
        </is>
      </c>
      <c r="C5372">
        <f>IMAGE("https://cf.shopee.tw/file/tw-11134207-7r98o-lkng9x5hf60wa5_tn")</f>
        <v/>
      </c>
      <c r="D5372" t="inlineStr">
        <is>
          <t>1號,1代 / 2代</t>
        </is>
      </c>
      <c r="E5372" t="inlineStr"/>
      <c r="F5372">
        <f>IMAGE("https://cf.shopee.tw/file/tw-11134207-7r98o-lkng9x61ecsg7d_tn")</f>
        <v/>
      </c>
    </row>
    <row r="5373">
      <c r="A5373" t="inlineStr">
        <is>
          <t>22851973418</t>
        </is>
      </c>
      <c r="B5373" t="inlineStr">
        <is>
          <t>隔日到貨🔥 Airpods 透明殼 1代 2代 pro pro2 3 軟殼 A21 保護殼 防摔殼 保護套 耳機殼</t>
        </is>
      </c>
      <c r="C5373">
        <f>IMAGE("https://cf.shopee.tw/file/tw-11134207-7r98o-lkng9x5hf60wa5_tn")</f>
        <v/>
      </c>
      <c r="D5373" t="inlineStr">
        <is>
          <t>1號,［3代］</t>
        </is>
      </c>
      <c r="E5373" t="inlineStr"/>
      <c r="F5373">
        <f>IMAGE("https://cf.shopee.tw/file/tw-11134207-7r98o-lkng9x61ecsg7d_tn")</f>
        <v/>
      </c>
    </row>
    <row r="5374">
      <c r="A5374" t="inlineStr">
        <is>
          <t>22851973418</t>
        </is>
      </c>
      <c r="B5374" t="inlineStr">
        <is>
          <t>隔日到貨🔥 Airpods 透明殼 1代 2代 pro pro2 3 軟殼 A21 保護殼 防摔殼 保護套 耳機殼</t>
        </is>
      </c>
      <c r="C5374">
        <f>IMAGE("https://cf.shopee.tw/file/tw-11134207-7r98o-lkng9x5hf60wa5_tn")</f>
        <v/>
      </c>
      <c r="D5374" t="inlineStr">
        <is>
          <t>2號,1代 / 2代</t>
        </is>
      </c>
      <c r="E5374" t="inlineStr"/>
      <c r="F5374">
        <f>IMAGE("https://cf.shopee.tw/file/tw-11134207-7r98o-lknh71x1wwqnb2_tn")</f>
        <v/>
      </c>
    </row>
    <row r="5375">
      <c r="A5375" t="inlineStr">
        <is>
          <t>22851973418</t>
        </is>
      </c>
      <c r="B5375" t="inlineStr">
        <is>
          <t>隔日到貨🔥 Airpods 透明殼 1代 2代 pro pro2 3 軟殼 A21 保護殼 防摔殼 保護套 耳機殼</t>
        </is>
      </c>
      <c r="C5375">
        <f>IMAGE("https://cf.shopee.tw/file/tw-11134207-7r98o-lkng9x5hf60wa5_tn")</f>
        <v/>
      </c>
      <c r="D5375" t="inlineStr">
        <is>
          <t>2號,Pro1代 / Pro2代 (通用）</t>
        </is>
      </c>
      <c r="E5375" t="inlineStr"/>
      <c r="F5375">
        <f>IMAGE("https://cf.shopee.tw/file/tw-11134207-7r98o-lknh71x1wwqnb2_tn")</f>
        <v/>
      </c>
    </row>
    <row r="5376">
      <c r="A5376" t="inlineStr">
        <is>
          <t>22851973418</t>
        </is>
      </c>
      <c r="B5376" t="inlineStr">
        <is>
          <t>隔日到貨🔥 Airpods 透明殼 1代 2代 pro pro2 3 軟殼 A21 保護殼 防摔殼 保護套 耳機殼</t>
        </is>
      </c>
      <c r="C5376">
        <f>IMAGE("https://cf.shopee.tw/file/tw-11134207-7r98o-lkng9x5hf60wa5_tn")</f>
        <v/>
      </c>
      <c r="D5376" t="inlineStr">
        <is>
          <t>2號,［3代］</t>
        </is>
      </c>
      <c r="E5376" t="inlineStr"/>
      <c r="F5376">
        <f>IMAGE("https://cf.shopee.tw/file/tw-11134207-7r98o-lknh71x1wwqnb2_tn")</f>
        <v/>
      </c>
    </row>
    <row r="5377">
      <c r="A5377" t="inlineStr">
        <is>
          <t>22851973418</t>
        </is>
      </c>
      <c r="B5377" t="inlineStr">
        <is>
          <t>隔日到貨🔥 Airpods 透明殼 1代 2代 pro pro2 3 軟殼 A21 保護殼 防摔殼 保護套 耳機殼</t>
        </is>
      </c>
      <c r="C5377">
        <f>IMAGE("https://cf.shopee.tw/file/tw-11134207-7r98o-lkng9x5hf60wa5_tn")</f>
        <v/>
      </c>
      <c r="D5377" t="inlineStr">
        <is>
          <t>3號,1代 / 2代</t>
        </is>
      </c>
      <c r="E5377" t="inlineStr"/>
      <c r="F5377">
        <f>IMAGE("https://cf.shopee.tw/file/tw-11134207-7r98o-lknh71x1ybb300_tn")</f>
        <v/>
      </c>
    </row>
    <row r="5378">
      <c r="A5378" t="inlineStr">
        <is>
          <t>22851973418</t>
        </is>
      </c>
      <c r="B5378" t="inlineStr">
        <is>
          <t>隔日到貨🔥 Airpods 透明殼 1代 2代 pro pro2 3 軟殼 A21 保護殼 防摔殼 保護套 耳機殼</t>
        </is>
      </c>
      <c r="C5378">
        <f>IMAGE("https://cf.shopee.tw/file/tw-11134207-7r98o-lkng9x5hf60wa5_tn")</f>
        <v/>
      </c>
      <c r="D5378" t="inlineStr">
        <is>
          <t>3號,［3代］</t>
        </is>
      </c>
      <c r="E5378" t="inlineStr"/>
      <c r="F5378">
        <f>IMAGE("https://cf.shopee.tw/file/tw-11134207-7r98o-lknh71x1ybb300_tn")</f>
        <v/>
      </c>
    </row>
    <row r="5379">
      <c r="A5379" t="inlineStr">
        <is>
          <t>22851973418</t>
        </is>
      </c>
      <c r="B5379" t="inlineStr">
        <is>
          <t>隔日到貨🔥 Airpods 透明殼 1代 2代 pro pro2 3 軟殼 A21 保護殼 防摔殼 保護套 耳機殼</t>
        </is>
      </c>
      <c r="C5379">
        <f>IMAGE("https://cf.shopee.tw/file/tw-11134207-7r98o-lkng9x5hf60wa5_tn")</f>
        <v/>
      </c>
      <c r="D5379" t="inlineStr">
        <is>
          <t>4號,1代 / 2代</t>
        </is>
      </c>
      <c r="E5379" t="inlineStr"/>
      <c r="F5379">
        <f>IMAGE("https://cf.shopee.tw/file/tw-11134207-7r98o-lknh7dnwq3zza5_tn")</f>
        <v/>
      </c>
    </row>
    <row r="5380">
      <c r="A5380" t="inlineStr">
        <is>
          <t>22851973418</t>
        </is>
      </c>
      <c r="B5380" t="inlineStr">
        <is>
          <t>隔日到貨🔥 Airpods 透明殼 1代 2代 pro pro2 3 軟殼 A21 保護殼 防摔殼 保護套 耳機殼</t>
        </is>
      </c>
      <c r="C5380">
        <f>IMAGE("https://cf.shopee.tw/file/tw-11134207-7r98o-lkng9x5hf60wa5_tn")</f>
        <v/>
      </c>
      <c r="D5380" t="inlineStr">
        <is>
          <t>5號,1代 / 2代</t>
        </is>
      </c>
      <c r="E5380" t="inlineStr"/>
      <c r="F5380">
        <f>IMAGE("https://cf.shopee.tw/file/tw-11134207-7r98o-lknh7dnwrikf40_tn")</f>
        <v/>
      </c>
    </row>
    <row r="5381">
      <c r="A5381" t="inlineStr">
        <is>
          <t>22367862290</t>
        </is>
      </c>
      <c r="B5381" t="inlineStr">
        <is>
          <t>隔日到貨🔥 尼龍斜背包 韓系 ins 熱銷款🏆 B25 可放長夾 單肩 斜背 側背包 單肩包 學生包 斜背包</t>
        </is>
      </c>
      <c r="C5381">
        <f>IMAGE("https://cf.shopee.tw/file/tw-11134207-7qul4-lgrj676as089bf_tn")</f>
        <v/>
      </c>
      <c r="D5381" t="inlineStr">
        <is>
          <t>黑色</t>
        </is>
      </c>
      <c r="E5381" t="inlineStr">
        <is>
          <t>214293193930</t>
        </is>
      </c>
      <c r="F5381">
        <f>IMAGE("https://cf.shopee.tw/file/tw-11134207-7qul2-lgrj676as0fg75_tn")</f>
        <v/>
      </c>
    </row>
    <row r="5382">
      <c r="A5382" t="inlineStr">
        <is>
          <t>22367862290</t>
        </is>
      </c>
      <c r="B5382" t="inlineStr">
        <is>
          <t>隔日到貨🔥 尼龍斜背包 韓系 ins 熱銷款🏆 B25 可放長夾 單肩 斜背 側背包 單肩包 學生包 斜背包</t>
        </is>
      </c>
      <c r="C5382">
        <f>IMAGE("https://cf.shopee.tw/file/tw-11134207-7qul4-lgrj676as089bf_tn")</f>
        <v/>
      </c>
      <c r="D5382" t="inlineStr">
        <is>
          <t>粉色</t>
        </is>
      </c>
      <c r="E5382" t="inlineStr"/>
      <c r="F5382">
        <f>IMAGE("https://cf.shopee.tw/file/tw-11134207-7qukx-lgrj676bli5le0_tn")</f>
        <v/>
      </c>
    </row>
    <row r="5383">
      <c r="A5383" t="inlineStr">
        <is>
          <t>22367862290</t>
        </is>
      </c>
      <c r="B5383" t="inlineStr">
        <is>
          <t>隔日到貨🔥 尼龍斜背包 韓系 ins 熱銷款🏆 B25 可放長夾 單肩 斜背 側背包 單肩包 學生包 斜背包</t>
        </is>
      </c>
      <c r="C5383">
        <f>IMAGE("https://cf.shopee.tw/file/tw-11134207-7qul4-lgrj676as089bf_tn")</f>
        <v/>
      </c>
      <c r="D5383" t="inlineStr">
        <is>
          <t>藍色</t>
        </is>
      </c>
      <c r="E5383" t="inlineStr"/>
      <c r="F5383">
        <f>IMAGE("https://cf.shopee.tw/file/tw-11134207-7qul4-lgrj676atesp7b_tn")</f>
        <v/>
      </c>
    </row>
    <row r="5384">
      <c r="A5384" t="inlineStr">
        <is>
          <t>22367862290</t>
        </is>
      </c>
      <c r="B5384" t="inlineStr">
        <is>
          <t>隔日到貨🔥 尼龍斜背包 韓系 ins 熱銷款🏆 B25 可放長夾 單肩 斜背 側背包 單肩包 學生包 斜背包</t>
        </is>
      </c>
      <c r="C5384">
        <f>IMAGE("https://cf.shopee.tw/file/tw-11134207-7qul4-lgrj676as089bf_tn")</f>
        <v/>
      </c>
      <c r="D5384" t="inlineStr">
        <is>
          <t>綠色</t>
        </is>
      </c>
      <c r="E5384" t="inlineStr">
        <is>
          <t>214293193929</t>
        </is>
      </c>
      <c r="F5384">
        <f>IMAGE("https://cf.shopee.tw/file/tw-11134207-7qul3-lgrj676atezwa9_tn")</f>
        <v/>
      </c>
    </row>
    <row r="5385">
      <c r="A5385" t="inlineStr">
        <is>
          <t>22367862290</t>
        </is>
      </c>
      <c r="B5385" t="inlineStr">
        <is>
          <t>隔日到貨🔥 尼龍斜背包 韓系 ins 熱銷款🏆 B25 可放長夾 單肩 斜背 側背包 單肩包 學生包 斜背包</t>
        </is>
      </c>
      <c r="C5385">
        <f>IMAGE("https://cf.shopee.tw/file/tw-11134207-7qul4-lgrj676as089bf_tn")</f>
        <v/>
      </c>
      <c r="D5385" t="inlineStr">
        <is>
          <t>紫色</t>
        </is>
      </c>
      <c r="E5385" t="inlineStr">
        <is>
          <t>148540132001</t>
        </is>
      </c>
      <c r="F5385">
        <f>IMAGE("https://cf.shopee.tw/file/tw-11134207-7r98s-lsjnnrxybaoi21_tn")</f>
        <v/>
      </c>
    </row>
    <row r="5386">
      <c r="A5386" t="inlineStr">
        <is>
          <t>22539278390</t>
        </is>
      </c>
      <c r="B5386" t="inlineStr">
        <is>
          <t>隔日到貨🔥 iPad 保護套 平板皮套 保護殼 9.7 10.2 10.9 Air 5 4 3 2 Mini 6</t>
        </is>
      </c>
      <c r="C5386">
        <f>IMAGE("https://cf.shopee.tw/file/tw-11134207-7qul1-lfo0akrfaktm66_tn")</f>
        <v/>
      </c>
      <c r="D5386" t="inlineStr">
        <is>
          <t>變形/黑色,iPad第5/6代 (9.7吋)</t>
        </is>
      </c>
      <c r="E5386" t="inlineStr"/>
      <c r="F5386">
        <f>IMAGE("https://cf.shopee.tw/file/tw-11134207-7qul3-lfo0fwpoa13h63_tn")</f>
        <v/>
      </c>
    </row>
    <row r="5387">
      <c r="A5387" t="inlineStr">
        <is>
          <t>22539278390</t>
        </is>
      </c>
      <c r="B5387" t="inlineStr">
        <is>
          <t>隔日到貨🔥 iPad 保護套 平板皮套 保護殼 9.7 10.2 10.9 Air 5 4 3 2 Mini 6</t>
        </is>
      </c>
      <c r="C5387">
        <f>IMAGE("https://cf.shopee.tw/file/tw-11134207-7qul1-lfo0akrfaktm66_tn")</f>
        <v/>
      </c>
      <c r="D5387" t="inlineStr">
        <is>
          <t>變形/黑色,iPad 7/8/9代（10.2吋）</t>
        </is>
      </c>
      <c r="E5387" t="inlineStr"/>
      <c r="F5387">
        <f>IMAGE("https://cf.shopee.tw/file/tw-11134207-7qul3-lfo0fwpoa13h63_tn")</f>
        <v/>
      </c>
    </row>
    <row r="5388">
      <c r="A5388" t="inlineStr">
        <is>
          <t>22539278390</t>
        </is>
      </c>
      <c r="B5388" t="inlineStr">
        <is>
          <t>隔日到貨🔥 iPad 保護套 平板皮套 保護殼 9.7 10.2 10.9 Air 5 4 3 2 Mini 6</t>
        </is>
      </c>
      <c r="C5388">
        <f>IMAGE("https://cf.shopee.tw/file/tw-11134207-7qul1-lfo0akrfaktm66_tn")</f>
        <v/>
      </c>
      <c r="D5388" t="inlineStr">
        <is>
          <t>變形/黑色,Air 第4/5代（10.9吋）</t>
        </is>
      </c>
      <c r="E5388" t="inlineStr"/>
      <c r="F5388">
        <f>IMAGE("https://cf.shopee.tw/file/tw-11134207-7qul3-lfo0fwpoa13h63_tn")</f>
        <v/>
      </c>
    </row>
    <row r="5389">
      <c r="A5389" t="inlineStr">
        <is>
          <t>22539278390</t>
        </is>
      </c>
      <c r="B5389" t="inlineStr">
        <is>
          <t>隔日到貨🔥 iPad 保護套 平板皮套 保護殼 9.7 10.2 10.9 Air 5 4 3 2 Mini 6</t>
        </is>
      </c>
      <c r="C5389">
        <f>IMAGE("https://cf.shopee.tw/file/tw-11134207-7qul1-lfo0akrfaktm66_tn")</f>
        <v/>
      </c>
      <c r="D5389" t="inlineStr">
        <is>
          <t>變形/黑色,Air 3/Pro 10.5</t>
        </is>
      </c>
      <c r="E5389" t="inlineStr"/>
      <c r="F5389">
        <f>IMAGE("https://cf.shopee.tw/file/tw-11134207-7qul3-lfo0fwpoa13h63_tn")</f>
        <v/>
      </c>
    </row>
    <row r="5390">
      <c r="A5390" t="inlineStr">
        <is>
          <t>22539278390</t>
        </is>
      </c>
      <c r="B5390" t="inlineStr">
        <is>
          <t>隔日到貨🔥 iPad 保護套 平板皮套 保護殼 9.7 10.2 10.9 Air 5 4 3 2 Mini 6</t>
        </is>
      </c>
      <c r="C5390">
        <f>IMAGE("https://cf.shopee.tw/file/tw-11134207-7qul1-lfo0akrfaktm66_tn")</f>
        <v/>
      </c>
      <c r="D5390" t="inlineStr">
        <is>
          <t>變形/黑色,Mini 4/5代</t>
        </is>
      </c>
      <c r="E5390" t="inlineStr"/>
      <c r="F5390">
        <f>IMAGE("https://cf.shopee.tw/file/tw-11134207-7qul3-lfo0fwpoa13h63_tn")</f>
        <v/>
      </c>
    </row>
    <row r="5391">
      <c r="A5391" t="inlineStr">
        <is>
          <t>22539278390</t>
        </is>
      </c>
      <c r="B5391" t="inlineStr">
        <is>
          <t>隔日到貨🔥 iPad 保護套 平板皮套 保護殼 9.7 10.2 10.9 Air 5 4 3 2 Mini 6</t>
        </is>
      </c>
      <c r="C5391">
        <f>IMAGE("https://cf.shopee.tw/file/tw-11134207-7qul1-lfo0akrfaktm66_tn")</f>
        <v/>
      </c>
      <c r="D5391" t="inlineStr">
        <is>
          <t>變形/黑色,Mini 6代</t>
        </is>
      </c>
      <c r="E5391" t="inlineStr"/>
      <c r="F5391">
        <f>IMAGE("https://cf.shopee.tw/file/tw-11134207-7qul3-lfo0fwpoa13h63_tn")</f>
        <v/>
      </c>
    </row>
    <row r="5392">
      <c r="A5392" t="inlineStr">
        <is>
          <t>22539278390</t>
        </is>
      </c>
      <c r="B5392" t="inlineStr">
        <is>
          <t>隔日到貨🔥 iPad 保護套 平板皮套 保護殼 9.7 10.2 10.9 Air 5 4 3 2 Mini 6</t>
        </is>
      </c>
      <c r="C5392">
        <f>IMAGE("https://cf.shopee.tw/file/tw-11134207-7qul1-lfo0akrfaktm66_tn")</f>
        <v/>
      </c>
      <c r="D5392" t="inlineStr">
        <is>
          <t>變形/深藍,iPad第5/6代 (9.7吋)</t>
        </is>
      </c>
      <c r="E5392" t="inlineStr"/>
      <c r="F5392">
        <f>IMAGE("https://cf.shopee.tw/file/tw-11134207-7qul7-lfo0g1zqjwtmeb_tn")</f>
        <v/>
      </c>
    </row>
    <row r="5393">
      <c r="A5393" t="inlineStr">
        <is>
          <t>22539278390</t>
        </is>
      </c>
      <c r="B5393" t="inlineStr">
        <is>
          <t>隔日到貨🔥 iPad 保護套 平板皮套 保護殼 9.7 10.2 10.9 Air 5 4 3 2 Mini 6</t>
        </is>
      </c>
      <c r="C5393">
        <f>IMAGE("https://cf.shopee.tw/file/tw-11134207-7qul1-lfo0akrfaktm66_tn")</f>
        <v/>
      </c>
      <c r="D5393" t="inlineStr">
        <is>
          <t>變形/深藍,iPad 7/8/9代（10.2吋）</t>
        </is>
      </c>
      <c r="E5393" t="inlineStr"/>
      <c r="F5393">
        <f>IMAGE("https://cf.shopee.tw/file/tw-11134207-7qul7-lfo0g1zqjwtmeb_tn")</f>
        <v/>
      </c>
    </row>
    <row r="5394">
      <c r="A5394" t="inlineStr">
        <is>
          <t>22539278390</t>
        </is>
      </c>
      <c r="B5394" t="inlineStr">
        <is>
          <t>隔日到貨🔥 iPad 保護套 平板皮套 保護殼 9.7 10.2 10.9 Air 5 4 3 2 Mini 6</t>
        </is>
      </c>
      <c r="C5394">
        <f>IMAGE("https://cf.shopee.tw/file/tw-11134207-7qul1-lfo0akrfaktm66_tn")</f>
        <v/>
      </c>
      <c r="D5394" t="inlineStr">
        <is>
          <t>變形/深藍,iPad 第10代(10.9吋)</t>
        </is>
      </c>
      <c r="E5394" t="inlineStr"/>
      <c r="F5394">
        <f>IMAGE("https://cf.shopee.tw/file/tw-11134207-7qul7-lfo0g1zqjwtmeb_tn")</f>
        <v/>
      </c>
    </row>
    <row r="5395">
      <c r="A5395" t="inlineStr">
        <is>
          <t>22539278390</t>
        </is>
      </c>
      <c r="B5395" t="inlineStr">
        <is>
          <t>隔日到貨🔥 iPad 保護套 平板皮套 保護殼 9.7 10.2 10.9 Air 5 4 3 2 Mini 6</t>
        </is>
      </c>
      <c r="C5395">
        <f>IMAGE("https://cf.shopee.tw/file/tw-11134207-7qul1-lfo0akrfaktm66_tn")</f>
        <v/>
      </c>
      <c r="D5395" t="inlineStr">
        <is>
          <t>變形/深藍,Air 第4/5代（10.9吋）</t>
        </is>
      </c>
      <c r="E5395" t="inlineStr"/>
      <c r="F5395">
        <f>IMAGE("https://cf.shopee.tw/file/tw-11134207-7qul7-lfo0g1zqjwtmeb_tn")</f>
        <v/>
      </c>
    </row>
    <row r="5396">
      <c r="A5396" t="inlineStr">
        <is>
          <t>22539278390</t>
        </is>
      </c>
      <c r="B5396" t="inlineStr">
        <is>
          <t>隔日到貨🔥 iPad 保護套 平板皮套 保護殼 9.7 10.2 10.9 Air 5 4 3 2 Mini 6</t>
        </is>
      </c>
      <c r="C5396">
        <f>IMAGE("https://cf.shopee.tw/file/tw-11134207-7qul1-lfo0akrfaktm66_tn")</f>
        <v/>
      </c>
      <c r="D5396" t="inlineStr">
        <is>
          <t>變形/深藍,Air 3/Pro 10.5</t>
        </is>
      </c>
      <c r="E5396" t="inlineStr"/>
      <c r="F5396">
        <f>IMAGE("https://cf.shopee.tw/file/tw-11134207-7qul7-lfo0g1zqjwtmeb_tn")</f>
        <v/>
      </c>
    </row>
    <row r="5397">
      <c r="A5397" t="inlineStr">
        <is>
          <t>22539278390</t>
        </is>
      </c>
      <c r="B5397" t="inlineStr">
        <is>
          <t>隔日到貨🔥 iPad 保護套 平板皮套 保護殼 9.7 10.2 10.9 Air 5 4 3 2 Mini 6</t>
        </is>
      </c>
      <c r="C5397">
        <f>IMAGE("https://cf.shopee.tw/file/tw-11134207-7qul1-lfo0akrfaktm66_tn")</f>
        <v/>
      </c>
      <c r="D5397" t="inlineStr">
        <is>
          <t>變形/深藍,Mini 4/5代</t>
        </is>
      </c>
      <c r="E5397" t="inlineStr"/>
      <c r="F5397">
        <f>IMAGE("https://cf.shopee.tw/file/tw-11134207-7qul7-lfo0g1zqjwtmeb_tn")</f>
        <v/>
      </c>
    </row>
    <row r="5398">
      <c r="A5398" t="inlineStr">
        <is>
          <t>22539278390</t>
        </is>
      </c>
      <c r="B5398" t="inlineStr">
        <is>
          <t>隔日到貨🔥 iPad 保護套 平板皮套 保護殼 9.7 10.2 10.9 Air 5 4 3 2 Mini 6</t>
        </is>
      </c>
      <c r="C5398">
        <f>IMAGE("https://cf.shopee.tw/file/tw-11134207-7qul1-lfo0akrfaktm66_tn")</f>
        <v/>
      </c>
      <c r="D5398" t="inlineStr">
        <is>
          <t>變形/深藍,Mini 6代</t>
        </is>
      </c>
      <c r="E5398" t="inlineStr"/>
      <c r="F5398">
        <f>IMAGE("https://cf.shopee.tw/file/tw-11134207-7qul7-lfo0g1zqjwtmeb_tn")</f>
        <v/>
      </c>
    </row>
    <row r="5399">
      <c r="A5399" t="inlineStr">
        <is>
          <t>22539278390</t>
        </is>
      </c>
      <c r="B5399" t="inlineStr">
        <is>
          <t>隔日到貨🔥 iPad 保護套 平板皮套 保護殼 9.7 10.2 10.9 Air 5 4 3 2 Mini 6</t>
        </is>
      </c>
      <c r="C5399">
        <f>IMAGE("https://cf.shopee.tw/file/tw-11134207-7qul1-lfo0akrfaktm66_tn")</f>
        <v/>
      </c>
      <c r="D5399" t="inlineStr">
        <is>
          <t>變形/玫瑰金,iPad第5/6代 (9.7吋)</t>
        </is>
      </c>
      <c r="E5399" t="inlineStr"/>
      <c r="F5399">
        <f>IMAGE("https://cf.shopee.tw/file/tw-11134207-7qul0-lfo0g5rf2qz18f_tn")</f>
        <v/>
      </c>
    </row>
    <row r="5400">
      <c r="A5400" t="inlineStr">
        <is>
          <t>22539278390</t>
        </is>
      </c>
      <c r="B5400" t="inlineStr">
        <is>
          <t>隔日到貨🔥 iPad 保護套 平板皮套 保護殼 9.7 10.2 10.9 Air 5 4 3 2 Mini 6</t>
        </is>
      </c>
      <c r="C5400">
        <f>IMAGE("https://cf.shopee.tw/file/tw-11134207-7qul1-lfo0akrfaktm66_tn")</f>
        <v/>
      </c>
      <c r="D5400" t="inlineStr">
        <is>
          <t>變形/玫瑰金,iPad 7/8/9代（10.2吋）</t>
        </is>
      </c>
      <c r="E5400" t="inlineStr"/>
      <c r="F5400">
        <f>IMAGE("https://cf.shopee.tw/file/tw-11134207-7qul0-lfo0g5rf2qz18f_tn")</f>
        <v/>
      </c>
    </row>
    <row r="5401">
      <c r="A5401" t="inlineStr">
        <is>
          <t>22539278390</t>
        </is>
      </c>
      <c r="B5401" t="inlineStr">
        <is>
          <t>隔日到貨🔥 iPad 保護套 平板皮套 保護殼 9.7 10.2 10.9 Air 5 4 3 2 Mini 6</t>
        </is>
      </c>
      <c r="C5401">
        <f>IMAGE("https://cf.shopee.tw/file/tw-11134207-7qul1-lfo0akrfaktm66_tn")</f>
        <v/>
      </c>
      <c r="D5401" t="inlineStr">
        <is>
          <t>變形/玫瑰金,iPad 第10代(10.9吋)</t>
        </is>
      </c>
      <c r="E5401" t="inlineStr"/>
      <c r="F5401">
        <f>IMAGE("https://cf.shopee.tw/file/tw-11134207-7qul0-lfo0g5rf2qz18f_tn")</f>
        <v/>
      </c>
    </row>
    <row r="5402">
      <c r="A5402" t="inlineStr">
        <is>
          <t>22539278390</t>
        </is>
      </c>
      <c r="B5402" t="inlineStr">
        <is>
          <t>隔日到貨🔥 iPad 保護套 平板皮套 保護殼 9.7 10.2 10.9 Air 5 4 3 2 Mini 6</t>
        </is>
      </c>
      <c r="C5402">
        <f>IMAGE("https://cf.shopee.tw/file/tw-11134207-7qul1-lfo0akrfaktm66_tn")</f>
        <v/>
      </c>
      <c r="D5402" t="inlineStr">
        <is>
          <t>變形/玫瑰金,Air 第4/5代（10.9吋）</t>
        </is>
      </c>
      <c r="E5402" t="inlineStr"/>
      <c r="F5402">
        <f>IMAGE("https://cf.shopee.tw/file/tw-11134207-7qul0-lfo0g5rf2qz18f_tn")</f>
        <v/>
      </c>
    </row>
    <row r="5403">
      <c r="A5403" t="inlineStr">
        <is>
          <t>22539278390</t>
        </is>
      </c>
      <c r="B5403" t="inlineStr">
        <is>
          <t>隔日到貨🔥 iPad 保護套 平板皮套 保護殼 9.7 10.2 10.9 Air 5 4 3 2 Mini 6</t>
        </is>
      </c>
      <c r="C5403">
        <f>IMAGE("https://cf.shopee.tw/file/tw-11134207-7qul1-lfo0akrfaktm66_tn")</f>
        <v/>
      </c>
      <c r="D5403" t="inlineStr">
        <is>
          <t>變形/玫瑰金,Air 3/Pro 10.5</t>
        </is>
      </c>
      <c r="E5403" t="inlineStr"/>
      <c r="F5403">
        <f>IMAGE("https://cf.shopee.tw/file/tw-11134207-7qul0-lfo0g5rf2qz18f_tn")</f>
        <v/>
      </c>
    </row>
    <row r="5404">
      <c r="A5404" t="inlineStr">
        <is>
          <t>22539278390</t>
        </is>
      </c>
      <c r="B5404" t="inlineStr">
        <is>
          <t>隔日到貨🔥 iPad 保護套 平板皮套 保護殼 9.7 10.2 10.9 Air 5 4 3 2 Mini 6</t>
        </is>
      </c>
      <c r="C5404">
        <f>IMAGE("https://cf.shopee.tw/file/tw-11134207-7qul1-lfo0akrfaktm66_tn")</f>
        <v/>
      </c>
      <c r="D5404" t="inlineStr">
        <is>
          <t>變形/玫瑰金,Mini 4/5代</t>
        </is>
      </c>
      <c r="E5404" t="inlineStr"/>
      <c r="F5404">
        <f>IMAGE("https://cf.shopee.tw/file/tw-11134207-7qul0-lfo0g5rf2qz18f_tn")</f>
        <v/>
      </c>
    </row>
    <row r="5405">
      <c r="A5405" t="inlineStr">
        <is>
          <t>22539278390</t>
        </is>
      </c>
      <c r="B5405" t="inlineStr">
        <is>
          <t>隔日到貨🔥 iPad 保護套 平板皮套 保護殼 9.7 10.2 10.9 Air 5 4 3 2 Mini 6</t>
        </is>
      </c>
      <c r="C5405">
        <f>IMAGE("https://cf.shopee.tw/file/tw-11134207-7qul1-lfo0akrfaktm66_tn")</f>
        <v/>
      </c>
      <c r="D5405" t="inlineStr">
        <is>
          <t>變形/玫瑰金,Mini 6代</t>
        </is>
      </c>
      <c r="E5405" t="inlineStr"/>
      <c r="F5405">
        <f>IMAGE("https://cf.shopee.tw/file/tw-11134207-7qul0-lfo0g5rf2qz18f_tn")</f>
        <v/>
      </c>
    </row>
    <row r="5406">
      <c r="A5406" t="inlineStr">
        <is>
          <t>22539278390</t>
        </is>
      </c>
      <c r="B5406" t="inlineStr">
        <is>
          <t>隔日到貨🔥 iPad 保護套 平板皮套 保護殼 9.7 10.2 10.9 Air 5 4 3 2 Mini 6</t>
        </is>
      </c>
      <c r="C5406">
        <f>IMAGE("https://cf.shopee.tw/file/tw-11134207-7qul1-lfo0akrfaktm66_tn")</f>
        <v/>
      </c>
      <c r="D5406" t="inlineStr">
        <is>
          <t>變形/灰色,iPad第5/6代 (9.7吋)</t>
        </is>
      </c>
      <c r="E5406" t="inlineStr"/>
      <c r="F5406">
        <f>IMAGE("https://cf.shopee.tw/file/tw-11134207-7qula-lfo0gex1mz2l90_tn")</f>
        <v/>
      </c>
    </row>
    <row r="5407">
      <c r="A5407" t="inlineStr">
        <is>
          <t>22539278390</t>
        </is>
      </c>
      <c r="B5407" t="inlineStr">
        <is>
          <t>隔日到貨🔥 iPad 保護套 平板皮套 保護殼 9.7 10.2 10.9 Air 5 4 3 2 Mini 6</t>
        </is>
      </c>
      <c r="C5407">
        <f>IMAGE("https://cf.shopee.tw/file/tw-11134207-7qul1-lfo0akrfaktm66_tn")</f>
        <v/>
      </c>
      <c r="D5407" t="inlineStr">
        <is>
          <t>變形/灰色,iPad 7/8/9代（10.2吋）</t>
        </is>
      </c>
      <c r="E5407" t="inlineStr"/>
      <c r="F5407">
        <f>IMAGE("https://cf.shopee.tw/file/tw-11134207-7qula-lfo0gex1mz2l90_tn")</f>
        <v/>
      </c>
    </row>
    <row r="5408">
      <c r="A5408" t="inlineStr">
        <is>
          <t>22539278390</t>
        </is>
      </c>
      <c r="B5408" t="inlineStr">
        <is>
          <t>隔日到貨🔥 iPad 保護套 平板皮套 保護殼 9.7 10.2 10.9 Air 5 4 3 2 Mini 6</t>
        </is>
      </c>
      <c r="C5408">
        <f>IMAGE("https://cf.shopee.tw/file/tw-11134207-7qul1-lfo0akrfaktm66_tn")</f>
        <v/>
      </c>
      <c r="D5408" t="inlineStr">
        <is>
          <t>變形/灰色,iPad 第10代(10.9吋)</t>
        </is>
      </c>
      <c r="E5408" t="inlineStr"/>
      <c r="F5408">
        <f>IMAGE("https://cf.shopee.tw/file/tw-11134207-7qula-lfo0gex1mz2l90_tn")</f>
        <v/>
      </c>
    </row>
    <row r="5409">
      <c r="A5409" t="inlineStr">
        <is>
          <t>22539278390</t>
        </is>
      </c>
      <c r="B5409" t="inlineStr">
        <is>
          <t>隔日到貨🔥 iPad 保護套 平板皮套 保護殼 9.7 10.2 10.9 Air 5 4 3 2 Mini 6</t>
        </is>
      </c>
      <c r="C5409">
        <f>IMAGE("https://cf.shopee.tw/file/tw-11134207-7qul1-lfo0akrfaktm66_tn")</f>
        <v/>
      </c>
      <c r="D5409" t="inlineStr">
        <is>
          <t>變形/灰色,Air 第4/5代（10.9吋）</t>
        </is>
      </c>
      <c r="E5409" t="inlineStr"/>
      <c r="F5409">
        <f>IMAGE("https://cf.shopee.tw/file/tw-11134207-7qula-lfo0gex1mz2l90_tn")</f>
        <v/>
      </c>
    </row>
    <row r="5410">
      <c r="A5410" t="inlineStr">
        <is>
          <t>22539278390</t>
        </is>
      </c>
      <c r="B5410" t="inlineStr">
        <is>
          <t>隔日到貨🔥 iPad 保護套 平板皮套 保護殼 9.7 10.2 10.9 Air 5 4 3 2 Mini 6</t>
        </is>
      </c>
      <c r="C5410">
        <f>IMAGE("https://cf.shopee.tw/file/tw-11134207-7qul1-lfo0akrfaktm66_tn")</f>
        <v/>
      </c>
      <c r="D5410" t="inlineStr">
        <is>
          <t>變形/灰色,Air 3/Pro 10.5</t>
        </is>
      </c>
      <c r="E5410" t="inlineStr"/>
      <c r="F5410">
        <f>IMAGE("https://cf.shopee.tw/file/tw-11134207-7qula-lfo0gex1mz2l90_tn")</f>
        <v/>
      </c>
    </row>
    <row r="5411">
      <c r="A5411" t="inlineStr">
        <is>
          <t>22539278390</t>
        </is>
      </c>
      <c r="B5411" t="inlineStr">
        <is>
          <t>隔日到貨🔥 iPad 保護套 平板皮套 保護殼 9.7 10.2 10.9 Air 5 4 3 2 Mini 6</t>
        </is>
      </c>
      <c r="C5411">
        <f>IMAGE("https://cf.shopee.tw/file/tw-11134207-7qul1-lfo0akrfaktm66_tn")</f>
        <v/>
      </c>
      <c r="D5411" t="inlineStr">
        <is>
          <t>變形/灰色,Mini 1/2/3代</t>
        </is>
      </c>
      <c r="E5411" t="inlineStr"/>
      <c r="F5411">
        <f>IMAGE("https://cf.shopee.tw/file/tw-11134207-7qula-lfo0gex1mz2l90_tn")</f>
        <v/>
      </c>
    </row>
    <row r="5412">
      <c r="A5412" t="inlineStr">
        <is>
          <t>22539278390</t>
        </is>
      </c>
      <c r="B5412" t="inlineStr">
        <is>
          <t>隔日到貨🔥 iPad 保護套 平板皮套 保護殼 9.7 10.2 10.9 Air 5 4 3 2 Mini 6</t>
        </is>
      </c>
      <c r="C5412">
        <f>IMAGE("https://cf.shopee.tw/file/tw-11134207-7qul1-lfo0akrfaktm66_tn")</f>
        <v/>
      </c>
      <c r="D5412" t="inlineStr">
        <is>
          <t>變形/灰色,Mini 4/5代</t>
        </is>
      </c>
      <c r="E5412" t="inlineStr"/>
      <c r="F5412">
        <f>IMAGE("https://cf.shopee.tw/file/tw-11134207-7qula-lfo0gex1mz2l90_tn")</f>
        <v/>
      </c>
    </row>
    <row r="5413">
      <c r="A5413" t="inlineStr">
        <is>
          <t>22539278390</t>
        </is>
      </c>
      <c r="B5413" t="inlineStr">
        <is>
          <t>隔日到貨🔥 iPad 保護套 平板皮套 保護殼 9.7 10.2 10.9 Air 5 4 3 2 Mini 6</t>
        </is>
      </c>
      <c r="C5413">
        <f>IMAGE("https://cf.shopee.tw/file/tw-11134207-7qul1-lfo0akrfaktm66_tn")</f>
        <v/>
      </c>
      <c r="D5413" t="inlineStr">
        <is>
          <t>變形/灰色,Mini 6代</t>
        </is>
      </c>
      <c r="E5413" t="inlineStr"/>
      <c r="F5413">
        <f>IMAGE("https://cf.shopee.tw/file/tw-11134207-7qula-lfo0gex1mz2l90_tn")</f>
        <v/>
      </c>
    </row>
    <row r="5414">
      <c r="A5414" t="inlineStr">
        <is>
          <t>22539278390</t>
        </is>
      </c>
      <c r="B5414" t="inlineStr">
        <is>
          <t>隔日到貨🔥 iPad 保護套 平板皮套 保護殼 9.7 10.2 10.9 Air 5 4 3 2 Mini 6</t>
        </is>
      </c>
      <c r="C5414">
        <f>IMAGE("https://cf.shopee.tw/file/tw-11134207-7qul1-lfo0akrfaktm66_tn")</f>
        <v/>
      </c>
      <c r="D5414" t="inlineStr">
        <is>
          <t>變形/薰衣草灰,iPad第5/6代 (9.7吋)</t>
        </is>
      </c>
      <c r="E5414" t="inlineStr"/>
      <c r="F5414">
        <f>IMAGE("https://cf.shopee.tw/file/tw-11134207-7qul1-lfo0gk068e8d82_tn")</f>
        <v/>
      </c>
    </row>
    <row r="5415">
      <c r="A5415" t="inlineStr">
        <is>
          <t>22539278390</t>
        </is>
      </c>
      <c r="B5415" t="inlineStr">
        <is>
          <t>隔日到貨🔥 iPad 保護套 平板皮套 保護殼 9.7 10.2 10.9 Air 5 4 3 2 Mini 6</t>
        </is>
      </c>
      <c r="C5415">
        <f>IMAGE("https://cf.shopee.tw/file/tw-11134207-7qul1-lfo0akrfaktm66_tn")</f>
        <v/>
      </c>
      <c r="D5415" t="inlineStr">
        <is>
          <t>變形/薰衣草灰,iPad 7/8/9代（10.2吋）</t>
        </is>
      </c>
      <c r="E5415" t="inlineStr"/>
      <c r="F5415">
        <f>IMAGE("https://cf.shopee.tw/file/tw-11134207-7qul1-lfo0gk068e8d82_tn")</f>
        <v/>
      </c>
    </row>
    <row r="5416">
      <c r="A5416" t="inlineStr">
        <is>
          <t>22539278390</t>
        </is>
      </c>
      <c r="B5416" t="inlineStr">
        <is>
          <t>隔日到貨🔥 iPad 保護套 平板皮套 保護殼 9.7 10.2 10.9 Air 5 4 3 2 Mini 6</t>
        </is>
      </c>
      <c r="C5416">
        <f>IMAGE("https://cf.shopee.tw/file/tw-11134207-7qul1-lfo0akrfaktm66_tn")</f>
        <v/>
      </c>
      <c r="D5416" t="inlineStr">
        <is>
          <t>變形/薰衣草灰,iPad 第10代(10.9吋)</t>
        </is>
      </c>
      <c r="E5416" t="inlineStr"/>
      <c r="F5416">
        <f>IMAGE("https://cf.shopee.tw/file/tw-11134207-7qul1-lfo0gk068e8d82_tn")</f>
        <v/>
      </c>
    </row>
    <row r="5417">
      <c r="A5417" t="inlineStr">
        <is>
          <t>22539278390</t>
        </is>
      </c>
      <c r="B5417" t="inlineStr">
        <is>
          <t>隔日到貨🔥 iPad 保護套 平板皮套 保護殼 9.7 10.2 10.9 Air 5 4 3 2 Mini 6</t>
        </is>
      </c>
      <c r="C5417">
        <f>IMAGE("https://cf.shopee.tw/file/tw-11134207-7qul1-lfo0akrfaktm66_tn")</f>
        <v/>
      </c>
      <c r="D5417" t="inlineStr">
        <is>
          <t>變形/薰衣草灰,Air 第4/5代（10.9吋）</t>
        </is>
      </c>
      <c r="E5417" t="inlineStr"/>
      <c r="F5417">
        <f>IMAGE("https://cf.shopee.tw/file/tw-11134207-7qul1-lfo0gk068e8d82_tn")</f>
        <v/>
      </c>
    </row>
    <row r="5418">
      <c r="A5418" t="inlineStr">
        <is>
          <t>22539278390</t>
        </is>
      </c>
      <c r="B5418" t="inlineStr">
        <is>
          <t>隔日到貨🔥 iPad 保護套 平板皮套 保護殼 9.7 10.2 10.9 Air 5 4 3 2 Mini 6</t>
        </is>
      </c>
      <c r="C5418">
        <f>IMAGE("https://cf.shopee.tw/file/tw-11134207-7qul1-lfo0akrfaktm66_tn")</f>
        <v/>
      </c>
      <c r="D5418" t="inlineStr">
        <is>
          <t>變形/薰衣草灰,Air 3/Pro 10.5</t>
        </is>
      </c>
      <c r="E5418" t="inlineStr"/>
      <c r="F5418">
        <f>IMAGE("https://cf.shopee.tw/file/tw-11134207-7qul1-lfo0gk068e8d82_tn")</f>
        <v/>
      </c>
    </row>
    <row r="5419">
      <c r="A5419" t="inlineStr">
        <is>
          <t>22539278390</t>
        </is>
      </c>
      <c r="B5419" t="inlineStr">
        <is>
          <t>隔日到貨🔥 iPad 保護套 平板皮套 保護殼 9.7 10.2 10.9 Air 5 4 3 2 Mini 6</t>
        </is>
      </c>
      <c r="C5419">
        <f>IMAGE("https://cf.shopee.tw/file/tw-11134207-7qul1-lfo0akrfaktm66_tn")</f>
        <v/>
      </c>
      <c r="D5419" t="inlineStr">
        <is>
          <t>變形/薰衣草灰,Mini 1/2/3代</t>
        </is>
      </c>
      <c r="E5419" t="inlineStr"/>
      <c r="F5419">
        <f>IMAGE("https://cf.shopee.tw/file/tw-11134207-7qul1-lfo0gk068e8d82_tn")</f>
        <v/>
      </c>
    </row>
    <row r="5420">
      <c r="A5420" t="inlineStr">
        <is>
          <t>22539278390</t>
        </is>
      </c>
      <c r="B5420" t="inlineStr">
        <is>
          <t>隔日到貨🔥 iPad 保護套 平板皮套 保護殼 9.7 10.2 10.9 Air 5 4 3 2 Mini 6</t>
        </is>
      </c>
      <c r="C5420">
        <f>IMAGE("https://cf.shopee.tw/file/tw-11134207-7qul1-lfo0akrfaktm66_tn")</f>
        <v/>
      </c>
      <c r="D5420" t="inlineStr">
        <is>
          <t>變形/薰衣草灰,Mini 4/5代</t>
        </is>
      </c>
      <c r="E5420" t="inlineStr"/>
      <c r="F5420">
        <f>IMAGE("https://cf.shopee.tw/file/tw-11134207-7qul1-lfo0gk068e8d82_tn")</f>
        <v/>
      </c>
    </row>
    <row r="5421">
      <c r="A5421" t="inlineStr">
        <is>
          <t>22539278390</t>
        </is>
      </c>
      <c r="B5421" t="inlineStr">
        <is>
          <t>隔日到貨🔥 iPad 保護套 平板皮套 保護殼 9.7 10.2 10.9 Air 5 4 3 2 Mini 6</t>
        </is>
      </c>
      <c r="C5421">
        <f>IMAGE("https://cf.shopee.tw/file/tw-11134207-7qul1-lfo0akrfaktm66_tn")</f>
        <v/>
      </c>
      <c r="D5421" t="inlineStr">
        <is>
          <t>變形/薰衣草灰,Mini 6代</t>
        </is>
      </c>
      <c r="E5421" t="inlineStr"/>
      <c r="F5421">
        <f>IMAGE("https://cf.shopee.tw/file/tw-11134207-7qul1-lfo0gk068e8d82_tn")</f>
        <v/>
      </c>
    </row>
    <row r="5422">
      <c r="A5422" t="inlineStr">
        <is>
          <t>22539278390</t>
        </is>
      </c>
      <c r="B5422" t="inlineStr">
        <is>
          <t>隔日到貨🔥 iPad 保護套 平板皮套 保護殼 9.7 10.2 10.9 Air 5 4 3 2 Mini 6</t>
        </is>
      </c>
      <c r="C5422">
        <f>IMAGE("https://cf.shopee.tw/file/tw-11134207-7qul1-lfo0akrfaktm66_tn")</f>
        <v/>
      </c>
      <c r="D5422" t="inlineStr">
        <is>
          <t>變形/黑色,iPad 第10代(10.9吋)</t>
        </is>
      </c>
      <c r="E5422" t="inlineStr"/>
      <c r="F5422">
        <f>IMAGE("https://cf.shopee.tw/file/tw-11134207-7qul3-lfo0fwpoa13h63_tn")</f>
        <v/>
      </c>
    </row>
    <row r="5423">
      <c r="A5423" t="inlineStr">
        <is>
          <t>22539278390</t>
        </is>
      </c>
      <c r="B5423" t="inlineStr">
        <is>
          <t>隔日到貨🔥 iPad 保護套 平板皮套 保護殼 9.7 10.2 10.9 Air 5 4 3 2 Mini 6</t>
        </is>
      </c>
      <c r="C5423">
        <f>IMAGE("https://cf.shopee.tw/file/tw-11134207-7qul1-lfo0akrfaktm66_tn")</f>
        <v/>
      </c>
      <c r="D5423" t="inlineStr">
        <is>
          <t>變形/黑色,Mini 1/2/3代</t>
        </is>
      </c>
      <c r="E5423" t="inlineStr"/>
      <c r="F5423">
        <f>IMAGE("https://cf.shopee.tw/file/tw-11134207-7qul3-lfo0fwpoa13h63_tn")</f>
        <v/>
      </c>
    </row>
    <row r="5424">
      <c r="A5424" t="inlineStr">
        <is>
          <t>22539278390</t>
        </is>
      </c>
      <c r="B5424" t="inlineStr">
        <is>
          <t>隔日到貨🔥 iPad 保護套 平板皮套 保護殼 9.7 10.2 10.9 Air 5 4 3 2 Mini 6</t>
        </is>
      </c>
      <c r="C5424">
        <f>IMAGE("https://cf.shopee.tw/file/tw-11134207-7qul1-lfo0akrfaktm66_tn")</f>
        <v/>
      </c>
      <c r="D5424" t="inlineStr">
        <is>
          <t>變形/深藍,Mini 1/2/3代</t>
        </is>
      </c>
      <c r="E5424" t="inlineStr"/>
      <c r="F5424">
        <f>IMAGE("https://cf.shopee.tw/file/tw-11134207-7qul7-lfo0g1zqjwtmeb_tn")</f>
        <v/>
      </c>
    </row>
    <row r="5425">
      <c r="A5425" t="inlineStr">
        <is>
          <t>22539278390</t>
        </is>
      </c>
      <c r="B5425" t="inlineStr">
        <is>
          <t>隔日到貨🔥 iPad 保護套 平板皮套 保護殼 9.7 10.2 10.9 Air 5 4 3 2 Mini 6</t>
        </is>
      </c>
      <c r="C5425">
        <f>IMAGE("https://cf.shopee.tw/file/tw-11134207-7qul1-lfo0akrfaktm66_tn")</f>
        <v/>
      </c>
      <c r="D5425" t="inlineStr">
        <is>
          <t>變形/玫瑰金,Mini 1/2/3代</t>
        </is>
      </c>
      <c r="E5425" t="inlineStr"/>
      <c r="F5425">
        <f>IMAGE("https://cf.shopee.tw/file/tw-11134207-7qul0-lfo0g5rf2qz18f_tn")</f>
        <v/>
      </c>
    </row>
    <row r="5426">
      <c r="A5426" t="inlineStr">
        <is>
          <t>3277376316</t>
        </is>
      </c>
      <c r="B5426" t="inlineStr">
        <is>
          <t>隔日到貨🔥 韓國 卡通徽章小方包 B30 斜背包 防水 韓式 徽章可拆卸 牛津布 肩背包 單肩包 包包 學生包 小方包</t>
        </is>
      </c>
      <c r="C5426">
        <f>IMAGE("https://cf.shopee.tw/file/75fb008d7ae76b3ac06af07329760a51_tn")</f>
        <v/>
      </c>
      <c r="D5426" t="inlineStr">
        <is>
          <t>綠色</t>
        </is>
      </c>
      <c r="E5426" t="inlineStr"/>
      <c r="F5426">
        <f>IMAGE("https://cf.shopee.tw/file/426d93b9fe5e6089a8abbc84aa9b37db_tn")</f>
        <v/>
      </c>
    </row>
    <row r="5427">
      <c r="A5427" t="inlineStr">
        <is>
          <t>3277376316</t>
        </is>
      </c>
      <c r="B5427" t="inlineStr">
        <is>
          <t>隔日到貨🔥 韓國 卡通徽章小方包 B30 斜背包 防水 韓式 徽章可拆卸 牛津布 肩背包 單肩包 包包 學生包 小方包</t>
        </is>
      </c>
      <c r="C5427">
        <f>IMAGE("https://cf.shopee.tw/file/75fb008d7ae76b3ac06af07329760a51_tn")</f>
        <v/>
      </c>
      <c r="D5427" t="inlineStr">
        <is>
          <t>藍色</t>
        </is>
      </c>
      <c r="E5427" t="inlineStr"/>
      <c r="F5427">
        <f>IMAGE("https://cf.shopee.tw/file/9e2f19d7aad364a25c66425d4a9ab7f8_tn")</f>
        <v/>
      </c>
    </row>
    <row r="5428">
      <c r="A5428" t="inlineStr">
        <is>
          <t>3277376316</t>
        </is>
      </c>
      <c r="B5428" t="inlineStr">
        <is>
          <t>隔日到貨🔥 韓國 卡通徽章小方包 B30 斜背包 防水 韓式 徽章可拆卸 牛津布 肩背包 單肩包 包包 學生包 小方包</t>
        </is>
      </c>
      <c r="C5428">
        <f>IMAGE("https://cf.shopee.tw/file/75fb008d7ae76b3ac06af07329760a51_tn")</f>
        <v/>
      </c>
      <c r="D5428" t="inlineStr">
        <is>
          <t>粉紅色</t>
        </is>
      </c>
      <c r="E5428" t="inlineStr"/>
      <c r="F5428">
        <f>IMAGE("https://cf.shopee.tw/file/bdd91aaf4d39b8fcb04479805d4be0d3_tn")</f>
        <v/>
      </c>
    </row>
    <row r="5429">
      <c r="A5429" t="inlineStr">
        <is>
          <t>3277376316</t>
        </is>
      </c>
      <c r="B5429" t="inlineStr">
        <is>
          <t>隔日到貨🔥 韓國 卡通徽章小方包 B30 斜背包 防水 韓式 徽章可拆卸 牛津布 肩背包 單肩包 包包 學生包 小方包</t>
        </is>
      </c>
      <c r="C5429">
        <f>IMAGE("https://cf.shopee.tw/file/75fb008d7ae76b3ac06af07329760a51_tn")</f>
        <v/>
      </c>
      <c r="D5429" t="inlineStr">
        <is>
          <t>黑色</t>
        </is>
      </c>
      <c r="E5429" t="inlineStr"/>
      <c r="F5429">
        <f>IMAGE("https://cf.shopee.tw/file/58172e8f7485c04abe7abbb51021100b_tn")</f>
        <v/>
      </c>
    </row>
    <row r="5430">
      <c r="A5430" t="inlineStr">
        <is>
          <t>20784492958</t>
        </is>
      </c>
      <c r="B5430" t="inlineStr">
        <is>
          <t>隔日到貨🔥 日系小包包 小熊單肩包 B29 日系原宿ins 郵差包 小熊包 斜背包 側背包 單肩包 肩背包</t>
        </is>
      </c>
      <c r="C5430">
        <f>IMAGE("https://cf.shopee.tw/file/tw-11134207-7r991-lm06jbncio4975_tn")</f>
        <v/>
      </c>
      <c r="D5430" t="inlineStr">
        <is>
          <t>黑色（含可愛徽章1個)（無小熊掛飾）</t>
        </is>
      </c>
      <c r="E5430" t="inlineStr"/>
      <c r="F5430">
        <f>IMAGE("https://cf.shopee.tw/file/tw-11134207-7r98o-lm06k2zizbfdf3_tn")</f>
        <v/>
      </c>
    </row>
    <row r="5431">
      <c r="A5431" t="inlineStr">
        <is>
          <t>20784492958</t>
        </is>
      </c>
      <c r="B5431" t="inlineStr">
        <is>
          <t>隔日到貨🔥 日系小包包 小熊單肩包 B29 日系原宿ins 郵差包 小熊包 斜背包 側背包 單肩包 肩背包</t>
        </is>
      </c>
      <c r="C5431">
        <f>IMAGE("https://cf.shopee.tw/file/tw-11134207-7r991-lm06jbncio4975_tn")</f>
        <v/>
      </c>
      <c r="D5431" t="inlineStr">
        <is>
          <t>白色（含可愛徽章1個)（無小熊掛飾）</t>
        </is>
      </c>
      <c r="E5431" t="inlineStr"/>
      <c r="F5431">
        <f>IMAGE("https://cf.shopee.tw/file/tw-11134207-7r992-lm06k2zijuzfaf_tn")</f>
        <v/>
      </c>
    </row>
    <row r="5432">
      <c r="A5432" t="inlineStr">
        <is>
          <t>20784492958</t>
        </is>
      </c>
      <c r="B5432" t="inlineStr">
        <is>
          <t>隔日到貨🔥 日系小包包 小熊單肩包 B29 日系原宿ins 郵差包 小熊包 斜背包 側背包 單肩包 肩背包</t>
        </is>
      </c>
      <c r="C5432">
        <f>IMAGE("https://cf.shopee.tw/file/tw-11134207-7r991-lm06jbncio4975_tn")</f>
        <v/>
      </c>
      <c r="D5432" t="inlineStr">
        <is>
          <t>棕色（含可愛徽章1個)（無小熊掛飾）</t>
        </is>
      </c>
      <c r="E5432" t="inlineStr"/>
      <c r="F5432">
        <f>IMAGE("https://cf.shopee.tw/file/tw-11134207-7r98u-lm06k2zijv6hdc_tn")</f>
        <v/>
      </c>
    </row>
    <row r="5433">
      <c r="A5433" t="inlineStr">
        <is>
          <t>22717272289</t>
        </is>
      </c>
      <c r="B5433" t="inlineStr">
        <is>
          <t>隔日到貨🔥 韓國時尚 尼龍菱格斜背包 B23 水餃包 餃子包 斜背包 百搭大容量 托特包 肩背包 側背包 牛津布</t>
        </is>
      </c>
      <c r="C5433">
        <f>IMAGE("https://cf.shopee.tw/file/sg-11134201-23010-r8dj1a0yk3lvca_tn")</f>
        <v/>
      </c>
      <c r="D5433" t="inlineStr">
        <is>
          <t>黑色</t>
        </is>
      </c>
      <c r="E5433" t="inlineStr"/>
      <c r="F5433">
        <f>IMAGE("https://cf.shopee.tw/file/sg-11134201-23010-k9epexq3k3lva0_tn")</f>
        <v/>
      </c>
    </row>
    <row r="5434">
      <c r="A5434" t="inlineStr">
        <is>
          <t>22717272289</t>
        </is>
      </c>
      <c r="B5434" t="inlineStr">
        <is>
          <t>隔日到貨🔥 韓國時尚 尼龍菱格斜背包 B23 水餃包 餃子包 斜背包 百搭大容量 托特包 肩背包 側背包 牛津布</t>
        </is>
      </c>
      <c r="C5434">
        <f>IMAGE("https://cf.shopee.tw/file/sg-11134201-23010-r8dj1a0yk3lvca_tn")</f>
        <v/>
      </c>
      <c r="D5434" t="inlineStr">
        <is>
          <t>白色</t>
        </is>
      </c>
      <c r="E5434" t="inlineStr">
        <is>
          <t>39237571270</t>
        </is>
      </c>
      <c r="F5434">
        <f>IMAGE("https://cf.shopee.tw/file/sg-11134201-23010-frjc1mw3k3lvd2_tn")</f>
        <v/>
      </c>
    </row>
    <row r="5435">
      <c r="A5435" t="inlineStr">
        <is>
          <t>6458834339</t>
        </is>
      </c>
      <c r="B5435" t="inlineStr">
        <is>
          <t>隔日到貨🔥 新款 韓版小方包 B45 韓系 ins 氣質 網美 學生 百搭 簡約 背包 單肩包 斜背包 手提包</t>
        </is>
      </c>
      <c r="C5435">
        <f>IMAGE("https://cf.shopee.tw/file/sg-11134201-23010-d12nfjzthwmv6d_tn")</f>
        <v/>
      </c>
      <c r="D5435" t="inlineStr">
        <is>
          <t>黑色</t>
        </is>
      </c>
      <c r="E5435" t="inlineStr"/>
      <c r="F5435">
        <f>IMAGE("https://cf.shopee.tw/file/43399cfd19bb7adb91ff83216a4f8800_tn")</f>
        <v/>
      </c>
    </row>
    <row r="5436">
      <c r="A5436" t="inlineStr">
        <is>
          <t>6458834339</t>
        </is>
      </c>
      <c r="B5436" t="inlineStr">
        <is>
          <t>隔日到貨🔥 新款 韓版小方包 B45 韓系 ins 氣質 網美 學生 百搭 簡約 背包 單肩包 斜背包 手提包</t>
        </is>
      </c>
      <c r="C5436">
        <f>IMAGE("https://cf.shopee.tw/file/sg-11134201-23010-d12nfjzthwmv6d_tn")</f>
        <v/>
      </c>
      <c r="D5436" t="inlineStr">
        <is>
          <t>棕色</t>
        </is>
      </c>
      <c r="E5436" t="inlineStr"/>
      <c r="F5436">
        <f>IMAGE("https://cf.shopee.tw/file/32fc030a03cd5e7c743abb96fba0cf69_tn")</f>
        <v/>
      </c>
    </row>
    <row r="5437">
      <c r="A5437" t="inlineStr">
        <is>
          <t>6458834339</t>
        </is>
      </c>
      <c r="B5437" t="inlineStr">
        <is>
          <t>隔日到貨🔥 新款 韓版小方包 B45 韓系 ins 氣質 網美 學生 百搭 簡約 背包 單肩包 斜背包 手提包</t>
        </is>
      </c>
      <c r="C5437">
        <f>IMAGE("https://cf.shopee.tw/file/sg-11134201-23010-d12nfjzthwmv6d_tn")</f>
        <v/>
      </c>
      <c r="D5437" t="inlineStr">
        <is>
          <t>杏色</t>
        </is>
      </c>
      <c r="E5437" t="inlineStr"/>
      <c r="F5437">
        <f>IMAGE("https://cf.shopee.tw/file/087bf6a7315650290c11b2c5ce35b8b8_tn")</f>
        <v/>
      </c>
    </row>
    <row r="5438">
      <c r="A5438" t="inlineStr">
        <is>
          <t>18326975636</t>
        </is>
      </c>
      <c r="B5438" t="inlineStr">
        <is>
          <t>隔日到貨🔥 透明殼 Airpods 1代 2代 pro 3代 附掛鉤 軟殼 保護殼 防摔殼 保護套 耳機殼</t>
        </is>
      </c>
      <c r="C5438">
        <f>IMAGE("https://cf.shopee.tw/file/e93c297ea5dc04079e424a302749b62a_tn")</f>
        <v/>
      </c>
      <c r="D5438" t="inlineStr">
        <is>
          <t>1.笑臉（附掛勾）,Pro1代 / Pro2代 (通用）</t>
        </is>
      </c>
      <c r="E5438" t="inlineStr"/>
      <c r="F5438">
        <f>IMAGE("https://cf.shopee.tw/file/87d1373273bf333220d7a098124239b3_tn")</f>
        <v/>
      </c>
    </row>
    <row r="5439">
      <c r="A5439" t="inlineStr">
        <is>
          <t>18326975636</t>
        </is>
      </c>
      <c r="B5439" t="inlineStr">
        <is>
          <t>隔日到貨🔥 透明殼 Airpods 1代 2代 pro 3代 附掛鉤 軟殼 保護殼 防摔殼 保護套 耳機殼</t>
        </is>
      </c>
      <c r="C5439">
        <f>IMAGE("https://cf.shopee.tw/file/e93c297ea5dc04079e424a302749b62a_tn")</f>
        <v/>
      </c>
      <c r="D5439" t="inlineStr">
        <is>
          <t>1.笑臉（附掛勾）,［3代］</t>
        </is>
      </c>
      <c r="E5439" t="inlineStr"/>
      <c r="F5439">
        <f>IMAGE("https://cf.shopee.tw/file/87d1373273bf333220d7a098124239b3_tn")</f>
        <v/>
      </c>
    </row>
    <row r="5440">
      <c r="A5440" t="inlineStr">
        <is>
          <t>18326975636</t>
        </is>
      </c>
      <c r="B5440" t="inlineStr">
        <is>
          <t>隔日到貨🔥 透明殼 Airpods 1代 2代 pro 3代 附掛鉤 軟殼 保護殼 防摔殼 保護套 耳機殼</t>
        </is>
      </c>
      <c r="C5440">
        <f>IMAGE("https://cf.shopee.tw/file/e93c297ea5dc04079e424a302749b62a_tn")</f>
        <v/>
      </c>
      <c r="D5440" t="inlineStr">
        <is>
          <t>拼接彩色（附掛勾）,Pro1代 / Pro2代 (通用）</t>
        </is>
      </c>
      <c r="E5440" t="inlineStr"/>
      <c r="F5440">
        <f>IMAGE("https://cf.shopee.tw/file/19601cb46afb77b9310899bb09823cec_tn")</f>
        <v/>
      </c>
    </row>
    <row r="5441">
      <c r="A5441" t="inlineStr">
        <is>
          <t>18326975636</t>
        </is>
      </c>
      <c r="B5441" t="inlineStr">
        <is>
          <t>隔日到貨🔥 透明殼 Airpods 1代 2代 pro 3代 附掛鉤 軟殼 保護殼 防摔殼 保護套 耳機殼</t>
        </is>
      </c>
      <c r="C5441">
        <f>IMAGE("https://cf.shopee.tw/file/e93c297ea5dc04079e424a302749b62a_tn")</f>
        <v/>
      </c>
      <c r="D5441" t="inlineStr">
        <is>
          <t>拼接彩色（附掛勾）,［3代］</t>
        </is>
      </c>
      <c r="E5441" t="inlineStr"/>
      <c r="F5441">
        <f>IMAGE("https://cf.shopee.tw/file/19601cb46afb77b9310899bb09823cec_tn")</f>
        <v/>
      </c>
    </row>
    <row r="5442">
      <c r="A5442" t="inlineStr">
        <is>
          <t>18326975636</t>
        </is>
      </c>
      <c r="B5442" t="inlineStr">
        <is>
          <t>隔日到貨🔥 透明殼 Airpods 1代 2代 pro 3代 附掛鉤 軟殼 保護殼 防摔殼 保護套 耳機殼</t>
        </is>
      </c>
      <c r="C5442">
        <f>IMAGE("https://cf.shopee.tw/file/e93c297ea5dc04079e424a302749b62a_tn")</f>
        <v/>
      </c>
      <c r="D5442" t="inlineStr">
        <is>
          <t>3.碎花（附掛勾）,Pro1代 / Pro2代 (通用）</t>
        </is>
      </c>
      <c r="E5442" t="inlineStr"/>
      <c r="F5442">
        <f>IMAGE("https://cf.shopee.tw/file/b7bfbddde7a99767af069e25786a833b_tn")</f>
        <v/>
      </c>
    </row>
    <row r="5443">
      <c r="A5443" t="inlineStr">
        <is>
          <t>18326975636</t>
        </is>
      </c>
      <c r="B5443" t="inlineStr">
        <is>
          <t>隔日到貨🔥 透明殼 Airpods 1代 2代 pro 3代 附掛鉤 軟殼 保護殼 防摔殼 保護套 耳機殼</t>
        </is>
      </c>
      <c r="C5443">
        <f>IMAGE("https://cf.shopee.tw/file/e93c297ea5dc04079e424a302749b62a_tn")</f>
        <v/>
      </c>
      <c r="D5443" t="inlineStr">
        <is>
          <t>3.碎花（附掛勾）,［3代］</t>
        </is>
      </c>
      <c r="E5443" t="inlineStr"/>
      <c r="F5443">
        <f>IMAGE("https://cf.shopee.tw/file/b7bfbddde7a99767af069e25786a833b_tn")</f>
        <v/>
      </c>
    </row>
    <row r="5444">
      <c r="A5444" t="inlineStr">
        <is>
          <t>18326975636</t>
        </is>
      </c>
      <c r="B5444" t="inlineStr">
        <is>
          <t>隔日到貨🔥 透明殼 Airpods 1代 2代 pro 3代 附掛鉤 軟殼 保護殼 防摔殼 保護套 耳機殼</t>
        </is>
      </c>
      <c r="C5444">
        <f>IMAGE("https://cf.shopee.tw/file/e93c297ea5dc04079e424a302749b62a_tn")</f>
        <v/>
      </c>
      <c r="D5444" t="inlineStr">
        <is>
          <t>4.塗鴉笑臉（附掛勾）,［3代］</t>
        </is>
      </c>
      <c r="E5444" t="inlineStr"/>
      <c r="F5444">
        <f>IMAGE("https://cf.shopee.tw/file/4794b45cd7a7221c10befdde307093df_tn")</f>
        <v/>
      </c>
    </row>
    <row r="5445">
      <c r="A5445" t="inlineStr">
        <is>
          <t>18326975636</t>
        </is>
      </c>
      <c r="B5445" t="inlineStr">
        <is>
          <t>隔日到貨🔥 透明殼 Airpods 1代 2代 pro 3代 附掛鉤 軟殼 保護殼 防摔殼 保護套 耳機殼</t>
        </is>
      </c>
      <c r="C5445">
        <f>IMAGE("https://cf.shopee.tw/file/e93c297ea5dc04079e424a302749b62a_tn")</f>
        <v/>
      </c>
      <c r="D5445" t="inlineStr">
        <is>
          <t>1.笑臉（附掛勾）,1代 / 2代</t>
        </is>
      </c>
      <c r="E5445" t="inlineStr"/>
      <c r="F5445">
        <f>IMAGE("https://cf.shopee.tw/file/87d1373273bf333220d7a098124239b3_tn")</f>
        <v/>
      </c>
    </row>
    <row r="5446">
      <c r="A5446" t="inlineStr">
        <is>
          <t>18326975636</t>
        </is>
      </c>
      <c r="B5446" t="inlineStr">
        <is>
          <t>隔日到貨🔥 透明殼 Airpods 1代 2代 pro 3代 附掛鉤 軟殼 保護殼 防摔殼 保護套 耳機殼</t>
        </is>
      </c>
      <c r="C5446">
        <f>IMAGE("https://cf.shopee.tw/file/e93c297ea5dc04079e424a302749b62a_tn")</f>
        <v/>
      </c>
      <c r="D5446" t="inlineStr">
        <is>
          <t>拼接彩色（附掛勾）,1代 / 2代</t>
        </is>
      </c>
      <c r="E5446" t="inlineStr"/>
      <c r="F5446">
        <f>IMAGE("https://cf.shopee.tw/file/19601cb46afb77b9310899bb09823cec_tn")</f>
        <v/>
      </c>
    </row>
    <row r="5447">
      <c r="A5447" t="inlineStr">
        <is>
          <t>18326975636</t>
        </is>
      </c>
      <c r="B5447" t="inlineStr">
        <is>
          <t>隔日到貨🔥 透明殼 Airpods 1代 2代 pro 3代 附掛鉤 軟殼 保護殼 防摔殼 保護套 耳機殼</t>
        </is>
      </c>
      <c r="C5447">
        <f>IMAGE("https://cf.shopee.tw/file/e93c297ea5dc04079e424a302749b62a_tn")</f>
        <v/>
      </c>
      <c r="D5447" t="inlineStr">
        <is>
          <t>3.碎花（附掛勾）,1代 / 2代</t>
        </is>
      </c>
      <c r="E5447" t="inlineStr"/>
      <c r="F5447">
        <f>IMAGE("https://cf.shopee.tw/file/b7bfbddde7a99767af069e25786a833b_tn")</f>
        <v/>
      </c>
    </row>
    <row r="5448">
      <c r="A5448" t="inlineStr">
        <is>
          <t>18326975636</t>
        </is>
      </c>
      <c r="B5448" t="inlineStr">
        <is>
          <t>隔日到貨🔥 透明殼 Airpods 1代 2代 pro 3代 附掛鉤 軟殼 保護殼 防摔殼 保護套 耳機殼</t>
        </is>
      </c>
      <c r="C5448">
        <f>IMAGE("https://cf.shopee.tw/file/e93c297ea5dc04079e424a302749b62a_tn")</f>
        <v/>
      </c>
      <c r="D5448" t="inlineStr">
        <is>
          <t>4.塗鴉笑臉（附掛勾）,1代 / 2代</t>
        </is>
      </c>
      <c r="E5448" t="inlineStr"/>
      <c r="F5448">
        <f>IMAGE("https://cf.shopee.tw/file/4794b45cd7a7221c10befdde307093df_tn")</f>
        <v/>
      </c>
    </row>
    <row r="5449">
      <c r="A5449" t="inlineStr">
        <is>
          <t>18326975636</t>
        </is>
      </c>
      <c r="B5449" t="inlineStr">
        <is>
          <t>隔日到貨🔥 透明殼 Airpods 1代 2代 pro 3代 附掛鉤 軟殼 保護殼 防摔殼 保護套 耳機殼</t>
        </is>
      </c>
      <c r="C5449">
        <f>IMAGE("https://cf.shopee.tw/file/e93c297ea5dc04079e424a302749b62a_tn")</f>
        <v/>
      </c>
      <c r="D5449" t="inlineStr">
        <is>
          <t>4.塗鴉笑臉（附掛勾）,Pro1代 / Pro2代 (通用）</t>
        </is>
      </c>
      <c r="E5449" t="inlineStr"/>
      <c r="F5449">
        <f>IMAGE("https://cf.shopee.tw/file/4794b45cd7a7221c10befdde307093df_tn")</f>
        <v/>
      </c>
    </row>
    <row r="5450">
      <c r="A5450" t="inlineStr">
        <is>
          <t>9447133700</t>
        </is>
      </c>
      <c r="B5450" t="inlineStr">
        <is>
          <t>隔日到貨🔥 韓版薄款 泡泡襪 堆堆襪 長襪 直筒襪 中筒襪 襪子 韓風 熱銷 女襪 長襪 情侶襪 可愛襪</t>
        </is>
      </c>
      <c r="C5450">
        <f>IMAGE("https://cf.shopee.tw/file/b8bfde28e06d9d925b04bed299d4b8a6_tn")</f>
        <v/>
      </c>
      <c r="D5450" t="inlineStr">
        <is>
          <t>白色</t>
        </is>
      </c>
      <c r="E5450" t="inlineStr"/>
      <c r="F5450">
        <f>IMAGE("https://cf.shopee.tw/file/62574e143b379eaa2ff44bb72f0550e9_tn")</f>
        <v/>
      </c>
    </row>
    <row r="5451">
      <c r="A5451" t="inlineStr">
        <is>
          <t>9447133700</t>
        </is>
      </c>
      <c r="B5451" t="inlineStr">
        <is>
          <t>隔日到貨🔥 韓版薄款 泡泡襪 堆堆襪 長襪 直筒襪 中筒襪 襪子 韓風 熱銷 女襪 長襪 情侶襪 可愛襪</t>
        </is>
      </c>
      <c r="C5451">
        <f>IMAGE("https://cf.shopee.tw/file/b8bfde28e06d9d925b04bed299d4b8a6_tn")</f>
        <v/>
      </c>
      <c r="D5451" t="inlineStr">
        <is>
          <t>軍綠</t>
        </is>
      </c>
      <c r="E5451" t="inlineStr"/>
      <c r="F5451">
        <f>IMAGE("https://cf.shopee.tw/file/d086bde798bf50436741e0df9f71ac45_tn")</f>
        <v/>
      </c>
    </row>
    <row r="5452">
      <c r="A5452" t="inlineStr">
        <is>
          <t>9447133700</t>
        </is>
      </c>
      <c r="B5452" t="inlineStr">
        <is>
          <t>隔日到貨🔥 韓版薄款 泡泡襪 堆堆襪 長襪 直筒襪 中筒襪 襪子 韓風 熱銷 女襪 長襪 情侶襪 可愛襪</t>
        </is>
      </c>
      <c r="C5452">
        <f>IMAGE("https://cf.shopee.tw/file/b8bfde28e06d9d925b04bed299d4b8a6_tn")</f>
        <v/>
      </c>
      <c r="D5452" t="inlineStr">
        <is>
          <t>豆沙紫</t>
        </is>
      </c>
      <c r="E5452" t="inlineStr"/>
      <c r="F5452">
        <f>IMAGE("https://cf.shopee.tw/file/1bc844c7978a74f92e83fb5e5c01945e_tn")</f>
        <v/>
      </c>
    </row>
    <row r="5453">
      <c r="A5453" t="inlineStr">
        <is>
          <t>9447133700</t>
        </is>
      </c>
      <c r="B5453" t="inlineStr">
        <is>
          <t>隔日到貨🔥 韓版薄款 泡泡襪 堆堆襪 長襪 直筒襪 中筒襪 襪子 韓風 熱銷 女襪 長襪 情侶襪 可愛襪</t>
        </is>
      </c>
      <c r="C5453">
        <f>IMAGE("https://cf.shopee.tw/file/b8bfde28e06d9d925b04bed299d4b8a6_tn")</f>
        <v/>
      </c>
      <c r="D5453" t="inlineStr">
        <is>
          <t>酒紅</t>
        </is>
      </c>
      <c r="E5453" t="inlineStr"/>
      <c r="F5453">
        <f>IMAGE("https://cf.shopee.tw/file/0420a28542d8fbffa20e457c978901c4_tn")</f>
        <v/>
      </c>
    </row>
    <row r="5454">
      <c r="A5454" t="inlineStr">
        <is>
          <t>9447133700</t>
        </is>
      </c>
      <c r="B5454" t="inlineStr">
        <is>
          <t>隔日到貨🔥 韓版薄款 泡泡襪 堆堆襪 長襪 直筒襪 中筒襪 襪子 韓風 熱銷 女襪 長襪 情侶襪 可愛襪</t>
        </is>
      </c>
      <c r="C5454">
        <f>IMAGE("https://cf.shopee.tw/file/b8bfde28e06d9d925b04bed299d4b8a6_tn")</f>
        <v/>
      </c>
      <c r="D5454" t="inlineStr">
        <is>
          <t>薑黃</t>
        </is>
      </c>
      <c r="E5454" t="inlineStr"/>
      <c r="F5454">
        <f>IMAGE("https://cf.shopee.tw/file/12b3b73dd9cffea2127c93e0b63334c5_tn")</f>
        <v/>
      </c>
    </row>
    <row r="5455">
      <c r="A5455" t="inlineStr">
        <is>
          <t>9447133700</t>
        </is>
      </c>
      <c r="B5455" t="inlineStr">
        <is>
          <t>隔日到貨🔥 韓版薄款 泡泡襪 堆堆襪 長襪 直筒襪 中筒襪 襪子 韓風 熱銷 女襪 長襪 情侶襪 可愛襪</t>
        </is>
      </c>
      <c r="C5455">
        <f>IMAGE("https://cf.shopee.tw/file/b8bfde28e06d9d925b04bed299d4b8a6_tn")</f>
        <v/>
      </c>
      <c r="D5455" t="inlineStr">
        <is>
          <t>淡粉</t>
        </is>
      </c>
      <c r="E5455" t="inlineStr"/>
      <c r="F5455">
        <f>IMAGE("https://cf.shopee.tw/file/8eed8b0a19c0f0cdfa48ef954c2d73bb_tn")</f>
        <v/>
      </c>
    </row>
    <row r="5456">
      <c r="A5456" t="inlineStr">
        <is>
          <t>9447133700</t>
        </is>
      </c>
      <c r="B5456" t="inlineStr">
        <is>
          <t>隔日到貨🔥 韓版薄款 泡泡襪 堆堆襪 長襪 直筒襪 中筒襪 襪子 韓風 熱銷 女襪 長襪 情侶襪 可愛襪</t>
        </is>
      </c>
      <c r="C5456">
        <f>IMAGE("https://cf.shopee.tw/file/b8bfde28e06d9d925b04bed299d4b8a6_tn")</f>
        <v/>
      </c>
      <c r="D5456" t="inlineStr">
        <is>
          <t>黑色</t>
        </is>
      </c>
      <c r="E5456" t="inlineStr"/>
      <c r="F5456">
        <f>IMAGE("https://cf.shopee.tw/file/3a1a204a0e4929c4fb48d82c4f7150db_tn")</f>
        <v/>
      </c>
    </row>
    <row r="5457">
      <c r="A5457" t="inlineStr">
        <is>
          <t>9447133700</t>
        </is>
      </c>
      <c r="B5457" t="inlineStr">
        <is>
          <t>隔日到貨🔥 韓版薄款 泡泡襪 堆堆襪 長襪 直筒襪 中筒襪 襪子 韓風 熱銷 女襪 長襪 情侶襪 可愛襪</t>
        </is>
      </c>
      <c r="C5457">
        <f>IMAGE("https://cf.shopee.tw/file/b8bfde28e06d9d925b04bed299d4b8a6_tn")</f>
        <v/>
      </c>
      <c r="D5457" t="inlineStr">
        <is>
          <t>淺灰</t>
        </is>
      </c>
      <c r="E5457" t="inlineStr"/>
      <c r="F5457">
        <f>IMAGE("https://cf.shopee.tw/file/2c5e26d84442ce726a011467e20de6d1_tn")</f>
        <v/>
      </c>
    </row>
    <row r="5458">
      <c r="A5458" t="inlineStr">
        <is>
          <t>9447133700</t>
        </is>
      </c>
      <c r="B5458" t="inlineStr">
        <is>
          <t>隔日到貨🔥 韓版薄款 泡泡襪 堆堆襪 長襪 直筒襪 中筒襪 襪子 韓風 熱銷 女襪 長襪 情侶襪 可愛襪</t>
        </is>
      </c>
      <c r="C5458">
        <f>IMAGE("https://cf.shopee.tw/file/b8bfde28e06d9d925b04bed299d4b8a6_tn")</f>
        <v/>
      </c>
      <c r="D5458" t="inlineStr">
        <is>
          <t>藏青</t>
        </is>
      </c>
      <c r="E5458" t="inlineStr"/>
      <c r="F5458">
        <f>IMAGE("https://cf.shopee.tw/file/d2400812f8c29bfce74a75e593cd3c06_tn")</f>
        <v/>
      </c>
    </row>
    <row r="5459">
      <c r="A5459" t="inlineStr">
        <is>
          <t>9447133700</t>
        </is>
      </c>
      <c r="B5459" t="inlineStr">
        <is>
          <t>隔日到貨🔥 韓版薄款 泡泡襪 堆堆襪 長襪 直筒襪 中筒襪 襪子 韓風 熱銷 女襪 長襪 情侶襪 可愛襪</t>
        </is>
      </c>
      <c r="C5459">
        <f>IMAGE("https://cf.shopee.tw/file/b8bfde28e06d9d925b04bed299d4b8a6_tn")</f>
        <v/>
      </c>
      <c r="D5459" t="inlineStr">
        <is>
          <t>深灰</t>
        </is>
      </c>
      <c r="E5459" t="inlineStr"/>
      <c r="F5459">
        <f>IMAGE("https://cf.shopee.tw/file/d4246c729115eafb5cb4385d34a35623_tn")</f>
        <v/>
      </c>
    </row>
    <row r="5460">
      <c r="A5460" t="inlineStr">
        <is>
          <t>9447133700</t>
        </is>
      </c>
      <c r="B5460" t="inlineStr">
        <is>
          <t>隔日到貨🔥 韓版薄款 泡泡襪 堆堆襪 長襪 直筒襪 中筒襪 襪子 韓風 熱銷 女襪 長襪 情侶襪 可愛襪</t>
        </is>
      </c>
      <c r="C5460">
        <f>IMAGE("https://cf.shopee.tw/file/b8bfde28e06d9d925b04bed299d4b8a6_tn")</f>
        <v/>
      </c>
      <c r="D5460" t="inlineStr">
        <is>
          <t>焦糖</t>
        </is>
      </c>
      <c r="E5460" t="inlineStr"/>
      <c r="F5460">
        <f>IMAGE("https://cf.shopee.tw/file/0f6f0012713399f89eeafbb7bc2ca055_tn")</f>
        <v/>
      </c>
    </row>
    <row r="5461">
      <c r="A5461" t="inlineStr">
        <is>
          <t>17200838831</t>
        </is>
      </c>
      <c r="B5461" t="inlineStr">
        <is>
          <t>隔日到貨🔥 小熊 化妝包 B1 超大容量 收納包 便攜 洗漱包 帆布 包包 日韓 少女 手拿包 手提包</t>
        </is>
      </c>
      <c r="C5461">
        <f>IMAGE("https://cf.shopee.tw/file/9ab5e7ffa099cb0793ef7af9634e5958_tn")</f>
        <v/>
      </c>
      <c r="D5461" t="inlineStr">
        <is>
          <t>1. 米白淺咖原點小熊</t>
        </is>
      </c>
      <c r="E5461" t="inlineStr"/>
      <c r="F5461">
        <f>IMAGE("https://cf.shopee.tw/file/1fcba82d1052381816b7e69db4092d40_tn")</f>
        <v/>
      </c>
    </row>
    <row r="5462">
      <c r="A5462" t="inlineStr">
        <is>
          <t>17200838831</t>
        </is>
      </c>
      <c r="B5462" t="inlineStr">
        <is>
          <t>隔日到貨🔥 小熊 化妝包 B1 超大容量 收納包 便攜 洗漱包 帆布 包包 日韓 少女 手拿包 手提包</t>
        </is>
      </c>
      <c r="C5462">
        <f>IMAGE("https://cf.shopee.tw/file/9ab5e7ffa099cb0793ef7af9634e5958_tn")</f>
        <v/>
      </c>
      <c r="D5462" t="inlineStr">
        <is>
          <t>2. 奶藍海鹽</t>
        </is>
      </c>
      <c r="E5462" t="inlineStr"/>
      <c r="F5462">
        <f>IMAGE("https://cf.shopee.tw/file/2619aa3f3be5fc727765b5cacbc43168_tn")</f>
        <v/>
      </c>
    </row>
    <row r="5463">
      <c r="A5463" t="inlineStr">
        <is>
          <t>17200838831</t>
        </is>
      </c>
      <c r="B5463" t="inlineStr">
        <is>
          <t>隔日到貨🔥 小熊 化妝包 B1 超大容量 收納包 便攜 洗漱包 帆布 包包 日韓 少女 手拿包 手提包</t>
        </is>
      </c>
      <c r="C5463">
        <f>IMAGE("https://cf.shopee.tw/file/9ab5e7ffa099cb0793ef7af9634e5958_tn")</f>
        <v/>
      </c>
      <c r="D5463" t="inlineStr">
        <is>
          <t>4. 香芋啵啵</t>
        </is>
      </c>
      <c r="E5463" t="inlineStr"/>
      <c r="F5463">
        <f>IMAGE("https://cf.shopee.tw/file/0e245ebc227b19b16f602b76bddb71e5_tn")</f>
        <v/>
      </c>
    </row>
    <row r="5464">
      <c r="A5464" t="inlineStr">
        <is>
          <t>17200838831</t>
        </is>
      </c>
      <c r="B5464" t="inlineStr">
        <is>
          <t>隔日到貨🔥 小熊 化妝包 B1 超大容量 收納包 便攜 洗漱包 帆布 包包 日韓 少女 手拿包 手提包</t>
        </is>
      </c>
      <c r="C5464">
        <f>IMAGE("https://cf.shopee.tw/file/9ab5e7ffa099cb0793ef7af9634e5958_tn")</f>
        <v/>
      </c>
      <c r="D5464" t="inlineStr">
        <is>
          <t>米黃格子熊</t>
        </is>
      </c>
      <c r="E5464" t="inlineStr"/>
      <c r="F5464">
        <f>IMAGE("https://cf.shopee.tw/file/tw-11134207-7r98y-lujcbi9rbs3a36_tn")</f>
        <v/>
      </c>
    </row>
    <row r="5465">
      <c r="A5465" t="inlineStr">
        <is>
          <t>17200838831</t>
        </is>
      </c>
      <c r="B5465" t="inlineStr">
        <is>
          <t>隔日到貨🔥 小熊 化妝包 B1 超大容量 收納包 便攜 洗漱包 帆布 包包 日韓 少女 手拿包 手提包</t>
        </is>
      </c>
      <c r="C5465">
        <f>IMAGE("https://cf.shopee.tw/file/9ab5e7ffa099cb0793ef7af9634e5958_tn")</f>
        <v/>
      </c>
      <c r="D5465" t="inlineStr">
        <is>
          <t>3. 冰激凌小熊</t>
        </is>
      </c>
      <c r="E5465" t="inlineStr"/>
      <c r="F5465">
        <f>IMAGE("https://cf.shopee.tw/file/46f9b7a12c56cb04a2d333141b6244b4_tn")</f>
        <v/>
      </c>
    </row>
    <row r="5466">
      <c r="A5466" t="inlineStr">
        <is>
          <t>17200838831</t>
        </is>
      </c>
      <c r="B5466" t="inlineStr">
        <is>
          <t>隔日到貨🔥 小熊 化妝包 B1 超大容量 收納包 便攜 洗漱包 帆布 包包 日韓 少女 手拿包 手提包</t>
        </is>
      </c>
      <c r="C5466">
        <f>IMAGE("https://cf.shopee.tw/file/9ab5e7ffa099cb0793ef7af9634e5958_tn")</f>
        <v/>
      </c>
      <c r="D5466" t="inlineStr">
        <is>
          <t>黃色笑臉熊</t>
        </is>
      </c>
      <c r="E5466" t="inlineStr"/>
      <c r="F5466">
        <f>IMAGE("https://cf.shopee.tw/file/tw-11134207-7r98p-lpga39hs1oc3e9_tn")</f>
        <v/>
      </c>
    </row>
    <row r="5467">
      <c r="A5467" t="inlineStr">
        <is>
          <t>18066755908</t>
        </is>
      </c>
      <c r="B5467" t="inlineStr">
        <is>
          <t>隔日到貨🔥 ins 韓版網紅爆款 S14 大C純色棉襪 高筒襪 長襪 韓風熱銷 女襪 襪子 可愛襪 運動襪 秋冬襪</t>
        </is>
      </c>
      <c r="C5467">
        <f>IMAGE("https://cf.shopee.tw/file/sg-11134201-22120-fv8i91opookve4_tn")</f>
        <v/>
      </c>
      <c r="D5467" t="inlineStr">
        <is>
          <t>黑色</t>
        </is>
      </c>
      <c r="E5467" t="inlineStr"/>
      <c r="F5467">
        <f>IMAGE("https://cf.shopee.tw/file/sg-11134201-22120-yu15eacsookv7f_tn")</f>
        <v/>
      </c>
    </row>
    <row r="5468">
      <c r="A5468" t="inlineStr">
        <is>
          <t>18066755908</t>
        </is>
      </c>
      <c r="B5468" t="inlineStr">
        <is>
          <t>隔日到貨🔥 ins 韓版網紅爆款 S14 大C純色棉襪 高筒襪 長襪 韓風熱銷 女襪 襪子 可愛襪 運動襪 秋冬襪</t>
        </is>
      </c>
      <c r="C5468">
        <f>IMAGE("https://cf.shopee.tw/file/sg-11134201-22120-fv8i91opookve4_tn")</f>
        <v/>
      </c>
      <c r="D5468" t="inlineStr">
        <is>
          <t>白色</t>
        </is>
      </c>
      <c r="E5468" t="inlineStr"/>
      <c r="F5468">
        <f>IMAGE("https://cf.shopee.tw/file/sg-11134201-22120-4vl41dgsookva2_tn")</f>
        <v/>
      </c>
    </row>
    <row r="5469">
      <c r="A5469" t="inlineStr">
        <is>
          <t>18066755908</t>
        </is>
      </c>
      <c r="B5469" t="inlineStr">
        <is>
          <t>隔日到貨🔥 ins 韓版網紅爆款 S14 大C純色棉襪 高筒襪 長襪 韓風熱銷 女襪 襪子 可愛襪 運動襪 秋冬襪</t>
        </is>
      </c>
      <c r="C5469">
        <f>IMAGE("https://cf.shopee.tw/file/sg-11134201-22120-fv8i91opookve4_tn")</f>
        <v/>
      </c>
      <c r="D5469" t="inlineStr">
        <is>
          <t>灰色</t>
        </is>
      </c>
      <c r="E5469" t="inlineStr"/>
      <c r="F5469">
        <f>IMAGE("https://cf.shopee.tw/file/sg-11134201-22120-uj2aynjsookvf3_tn")</f>
        <v/>
      </c>
    </row>
    <row r="5470">
      <c r="A5470" t="inlineStr">
        <is>
          <t>18066755908</t>
        </is>
      </c>
      <c r="B5470" t="inlineStr">
        <is>
          <t>隔日到貨🔥 ins 韓版網紅爆款 S14 大C純色棉襪 高筒襪 長襪 韓風熱銷 女襪 襪子 可愛襪 運動襪 秋冬襪</t>
        </is>
      </c>
      <c r="C5470">
        <f>IMAGE("https://cf.shopee.tw/file/sg-11134201-22120-fv8i91opookve4_tn")</f>
        <v/>
      </c>
      <c r="D5470" t="inlineStr">
        <is>
          <t>咖啡</t>
        </is>
      </c>
      <c r="E5470" t="inlineStr">
        <is>
          <t>220416359804</t>
        </is>
      </c>
      <c r="F5470">
        <f>IMAGE("https://cf.shopee.tw/file/sg-11134201-22120-vprx1bnsookva0_tn")</f>
        <v/>
      </c>
    </row>
    <row r="5471">
      <c r="A5471" t="inlineStr">
        <is>
          <t>18066755908</t>
        </is>
      </c>
      <c r="B5471" t="inlineStr">
        <is>
          <t>隔日到貨🔥 ins 韓版網紅爆款 S14 大C純色棉襪 高筒襪 長襪 韓風熱銷 女襪 襪子 可愛襪 運動襪 秋冬襪</t>
        </is>
      </c>
      <c r="C5471">
        <f>IMAGE("https://cf.shopee.tw/file/sg-11134201-22120-fv8i91opookve4_tn")</f>
        <v/>
      </c>
      <c r="D5471" t="inlineStr">
        <is>
          <t>深咖</t>
        </is>
      </c>
      <c r="E5471" t="inlineStr"/>
      <c r="F5471">
        <f>IMAGE("https://cf.shopee.tw/file/sg-11134201-22120-agx6lzrsookv8d_tn")</f>
        <v/>
      </c>
    </row>
    <row r="5472">
      <c r="A5472" t="inlineStr">
        <is>
          <t>3173071581</t>
        </is>
      </c>
      <c r="B5472" t="inlineStr">
        <is>
          <t>隔日到貨🔥 ins 日系 學院風 長襪 S22 韓風熱銷 女襪 長襪 交換禮物 情侶襪 襪子 可愛襪 運動襪 秋冬襪</t>
        </is>
      </c>
      <c r="C5472">
        <f>IMAGE("https://cf.shopee.tw/file/5153e7d39d2816a837f1e5cdad31cdff_tn")</f>
        <v/>
      </c>
      <c r="D5472" t="inlineStr">
        <is>
          <t>1.藍色條紋</t>
        </is>
      </c>
      <c r="E5472" t="inlineStr">
        <is>
          <t>31980063531</t>
        </is>
      </c>
      <c r="F5472">
        <f>IMAGE("https://cf.shopee.tw/file/be95fdb1925d6712e251eddfadd56942_tn")</f>
        <v/>
      </c>
    </row>
    <row r="5473">
      <c r="A5473" t="inlineStr">
        <is>
          <t>3173071581</t>
        </is>
      </c>
      <c r="B5473" t="inlineStr">
        <is>
          <t>隔日到貨🔥 ins 日系 學院風 長襪 S22 韓風熱銷 女襪 長襪 交換禮物 情侶襪 襪子 可愛襪 運動襪 秋冬襪</t>
        </is>
      </c>
      <c r="C5473">
        <f>IMAGE("https://cf.shopee.tw/file/5153e7d39d2816a837f1e5cdad31cdff_tn")</f>
        <v/>
      </c>
      <c r="D5473" t="inlineStr">
        <is>
          <t>2.藍色底</t>
        </is>
      </c>
      <c r="E5473" t="inlineStr"/>
      <c r="F5473">
        <f>IMAGE("https://cf.shopee.tw/file/936bf14b27b396255b2ec241be2bc78e_tn")</f>
        <v/>
      </c>
    </row>
    <row r="5474">
      <c r="A5474" t="inlineStr">
        <is>
          <t>3173071581</t>
        </is>
      </c>
      <c r="B5474" t="inlineStr">
        <is>
          <t>隔日到貨🔥 ins 日系 學院風 長襪 S22 韓風熱銷 女襪 長襪 交換禮物 情侶襪 襪子 可愛襪 運動襪 秋冬襪</t>
        </is>
      </c>
      <c r="C5474">
        <f>IMAGE("https://cf.shopee.tw/file/5153e7d39d2816a837f1e5cdad31cdff_tn")</f>
        <v/>
      </c>
      <c r="D5474" t="inlineStr">
        <is>
          <t>3.白色底</t>
        </is>
      </c>
      <c r="E5474" t="inlineStr"/>
      <c r="F5474">
        <f>IMAGE("https://cf.shopee.tw/file/80203a4c1ea9ab3fa478a48bc0e45bd4_tn")</f>
        <v/>
      </c>
    </row>
    <row r="5475">
      <c r="A5475" t="inlineStr">
        <is>
          <t>3173071581</t>
        </is>
      </c>
      <c r="B5475" t="inlineStr">
        <is>
          <t>隔日到貨🔥 ins 日系 學院風 長襪 S22 韓風熱銷 女襪 長襪 交換禮物 情侶襪 襪子 可愛襪 運動襪 秋冬襪</t>
        </is>
      </c>
      <c r="C5475">
        <f>IMAGE("https://cf.shopee.tw/file/5153e7d39d2816a837f1e5cdad31cdff_tn")</f>
        <v/>
      </c>
      <c r="D5475" t="inlineStr">
        <is>
          <t>4.藍色格子</t>
        </is>
      </c>
      <c r="E5475" t="inlineStr"/>
      <c r="F5475">
        <f>IMAGE("https://cf.shopee.tw/file/d94a7b63ee027cebb71655059bdf14e7_tn")</f>
        <v/>
      </c>
    </row>
    <row r="5476">
      <c r="A5476" t="inlineStr">
        <is>
          <t>3173071581</t>
        </is>
      </c>
      <c r="B5476" t="inlineStr">
        <is>
          <t>隔日到貨🔥 ins 日系 學院風 長襪 S22 韓風熱銷 女襪 長襪 交換禮物 情侶襪 襪子 可愛襪 運動襪 秋冬襪</t>
        </is>
      </c>
      <c r="C5476">
        <f>IMAGE("https://cf.shopee.tw/file/5153e7d39d2816a837f1e5cdad31cdff_tn")</f>
        <v/>
      </c>
      <c r="D5476" t="inlineStr">
        <is>
          <t>5.卡其條紋</t>
        </is>
      </c>
      <c r="E5476" t="inlineStr">
        <is>
          <t>41980063434</t>
        </is>
      </c>
      <c r="F5476">
        <f>IMAGE("https://cf.shopee.tw/file/6c27fe2542490e97ad796ee971139638_tn")</f>
        <v/>
      </c>
    </row>
    <row r="5477">
      <c r="A5477" t="inlineStr">
        <is>
          <t>3173071581</t>
        </is>
      </c>
      <c r="B5477" t="inlineStr">
        <is>
          <t>隔日到貨🔥 ins 日系 學院風 長襪 S22 韓風熱銷 女襪 長襪 交換禮物 情侶襪 襪子 可愛襪 運動襪 秋冬襪</t>
        </is>
      </c>
      <c r="C5477">
        <f>IMAGE("https://cf.shopee.tw/file/5153e7d39d2816a837f1e5cdad31cdff_tn")</f>
        <v/>
      </c>
      <c r="D5477" t="inlineStr">
        <is>
          <t>6.卡其格子</t>
        </is>
      </c>
      <c r="E5477" t="inlineStr"/>
      <c r="F5477">
        <f>IMAGE("https://cf.shopee.tw/file/78470b29d0d31c7d74665ac02e02bee7_tn")</f>
        <v/>
      </c>
    </row>
    <row r="5478">
      <c r="A5478" t="inlineStr">
        <is>
          <t>25766369399</t>
        </is>
      </c>
      <c r="B5478" t="inlineStr">
        <is>
          <t>隔日到貨🔥 ins 韓系 糖果色愛心刺繡短襪 船襪 短襪 襪子 棉襪 �時尚 透氣 格子 休閒襪 女襪 日系</t>
        </is>
      </c>
      <c r="C5478">
        <f>IMAGE("https://cf.shopee.tw/file/tw-11134207-7r98u-lsdwrcx76ytuea_tn")</f>
        <v/>
      </c>
      <c r="D5478" t="inlineStr">
        <is>
          <t>白色</t>
        </is>
      </c>
      <c r="E5478" t="inlineStr"/>
      <c r="F5478">
        <f>IMAGE("https://cf.shopee.tw/file/tw-11134207-7r991-lsdxs93a0bmaba_tn")</f>
        <v/>
      </c>
    </row>
    <row r="5479">
      <c r="A5479" t="inlineStr">
        <is>
          <t>25766369399</t>
        </is>
      </c>
      <c r="B5479" t="inlineStr">
        <is>
          <t>隔日到貨🔥 ins 韓系 糖果色愛心刺繡短襪 船襪 短襪 襪子 棉襪 �時尚 透氣 格子 休閒襪 女襪 日系</t>
        </is>
      </c>
      <c r="C5479">
        <f>IMAGE("https://cf.shopee.tw/file/tw-11134207-7r98u-lsdwrcx76ytuea_tn")</f>
        <v/>
      </c>
      <c r="D5479" t="inlineStr">
        <is>
          <t>卡其色</t>
        </is>
      </c>
      <c r="E5479" t="inlineStr"/>
      <c r="F5479">
        <f>IMAGE("https://cf.shopee.tw/file/tw-11134207-7r98v-lsdxs93a0c20e4_tn")</f>
        <v/>
      </c>
    </row>
    <row r="5480">
      <c r="A5480" t="inlineStr">
        <is>
          <t>25766369399</t>
        </is>
      </c>
      <c r="B5480" t="inlineStr">
        <is>
          <t>隔日到貨🔥 ins 韓系 糖果色愛心刺繡短襪 船襪 短襪 襪子 棉襪 �時尚 透氣 格子 休閒襪 女襪 日系</t>
        </is>
      </c>
      <c r="C5480">
        <f>IMAGE("https://cf.shopee.tw/file/tw-11134207-7r98u-lsdwrcx76ytuea_tn")</f>
        <v/>
      </c>
      <c r="D5480" t="inlineStr">
        <is>
          <t>米色</t>
        </is>
      </c>
      <c r="E5480" t="inlineStr"/>
      <c r="F5480">
        <f>IMAGE("https://cf.shopee.tw/file/tw-11134207-7r98q-lsdxv4n00e147d_tn")</f>
        <v/>
      </c>
    </row>
    <row r="5481">
      <c r="A5481" t="inlineStr">
        <is>
          <t>25766369399</t>
        </is>
      </c>
      <c r="B5481" t="inlineStr">
        <is>
          <t>隔日到貨🔥 ins 韓系 糖果色愛心刺繡短襪 船襪 短襪 襪子 棉襪 �時尚 透氣 格子 休閒襪 女襪 日系</t>
        </is>
      </c>
      <c r="C5481">
        <f>IMAGE("https://cf.shopee.tw/file/tw-11134207-7r98u-lsdwrcx76ytuea_tn")</f>
        <v/>
      </c>
      <c r="D5481" t="inlineStr">
        <is>
          <t>黑色</t>
        </is>
      </c>
      <c r="E5481" t="inlineStr"/>
      <c r="F5481">
        <f>IMAGE("https://cf.shopee.tw/file/tw-11134207-7r98v-lsdxs939kvt484_tn")</f>
        <v/>
      </c>
    </row>
    <row r="5482">
      <c r="A5482" t="inlineStr">
        <is>
          <t>25766369399</t>
        </is>
      </c>
      <c r="B5482" t="inlineStr">
        <is>
          <t>隔日到貨🔥 ins 韓系 糖果色愛心刺繡短襪 船襪 短襪 襪子 棉襪 �時尚 透氣 格子 休閒襪 女襪 日系</t>
        </is>
      </c>
      <c r="C5482">
        <f>IMAGE("https://cf.shopee.tw/file/tw-11134207-7r98u-lsdwrcx76ytuea_tn")</f>
        <v/>
      </c>
      <c r="D5482" t="inlineStr">
        <is>
          <t>綠色</t>
        </is>
      </c>
      <c r="E5482" t="inlineStr"/>
      <c r="F5482">
        <f>IMAGE("https://cf.shopee.tw/file/tw-11134207-7r98s-lsdxs93afrv6f2_tn")</f>
        <v/>
      </c>
    </row>
    <row r="5483">
      <c r="A5483" t="inlineStr">
        <is>
          <t>25766369399</t>
        </is>
      </c>
      <c r="B5483" t="inlineStr">
        <is>
          <t>隔日到貨🔥 ins 韓系 糖果色愛心刺繡短襪 船襪 短襪 襪子 棉襪 �時尚 透氣 格子 休閒襪 女襪 日系</t>
        </is>
      </c>
      <c r="C5483">
        <f>IMAGE("https://cf.shopee.tw/file/tw-11134207-7r98u-lsdwrcx76ytuea_tn")</f>
        <v/>
      </c>
      <c r="D5483" t="inlineStr">
        <is>
          <t>薑黃色</t>
        </is>
      </c>
      <c r="E5483" t="inlineStr"/>
      <c r="F5483">
        <f>IMAGE("https://cf.shopee.tw/file/tw-11134207-7r98o-lsdxs939kvde91_tn")</f>
        <v/>
      </c>
    </row>
    <row r="5484">
      <c r="A5484" t="inlineStr">
        <is>
          <t>25766369399</t>
        </is>
      </c>
      <c r="B5484" t="inlineStr">
        <is>
          <t>隔日到貨🔥 ins 韓系 糖果色愛心刺繡短襪 船襪 短襪 襪子 棉襪 �時尚 透氣 格子 休閒襪 女襪 日系</t>
        </is>
      </c>
      <c r="C5484">
        <f>IMAGE("https://cf.shopee.tw/file/tw-11134207-7r98u-lsdwrcx76ytuea_tn")</f>
        <v/>
      </c>
      <c r="D5484" t="inlineStr">
        <is>
          <t>粉色</t>
        </is>
      </c>
      <c r="E5484" t="inlineStr"/>
      <c r="F5484">
        <f>IMAGE("https://cf.shopee.tw/file/tw-11134207-7r98u-lsdxv4n01slk3b_tn")</f>
        <v/>
      </c>
    </row>
    <row r="5485">
      <c r="A5485" t="inlineStr">
        <is>
          <t>25766369399</t>
        </is>
      </c>
      <c r="B5485" t="inlineStr">
        <is>
          <t>隔日到貨🔥 ins 韓系 糖果色愛心刺繡短襪 船襪 短襪 襪子 棉襪 �時尚 透氣 格子 休閒襪 女襪 日系</t>
        </is>
      </c>
      <c r="C5485">
        <f>IMAGE("https://cf.shopee.tw/file/tw-11134207-7r98u-lsdwrcx76ytuea_tn")</f>
        <v/>
      </c>
      <c r="D5485" t="inlineStr">
        <is>
          <t>咖啡色</t>
        </is>
      </c>
      <c r="E5485" t="inlineStr"/>
      <c r="F5485">
        <f>IMAGE("https://cf.shopee.tw/file/tw-11134207-7r98z-lsdxv9loqw2a67_tn")</f>
        <v/>
      </c>
    </row>
    <row r="5486">
      <c r="A5486" t="inlineStr">
        <is>
          <t>25766369399</t>
        </is>
      </c>
      <c r="B5486" t="inlineStr">
        <is>
          <t>隔日到貨🔥 ins 韓系 糖果色愛心刺繡短襪 船襪 短襪 襪子 棉襪 �時尚 透氣 格子 休閒襪 女襪 日系</t>
        </is>
      </c>
      <c r="C5486">
        <f>IMAGE("https://cf.shopee.tw/file/tw-11134207-7r98u-lsdwrcx76ytuea_tn")</f>
        <v/>
      </c>
      <c r="D5486" t="inlineStr">
        <is>
          <t>藍色</t>
        </is>
      </c>
      <c r="E5486" t="inlineStr"/>
      <c r="F5486">
        <f>IMAGE("https://cf.shopee.tw/file/tw-11134207-7r991-lsdxv9losamqbd_tn")</f>
        <v/>
      </c>
    </row>
    <row r="5487">
      <c r="A5487" t="inlineStr">
        <is>
          <t>25766369399</t>
        </is>
      </c>
      <c r="B5487" t="inlineStr">
        <is>
          <t>隔日到貨🔥 ins 韓系 糖果色愛心刺繡短襪 船襪 短襪 襪子 棉襪 �時尚 透氣 格子 休閒襪 女襪 日系</t>
        </is>
      </c>
      <c r="C5487">
        <f>IMAGE("https://cf.shopee.tw/file/tw-11134207-7r98u-lsdwrcx76ytuea_tn")</f>
        <v/>
      </c>
      <c r="D5487" t="inlineStr">
        <is>
          <t>橘色</t>
        </is>
      </c>
      <c r="E5487" t="inlineStr"/>
      <c r="F5487">
        <f>IMAGE("https://cf.shopee.tw/file/tw-11134207-7r992-lsdxvf9cguz6c5_tn")</f>
        <v/>
      </c>
    </row>
    <row r="5488">
      <c r="A5488" t="inlineStr">
        <is>
          <t>19096510153</t>
        </is>
      </c>
      <c r="B5488" t="inlineStr">
        <is>
          <t>隔日到貨🔥 ins 爆款雪山logo潮襪 潮襪 長襪 中筒襪 襪子 襪子女 白長襪 女襪 女生襪子 白色襪子 白襪</t>
        </is>
      </c>
      <c r="C5488">
        <f>IMAGE("https://cf.shopee.tw/file/tw-11134207-7r98t-lun7y7xmpf4b9a_tn")</f>
        <v/>
      </c>
      <c r="D5488" t="inlineStr">
        <is>
          <t>雪山奶白</t>
        </is>
      </c>
      <c r="E5488" t="inlineStr"/>
      <c r="F5488">
        <f>IMAGE("https://cf.shopee.tw/file/tw-11134207-7r98v-lun7y7xmqtor13_tn")</f>
        <v/>
      </c>
    </row>
    <row r="5489">
      <c r="A5489" t="inlineStr">
        <is>
          <t>19096510153</t>
        </is>
      </c>
      <c r="B5489" t="inlineStr">
        <is>
          <t>隔日到貨🔥 ins 爆款雪山logo潮襪 潮襪 長襪 中筒襪 襪子 襪子女 白長襪 女襪 女生襪子 白色襪子 白襪</t>
        </is>
      </c>
      <c r="C5489">
        <f>IMAGE("https://cf.shopee.tw/file/tw-11134207-7r98t-lun7y7xmpf4b9a_tn")</f>
        <v/>
      </c>
      <c r="D5489" t="inlineStr">
        <is>
          <t>雪山灰色</t>
        </is>
      </c>
      <c r="E5489" t="inlineStr"/>
      <c r="F5489">
        <f>IMAGE("https://cf.shopee.tw/file/tw-11134207-7r98v-lun7y7xmbdfvf2_tn")</f>
        <v/>
      </c>
    </row>
    <row r="5490">
      <c r="A5490" t="inlineStr">
        <is>
          <t>19096510153</t>
        </is>
      </c>
      <c r="B5490" t="inlineStr">
        <is>
          <t>隔日到貨🔥 ins 爆款雪山logo潮襪 潮襪 長襪 中筒襪 襪子 襪子女 白長襪 女襪 女生襪子 白色襪子 白襪</t>
        </is>
      </c>
      <c r="C5490">
        <f>IMAGE("https://cf.shopee.tw/file/tw-11134207-7r98t-lun7y7xmpf4b9a_tn")</f>
        <v/>
      </c>
      <c r="D5490" t="inlineStr">
        <is>
          <t>雪山藍色</t>
        </is>
      </c>
      <c r="E5490" t="inlineStr"/>
      <c r="F5490">
        <f>IMAGE("https://cf.shopee.tw/file/tw-11134207-7r98o-lun7y7xmcrueeb_tn")</f>
        <v/>
      </c>
    </row>
    <row r="5491">
      <c r="A5491" t="inlineStr">
        <is>
          <t>19096510153</t>
        </is>
      </c>
      <c r="B5491" t="inlineStr">
        <is>
          <t>隔日到貨🔥 ins 爆款雪山logo潮襪 潮襪 長襪 中筒襪 襪子 襪子女 白長襪 女襪 女生襪子 白色襪子 白襪</t>
        </is>
      </c>
      <c r="C5491">
        <f>IMAGE("https://cf.shopee.tw/file/tw-11134207-7r98t-lun7y7xmpf4b9a_tn")</f>
        <v/>
      </c>
      <c r="D5491" t="inlineStr">
        <is>
          <t>雪山白色</t>
        </is>
      </c>
      <c r="E5491" t="inlineStr"/>
      <c r="F5491">
        <f>IMAGE("https://cf.shopee.tw/file/tw-11134207-7r98r-lun7y7xlxbli0c_tn")</f>
        <v/>
      </c>
    </row>
    <row r="5492">
      <c r="A5492" t="inlineStr">
        <is>
          <t>19096510153</t>
        </is>
      </c>
      <c r="B5492" t="inlineStr">
        <is>
          <t>隔日到貨🔥 ins 爆款雪山logo潮襪 潮襪 長襪 中筒襪 襪子 襪子女 白長襪 女襪 女生襪子 白色襪子 白襪</t>
        </is>
      </c>
      <c r="C5492">
        <f>IMAGE("https://cf.shopee.tw/file/tw-11134207-7r98t-lun7y7xmpf4b9a_tn")</f>
        <v/>
      </c>
      <c r="D5492" t="inlineStr">
        <is>
          <t>雪山黑色</t>
        </is>
      </c>
      <c r="E5492" t="inlineStr"/>
      <c r="F5492">
        <f>IMAGE("https://cf.shopee.tw/file/tw-11134207-7r98r-lun7y7xlvx6z0c_tn")</f>
        <v/>
      </c>
    </row>
    <row r="5493">
      <c r="A5493" t="inlineStr">
        <is>
          <t>19391818537</t>
        </is>
      </c>
      <c r="B5493" t="inlineStr">
        <is>
          <t>隔日到貨🔥 ins風 可愛小熊眼鏡盒 眼鏡盒 原創奶油色 三隻熊熊 鏡框 收納盒 便攜隨身防壓 閨蜜情侶款鏡盒 生日禮物</t>
        </is>
      </c>
      <c r="C5493">
        <f>IMAGE("https://cf.shopee.tw/file/tw-11134207-7quky-lkc952m4z53q8a_tn")</f>
        <v/>
      </c>
      <c r="D5493" t="inlineStr">
        <is>
          <t>三隻小熊</t>
        </is>
      </c>
      <c r="E5493" t="inlineStr"/>
      <c r="F5493">
        <f>IMAGE("https://cf.shopee.tw/file/tw-11134207-7qul7-lkc86i516duebc_tn")</f>
        <v/>
      </c>
    </row>
    <row r="5494">
      <c r="A5494" t="inlineStr">
        <is>
          <t>20181400403</t>
        </is>
      </c>
      <c r="B5494" t="inlineStr">
        <is>
          <t>隔日到貨🔥 日系可愛吐司菜瓜布 海綿菜瓜布刷鍋 洗碗洗碗神器 去污 清潔刷 鍋具 餐具 廚房清潔 廚房百潔布 海綿</t>
        </is>
      </c>
      <c r="C5494">
        <f>IMAGE("https://cf.shopee.tw/file/tw-11134207-7qul6-lioafw0s0wn621_tn")</f>
        <v/>
      </c>
      <c r="D5494" t="inlineStr">
        <is>
          <t>菜瓜布x1</t>
        </is>
      </c>
      <c r="E5494" t="inlineStr"/>
      <c r="F5494">
        <f>IMAGE("https://cf.shopee.tw/file/tw-11134207-7r98o-lkzdcxvp0ikx11_tn")</f>
        <v/>
      </c>
    </row>
    <row r="5495">
      <c r="A5495" t="inlineStr">
        <is>
          <t>20181400403</t>
        </is>
      </c>
      <c r="B5495" t="inlineStr">
        <is>
          <t>隔日到貨🔥 日系可愛吐司菜瓜布 海綿菜瓜布刷鍋 洗碗洗碗神器 去污 清潔刷 鍋具 餐具 廚房清潔 廚房百潔布 海綿</t>
        </is>
      </c>
      <c r="C5495">
        <f>IMAGE("https://cf.shopee.tw/file/tw-11134207-7qul6-lioafw0s0wn621_tn")</f>
        <v/>
      </c>
      <c r="D5495" t="inlineStr">
        <is>
          <t>菜瓜布x2</t>
        </is>
      </c>
      <c r="E5495" t="inlineStr"/>
      <c r="F5495">
        <f>IMAGE("https://cf.shopee.tw/file/tw-11134207-7qul6-lioafw085xky3e_tn")</f>
        <v/>
      </c>
    </row>
    <row r="5496">
      <c r="A5496" t="inlineStr">
        <is>
          <t>5984344194</t>
        </is>
      </c>
      <c r="B5496" t="inlineStr">
        <is>
          <t>隔日到貨🔥 ins 日系卡通小熊襪 長襪 S10 中筒襪 襪子 韓風 熱銷 女襪 長襪 情侶襪 可愛襪 短襪</t>
        </is>
      </c>
      <c r="C5496">
        <f>IMAGE("https://cf.shopee.tw/file/f7e9d19d1045743db4cc61cfb389094f_tn")</f>
        <v/>
      </c>
      <c r="D5496" t="inlineStr">
        <is>
          <t>3.卡其色熊,均碼</t>
        </is>
      </c>
      <c r="E5496" t="inlineStr"/>
      <c r="F5496">
        <f>IMAGE("https://cf.shopee.tw/file/b132fd324d0472dea7884c5bf1d87a82_tn")</f>
        <v/>
      </c>
    </row>
    <row r="5497">
      <c r="A5497" t="inlineStr">
        <is>
          <t>5984344194</t>
        </is>
      </c>
      <c r="B5497" t="inlineStr">
        <is>
          <t>隔日到貨🔥 ins 日系卡通小熊襪 長襪 S10 中筒襪 襪子 韓風 熱銷 女襪 長襪 情侶襪 可愛襪 短襪</t>
        </is>
      </c>
      <c r="C5497">
        <f>IMAGE("https://cf.shopee.tw/file/f7e9d19d1045743db4cc61cfb389094f_tn")</f>
        <v/>
      </c>
      <c r="D5497" t="inlineStr">
        <is>
          <t>4.條紋熊,均碼</t>
        </is>
      </c>
      <c r="E5497" t="inlineStr"/>
      <c r="F5497">
        <f>IMAGE("https://cf.shopee.tw/file/3961a4579b3d906b3a561e7a2618ea08_tn")</f>
        <v/>
      </c>
    </row>
    <row r="5498">
      <c r="A5498" t="inlineStr">
        <is>
          <t>5984344194</t>
        </is>
      </c>
      <c r="B5498" t="inlineStr">
        <is>
          <t>隔日到貨🔥 ins 日系卡通小熊襪 長襪 S10 中筒襪 襪子 韓風 熱銷 女襪 長襪 情侶襪 可愛襪 短襪</t>
        </is>
      </c>
      <c r="C5498">
        <f>IMAGE("https://cf.shopee.tw/file/f7e9d19d1045743db4cc61cfb389094f_tn")</f>
        <v/>
      </c>
      <c r="D5498" t="inlineStr">
        <is>
          <t>1.卡其拼色,均碼</t>
        </is>
      </c>
      <c r="E5498" t="inlineStr"/>
      <c r="F5498">
        <f>IMAGE("https://cf.shopee.tw/file/a186e849471d93c62fd2e8a8b37f6ce7_tn")</f>
        <v/>
      </c>
    </row>
    <row r="5499">
      <c r="A5499" t="inlineStr">
        <is>
          <t>5984344194</t>
        </is>
      </c>
      <c r="B5499" t="inlineStr">
        <is>
          <t>隔日到貨🔥 ins 日系卡通小熊襪 長襪 S10 中筒襪 襪子 韓風 熱銷 女襪 長襪 情侶襪 可愛襪 短襪</t>
        </is>
      </c>
      <c r="C5499">
        <f>IMAGE("https://cf.shopee.tw/file/f7e9d19d1045743db4cc61cfb389094f_tn")</f>
        <v/>
      </c>
      <c r="D5499" t="inlineStr">
        <is>
          <t>2.方格(實品顏色有點偏綠),均碼</t>
        </is>
      </c>
      <c r="E5499" t="inlineStr"/>
      <c r="F5499">
        <f>IMAGE("https://cf.shopee.tw/file/42652327b4c964831f1dc15c2e4fbd60_tn")</f>
        <v/>
      </c>
    </row>
    <row r="5500">
      <c r="A5500" t="inlineStr">
        <is>
          <t>5984344194</t>
        </is>
      </c>
      <c r="B5500" t="inlineStr">
        <is>
          <t>隔日到貨🔥 ins 日系卡通小熊襪 長襪 S10 中筒襪 襪子 韓風 熱銷 女襪 長襪 情侶襪 可愛襪 短襪</t>
        </is>
      </c>
      <c r="C5500">
        <f>IMAGE("https://cf.shopee.tw/file/f7e9d19d1045743db4cc61cfb389094f_tn")</f>
        <v/>
      </c>
      <c r="D5500" t="inlineStr">
        <is>
          <t>5.白色條紋,均碼</t>
        </is>
      </c>
      <c r="E5500" t="inlineStr"/>
      <c r="F5500">
        <f>IMAGE("https://cf.shopee.tw/file/e1c7d8307fae0e683c4fbe0392cbd788_tn")</f>
        <v/>
      </c>
    </row>
    <row r="5501">
      <c r="A5501" t="inlineStr">
        <is>
          <t>19979525486</t>
        </is>
      </c>
      <c r="B5501" t="inlineStr">
        <is>
          <t>隔日到貨🔥 Apple Watch 編織錶帶 錶帶 SE 1-8代通用 iwatch 夏季透氣錶帶 蘋果錶帶</t>
        </is>
      </c>
      <c r="C5501">
        <f>IMAGE("https://cf.shopee.tw/file/tw-11134207-7qul9-lghn4sscdq22dd_tn")</f>
        <v/>
      </c>
      <c r="D5501" t="inlineStr">
        <is>
          <t>星光色,42/44/45/49mm 通用</t>
        </is>
      </c>
      <c r="E5501" t="inlineStr"/>
      <c r="F5501">
        <f>IMAGE("https://cf.shopee.tw/file/tw-11134207-7qula-lggo9nc1thyia9_tn")</f>
        <v/>
      </c>
    </row>
    <row r="5502">
      <c r="A5502" t="inlineStr">
        <is>
          <t>19979525486</t>
        </is>
      </c>
      <c r="B5502" t="inlineStr">
        <is>
          <t>隔日到貨🔥 Apple Watch 編織錶帶 錶帶 SE 1-8代通用 iwatch 夏季透氣錶帶 蘋果錶帶</t>
        </is>
      </c>
      <c r="C5502">
        <f>IMAGE("https://cf.shopee.tw/file/tw-11134207-7qul9-lghn4sscdq22dd_tn")</f>
        <v/>
      </c>
      <c r="D5502" t="inlineStr">
        <is>
          <t>星光彩點,38/40/41mm 通用</t>
        </is>
      </c>
      <c r="E5502" t="inlineStr"/>
      <c r="F5502">
        <f>IMAGE("https://cf.shopee.tw/file/tw-11134207-7qula-lggo9nclsooxcb_tn")</f>
        <v/>
      </c>
    </row>
    <row r="5503">
      <c r="A5503" t="inlineStr">
        <is>
          <t>19979525486</t>
        </is>
      </c>
      <c r="B5503" t="inlineStr">
        <is>
          <t>隔日到貨🔥 Apple Watch 編織錶帶 錶帶 SE 1-8代通用 iwatch 夏季透氣錶帶 蘋果錶帶</t>
        </is>
      </c>
      <c r="C5503">
        <f>IMAGE("https://cf.shopee.tw/file/tw-11134207-7qul9-lghn4sscdq22dd_tn")</f>
        <v/>
      </c>
      <c r="D5503" t="inlineStr">
        <is>
          <t>星光彩點,42/44/45/49mm 通用</t>
        </is>
      </c>
      <c r="E5503" t="inlineStr"/>
      <c r="F5503">
        <f>IMAGE("https://cf.shopee.tw/file/tw-11134207-7qula-lggo9nclsooxcb_tn")</f>
        <v/>
      </c>
    </row>
    <row r="5504">
      <c r="A5504" t="inlineStr">
        <is>
          <t>19979525486</t>
        </is>
      </c>
      <c r="B5504" t="inlineStr">
        <is>
          <t>隔日到貨🔥 Apple Watch 編織錶帶 錶帶 SE 1-8代通用 iwatch 夏季透氣錶帶 蘋果錶帶</t>
        </is>
      </c>
      <c r="C5504">
        <f>IMAGE("https://cf.shopee.tw/file/tw-11134207-7qul9-lghn4sscdq22dd_tn")</f>
        <v/>
      </c>
      <c r="D5504" t="inlineStr">
        <is>
          <t>黑色,42/44/45/49mm 通用</t>
        </is>
      </c>
      <c r="E5504" t="inlineStr"/>
      <c r="F5504">
        <f>IMAGE("https://cf.shopee.tw/file/tw-11134207-7qul2-lggo9nclsoq2cb_tn")</f>
        <v/>
      </c>
    </row>
    <row r="5505">
      <c r="A5505" t="inlineStr">
        <is>
          <t>19979525486</t>
        </is>
      </c>
      <c r="B5505" t="inlineStr">
        <is>
          <t>隔日到貨🔥 Apple Watch 編織錶帶 錶帶 SE 1-8代通用 iwatch 夏季透氣錶帶 蘋果錶帶</t>
        </is>
      </c>
      <c r="C5505">
        <f>IMAGE("https://cf.shopee.tw/file/tw-11134207-7qul9-lghn4sscdq22dd_tn")</f>
        <v/>
      </c>
      <c r="D5505" t="inlineStr">
        <is>
          <t>太空灰,38/40/41mm 通用</t>
        </is>
      </c>
      <c r="E5505" t="inlineStr"/>
      <c r="F5505">
        <f>IMAGE("https://cf.shopee.tw/file/tw-11134207-7qul4-lggo9ncvv38q69_tn")</f>
        <v/>
      </c>
    </row>
    <row r="5506">
      <c r="A5506" t="inlineStr">
        <is>
          <t>19979525486</t>
        </is>
      </c>
      <c r="B5506" t="inlineStr">
        <is>
          <t>隔日到貨🔥 Apple Watch 編織錶帶 錶帶 SE 1-8代通用 iwatch 夏季透氣錶帶 蘋果錶帶</t>
        </is>
      </c>
      <c r="C5506">
        <f>IMAGE("https://cf.shopee.tw/file/tw-11134207-7qul9-lghn4sscdq22dd_tn")</f>
        <v/>
      </c>
      <c r="D5506" t="inlineStr">
        <is>
          <t>太空灰,42/44/45/49mm 通用</t>
        </is>
      </c>
      <c r="E5506" t="inlineStr"/>
      <c r="F5506">
        <f>IMAGE("https://cf.shopee.tw/file/tw-11134207-7qul4-lggo9ncvv38q69_tn")</f>
        <v/>
      </c>
    </row>
    <row r="5507">
      <c r="A5507" t="inlineStr">
        <is>
          <t>19979525486</t>
        </is>
      </c>
      <c r="B5507" t="inlineStr">
        <is>
          <t>隔日到貨🔥 Apple Watch 編織錶帶 錶帶 SE 1-8代通用 iwatch 夏季透氣錶帶 蘋果錶帶</t>
        </is>
      </c>
      <c r="C5507">
        <f>IMAGE("https://cf.shopee.tw/file/tw-11134207-7qul9-lghn4sscdq22dd_tn")</f>
        <v/>
      </c>
      <c r="D5507" t="inlineStr">
        <is>
          <t>開心果色,38/40/41mm 通用</t>
        </is>
      </c>
      <c r="E5507" t="inlineStr"/>
      <c r="F5507">
        <f>IMAGE("https://cf.shopee.tw/file/tw-11134207-7qul8-lggo9ncvtooa21_tn")</f>
        <v/>
      </c>
    </row>
    <row r="5508">
      <c r="A5508" t="inlineStr">
        <is>
          <t>19979525486</t>
        </is>
      </c>
      <c r="B5508" t="inlineStr">
        <is>
          <t>隔日到貨🔥 Apple Watch 編織錶帶 錶帶 SE 1-8代通用 iwatch 夏季透氣錶帶 蘋果錶帶</t>
        </is>
      </c>
      <c r="C5508">
        <f>IMAGE("https://cf.shopee.tw/file/tw-11134207-7qul9-lghn4sscdq22dd_tn")</f>
        <v/>
      </c>
      <c r="D5508" t="inlineStr">
        <is>
          <t>開心果色,42/44/45/49mm 通用</t>
        </is>
      </c>
      <c r="E5508" t="inlineStr"/>
      <c r="F5508">
        <f>IMAGE("https://cf.shopee.tw/file/tw-11134207-7qul8-lggo9ncvtooa21_tn")</f>
        <v/>
      </c>
    </row>
    <row r="5509">
      <c r="A5509" t="inlineStr">
        <is>
          <t>19979525486</t>
        </is>
      </c>
      <c r="B5509" t="inlineStr">
        <is>
          <t>隔日到貨🔥 Apple Watch 編織錶帶 錶帶 SE 1-8代通用 iwatch 夏季透氣錶帶 蘋果錶帶</t>
        </is>
      </c>
      <c r="C5509">
        <f>IMAGE("https://cf.shopee.tw/file/tw-11134207-7qul9-lghn4sscdq22dd_tn")</f>
        <v/>
      </c>
      <c r="D5509" t="inlineStr">
        <is>
          <t>珍珠白,38/40/41mm 通用</t>
        </is>
      </c>
      <c r="E5509" t="inlineStr"/>
      <c r="F5509">
        <f>IMAGE("https://cf.shopee.tw/file/tw-11134207-7qul2-lggo9ncw94w17c_tn")</f>
        <v/>
      </c>
    </row>
    <row r="5510">
      <c r="A5510" t="inlineStr">
        <is>
          <t>19979525486</t>
        </is>
      </c>
      <c r="B5510" t="inlineStr">
        <is>
          <t>隔日到貨🔥 Apple Watch 編織錶帶 錶帶 SE 1-8代通用 iwatch 夏季透氣錶帶 蘋果錶帶</t>
        </is>
      </c>
      <c r="C5510">
        <f>IMAGE("https://cf.shopee.tw/file/tw-11134207-7qul9-lghn4sscdq22dd_tn")</f>
        <v/>
      </c>
      <c r="D5510" t="inlineStr">
        <is>
          <t>珍珠白,42/44/45/49mm 通用</t>
        </is>
      </c>
      <c r="E5510" t="inlineStr"/>
      <c r="F5510">
        <f>IMAGE("https://cf.shopee.tw/file/tw-11134207-7qul2-lggo9ncw94w17c_tn")</f>
        <v/>
      </c>
    </row>
    <row r="5511">
      <c r="A5511" t="inlineStr">
        <is>
          <t>19979525486</t>
        </is>
      </c>
      <c r="B5511" t="inlineStr">
        <is>
          <t>隔日到貨🔥 Apple Watch 編織錶帶 錶帶 SE 1-8代通用 iwatch 夏季透氣錶帶 蘋果錶帶</t>
        </is>
      </c>
      <c r="C5511">
        <f>IMAGE("https://cf.shopee.tw/file/tw-11134207-7qul9-lghn4sscdq22dd_tn")</f>
        <v/>
      </c>
      <c r="D5511" t="inlineStr">
        <is>
          <t>英倫薰衣草色,38/40/41mm 通用</t>
        </is>
      </c>
      <c r="E5511" t="inlineStr"/>
      <c r="F5511">
        <f>IMAGE("https://cf.shopee.tw/file/tw-11134207-7qul0-lggo9ncwol4x34_tn")</f>
        <v/>
      </c>
    </row>
    <row r="5512">
      <c r="A5512" t="inlineStr">
        <is>
          <t>19979525486</t>
        </is>
      </c>
      <c r="B5512" t="inlineStr">
        <is>
          <t>隔日到貨🔥 Apple Watch 編織錶帶 錶帶 SE 1-8代通用 iwatch 夏季透氣錶帶 蘋果錶帶</t>
        </is>
      </c>
      <c r="C5512">
        <f>IMAGE("https://cf.shopee.tw/file/tw-11134207-7qul9-lghn4sscdq22dd_tn")</f>
        <v/>
      </c>
      <c r="D5512" t="inlineStr">
        <is>
          <t>英倫薰衣草色,42/44/45/49mm 通用</t>
        </is>
      </c>
      <c r="E5512" t="inlineStr"/>
      <c r="F5512">
        <f>IMAGE("https://cf.shopee.tw/file/tw-11134207-7qul0-lggo9ncwol4x34_tn")</f>
        <v/>
      </c>
    </row>
    <row r="5513">
      <c r="A5513" t="inlineStr">
        <is>
          <t>19979525486</t>
        </is>
      </c>
      <c r="B5513" t="inlineStr">
        <is>
          <t>隔日到貨🔥 Apple Watch 編織錶帶 錶帶 SE 1-8代通用 iwatch 夏季透氣錶帶 蘋果錶帶</t>
        </is>
      </c>
      <c r="C5513">
        <f>IMAGE("https://cf.shopee.tw/file/tw-11134207-7qul9-lghn4sscdq22dd_tn")</f>
        <v/>
      </c>
      <c r="D5513" t="inlineStr">
        <is>
          <t>冷海藍色,38/40/41mm 通用</t>
        </is>
      </c>
      <c r="E5513" t="inlineStr"/>
      <c r="F5513">
        <f>IMAGE("https://cf.shopee.tw/file/tw-11134207-7qul7-lggog71gupm2eb_tn")</f>
        <v/>
      </c>
    </row>
    <row r="5514">
      <c r="A5514" t="inlineStr">
        <is>
          <t>19979525486</t>
        </is>
      </c>
      <c r="B5514" t="inlineStr">
        <is>
          <t>隔日到貨🔥 Apple Watch 編織錶帶 錶帶 SE 1-8代通用 iwatch 夏季透氣錶帶 蘋果錶帶</t>
        </is>
      </c>
      <c r="C5514">
        <f>IMAGE("https://cf.shopee.tw/file/tw-11134207-7qul9-lghn4sscdq22dd_tn")</f>
        <v/>
      </c>
      <c r="D5514" t="inlineStr">
        <is>
          <t>冷海藍色,42/44/45/49mm 通用</t>
        </is>
      </c>
      <c r="E5514" t="inlineStr"/>
      <c r="F5514">
        <f>IMAGE("https://cf.shopee.tw/file/tw-11134207-7qul7-lggog71gupm2eb_tn")</f>
        <v/>
      </c>
    </row>
    <row r="5515">
      <c r="A5515" t="inlineStr">
        <is>
          <t>19979525486</t>
        </is>
      </c>
      <c r="B5515" t="inlineStr">
        <is>
          <t>隔日到貨🔥 Apple Watch 編織錶帶 錶帶 SE 1-8代通用 iwatch 夏季透氣錶帶 蘋果錶帶</t>
        </is>
      </c>
      <c r="C5515">
        <f>IMAGE("https://cf.shopee.tw/file/tw-11134207-7qul9-lghn4sscdq22dd_tn")</f>
        <v/>
      </c>
      <c r="D5515" t="inlineStr">
        <is>
          <t>星光色,38/40/41mm 通用</t>
        </is>
      </c>
      <c r="E5515" t="inlineStr"/>
      <c r="F5515">
        <f>IMAGE("https://cf.shopee.tw/file/tw-11134207-7qula-lggo9nc1thyia9_tn")</f>
        <v/>
      </c>
    </row>
    <row r="5516">
      <c r="A5516" t="inlineStr">
        <is>
          <t>19979525486</t>
        </is>
      </c>
      <c r="B5516" t="inlineStr">
        <is>
          <t>隔日到貨🔥 Apple Watch 編織錶帶 錶帶 SE 1-8代通用 iwatch 夏季透氣錶帶 蘋果錶帶</t>
        </is>
      </c>
      <c r="C5516">
        <f>IMAGE("https://cf.shopee.tw/file/tw-11134207-7qul9-lghn4sscdq22dd_tn")</f>
        <v/>
      </c>
      <c r="D5516" t="inlineStr">
        <is>
          <t>黑色,38/40/41mm 通用</t>
        </is>
      </c>
      <c r="E5516" t="inlineStr"/>
      <c r="F5516">
        <f>IMAGE("https://cf.shopee.tw/file/tw-11134207-7qul2-lggo9nclsoq2cb_tn")</f>
        <v/>
      </c>
    </row>
    <row r="5517">
      <c r="A5517" t="inlineStr">
        <is>
          <t>19979525486</t>
        </is>
      </c>
      <c r="B5517" t="inlineStr">
        <is>
          <t>隔日到貨🔥 Apple Watch 編織錶帶 錶帶 SE 1-8代通用 iwatch 夏季透氣錶帶 蘋果錶帶</t>
        </is>
      </c>
      <c r="C5517">
        <f>IMAGE("https://cf.shopee.tw/file/tw-11134207-7qul9-lghn4sscdq22dd_tn")</f>
        <v/>
      </c>
      <c r="D5517" t="inlineStr">
        <is>
          <t>鮮粉色,38/40/41mm 通用</t>
        </is>
      </c>
      <c r="E5517" t="inlineStr">
        <is>
          <t>235181174092</t>
        </is>
      </c>
      <c r="F5517">
        <f>IMAGE("https://cf.shopee.tw/file/tw-11134207-7qukz-lggo9ncm84yye3_tn")</f>
        <v/>
      </c>
    </row>
    <row r="5518">
      <c r="A5518" t="inlineStr">
        <is>
          <t>19979525486</t>
        </is>
      </c>
      <c r="B5518" t="inlineStr">
        <is>
          <t>隔日到貨🔥 Apple Watch 編織錶帶 錶帶 SE 1-8代通用 iwatch 夏季透氣錶帶 蘋果錶帶</t>
        </is>
      </c>
      <c r="C5518">
        <f>IMAGE("https://cf.shopee.tw/file/tw-11134207-7qul9-lghn4sscdq22dd_tn")</f>
        <v/>
      </c>
      <c r="D5518" t="inlineStr">
        <is>
          <t>鮮粉色,42/44/45/49mm 通用</t>
        </is>
      </c>
      <c r="E5518" t="inlineStr"/>
      <c r="F5518">
        <f>IMAGE("https://cf.shopee.tw/file/tw-11134207-7qukz-lggo9ncm84yye3_tn")</f>
        <v/>
      </c>
    </row>
    <row r="5519">
      <c r="A5519" t="inlineStr">
        <is>
          <t>19979525486</t>
        </is>
      </c>
      <c r="B5519" t="inlineStr">
        <is>
          <t>隔日到貨🔥 Apple Watch 編織錶帶 錶帶 SE 1-8代通用 iwatch 夏季透氣錶帶 蘋果錶帶</t>
        </is>
      </c>
      <c r="C5519">
        <f>IMAGE("https://cf.shopee.tw/file/tw-11134207-7qul9-lghn4sscdq22dd_tn")</f>
        <v/>
      </c>
      <c r="D5519" t="inlineStr">
        <is>
          <t>紅色,38/40/41mm 通用</t>
        </is>
      </c>
      <c r="E5519" t="inlineStr"/>
      <c r="F5519">
        <f>IMAGE("https://cf.shopee.tw/file/tw-11134207-7qul5-lggo9ncvton5b5_tn")</f>
        <v/>
      </c>
    </row>
    <row r="5520">
      <c r="A5520" t="inlineStr">
        <is>
          <t>19979525486</t>
        </is>
      </c>
      <c r="B5520" t="inlineStr">
        <is>
          <t>隔日到貨🔥 Apple Watch 編織錶帶 錶帶 SE 1-8代通用 iwatch 夏季透氣錶帶 蘋果錶帶</t>
        </is>
      </c>
      <c r="C5520">
        <f>IMAGE("https://cf.shopee.tw/file/tw-11134207-7qul9-lghn4sscdq22dd_tn")</f>
        <v/>
      </c>
      <c r="D5520" t="inlineStr">
        <is>
          <t>紅色,42/44/45/49mm 通用</t>
        </is>
      </c>
      <c r="E5520" t="inlineStr"/>
      <c r="F5520">
        <f>IMAGE("https://cf.shopee.tw/file/tw-11134207-7qul5-lggo9ncvton5b5_tn")</f>
        <v/>
      </c>
    </row>
    <row r="5521">
      <c r="A5521" t="inlineStr">
        <is>
          <t>9501610504</t>
        </is>
      </c>
      <c r="B5521" t="inlineStr">
        <is>
          <t>隔日到貨🔥 素面小logo針織毛帽 長毛帽 針織毛帽 情侶帽 毛帽 ins 韓系穿搭 棉質毛帽 素面毛帽</t>
        </is>
      </c>
      <c r="C5521">
        <f>IMAGE("https://cf.shopee.tw/file/63f945040e5f099e49f76569dcf2393a_tn")</f>
        <v/>
      </c>
      <c r="D5521" t="inlineStr">
        <is>
          <t>黃色</t>
        </is>
      </c>
      <c r="E5521" t="inlineStr"/>
      <c r="F5521">
        <f>IMAGE("https://cf.shopee.tw/file/07fecba010d95f493f46b722eb86cc4b_tn")</f>
        <v/>
      </c>
    </row>
    <row r="5522">
      <c r="A5522" t="inlineStr">
        <is>
          <t>9501610504</t>
        </is>
      </c>
      <c r="B5522" t="inlineStr">
        <is>
          <t>隔日到貨🔥 素面小logo針織毛帽 長毛帽 針織毛帽 情侶帽 毛帽 ins 韓系穿搭 棉質毛帽 素面毛帽</t>
        </is>
      </c>
      <c r="C5522">
        <f>IMAGE("https://cf.shopee.tw/file/63f945040e5f099e49f76569dcf2393a_tn")</f>
        <v/>
      </c>
      <c r="D5522" t="inlineStr">
        <is>
          <t>黑色</t>
        </is>
      </c>
      <c r="E5522" t="inlineStr"/>
      <c r="F5522">
        <f>IMAGE("https://cf.shopee.tw/file/d1a16320cbef3fd22a432ebf29a602b6_tn")</f>
        <v/>
      </c>
    </row>
    <row r="5523">
      <c r="A5523" t="inlineStr">
        <is>
          <t>9501610504</t>
        </is>
      </c>
      <c r="B5523" t="inlineStr">
        <is>
          <t>隔日到貨🔥 素面小logo針織毛帽 長毛帽 針織毛帽 情侶帽 毛帽 ins 韓系穿搭 棉質毛帽 素面毛帽</t>
        </is>
      </c>
      <c r="C5523">
        <f>IMAGE("https://cf.shopee.tw/file/63f945040e5f099e49f76569dcf2393a_tn")</f>
        <v/>
      </c>
      <c r="D5523" t="inlineStr">
        <is>
          <t>米白色</t>
        </is>
      </c>
      <c r="E5523" t="inlineStr"/>
      <c r="F5523">
        <f>IMAGE("https://cf.shopee.tw/file/1dcdb29029a282abd4ea9fd64700ebd2_tn")</f>
        <v/>
      </c>
    </row>
    <row r="5524">
      <c r="A5524" t="inlineStr">
        <is>
          <t>9501610504</t>
        </is>
      </c>
      <c r="B5524" t="inlineStr">
        <is>
          <t>隔日到貨🔥 素面小logo針織毛帽 長毛帽 針織毛帽 情侶帽 毛帽 ins 韓系穿搭 棉質毛帽 素面毛帽</t>
        </is>
      </c>
      <c r="C5524">
        <f>IMAGE("https://cf.shopee.tw/file/63f945040e5f099e49f76569dcf2393a_tn")</f>
        <v/>
      </c>
      <c r="D5524" t="inlineStr">
        <is>
          <t>藍色</t>
        </is>
      </c>
      <c r="E5524" t="inlineStr"/>
      <c r="F5524">
        <f>IMAGE("https://cf.shopee.tw/file/d722fa629d74d1838b64bebf02d6947d_tn")</f>
        <v/>
      </c>
    </row>
    <row r="5525">
      <c r="A5525" t="inlineStr">
        <is>
          <t>9501610504</t>
        </is>
      </c>
      <c r="B5525" t="inlineStr">
        <is>
          <t>隔日到貨🔥 素面小logo針織毛帽 長毛帽 針織毛帽 情侶帽 毛帽 ins 韓系穿搭 棉質毛帽 素面毛帽</t>
        </is>
      </c>
      <c r="C5525">
        <f>IMAGE("https://cf.shopee.tw/file/63f945040e5f099e49f76569dcf2393a_tn")</f>
        <v/>
      </c>
      <c r="D5525" t="inlineStr">
        <is>
          <t>紫色</t>
        </is>
      </c>
      <c r="E5525" t="inlineStr"/>
      <c r="F5525">
        <f>IMAGE("https://cf.shopee.tw/file/sg-11134201-22100-nfixvwprhajv04_tn")</f>
        <v/>
      </c>
    </row>
    <row r="5526">
      <c r="A5526" t="inlineStr">
        <is>
          <t>22229350443</t>
        </is>
      </c>
      <c r="B5526" t="inlineStr">
        <is>
          <t>隔日到貨🔥 iPhone 手機殼 14 13 12 11 pro Max XS XR SE 8plus 保護殼 軟殼</t>
        </is>
      </c>
      <c r="C5526">
        <f>IMAGE("https://cf.shopee.tw/file/tw-11134207-23030-3id415at29nve8_tn")</f>
        <v/>
      </c>
      <c r="D5526" t="inlineStr">
        <is>
          <t>淺綠奶牛紋,7/8/SE2/SE3</t>
        </is>
      </c>
      <c r="E5526" t="inlineStr"/>
      <c r="F5526">
        <f>IMAGE("https://cf.shopee.tw/file/tw-11134207-23030-ec98jrvu29nv1c_tn")</f>
        <v/>
      </c>
    </row>
    <row r="5527">
      <c r="A5527" t="inlineStr">
        <is>
          <t>22229350443</t>
        </is>
      </c>
      <c r="B5527" t="inlineStr">
        <is>
          <t>隔日到貨🔥 iPhone 手機殼 14 13 12 11 pro Max XS XR SE 8plus 保護殼 軟殼</t>
        </is>
      </c>
      <c r="C5527">
        <f>IMAGE("https://cf.shopee.tw/file/tw-11134207-23030-3id415at29nve8_tn")</f>
        <v/>
      </c>
      <c r="D5527" t="inlineStr">
        <is>
          <t>淺綠奶牛紋,11</t>
        </is>
      </c>
      <c r="E5527" t="inlineStr"/>
      <c r="F5527">
        <f>IMAGE("https://cf.shopee.tw/file/tw-11134207-23030-ec98jrvu29nv1c_tn")</f>
        <v/>
      </c>
    </row>
    <row r="5528">
      <c r="A5528" t="inlineStr">
        <is>
          <t>22229350443</t>
        </is>
      </c>
      <c r="B5528" t="inlineStr">
        <is>
          <t>隔日到貨🔥 iPhone 手機殼 14 13 12 11 pro Max XS XR SE 8plus 保護殼 軟殼</t>
        </is>
      </c>
      <c r="C5528">
        <f>IMAGE("https://cf.shopee.tw/file/tw-11134207-23030-3id415at29nve8_tn")</f>
        <v/>
      </c>
      <c r="D5528" t="inlineStr">
        <is>
          <t>淺綠奶牛紋,11 pro</t>
        </is>
      </c>
      <c r="E5528" t="inlineStr"/>
      <c r="F5528">
        <f>IMAGE("https://cf.shopee.tw/file/tw-11134207-23030-ec98jrvu29nv1c_tn")</f>
        <v/>
      </c>
    </row>
    <row r="5529">
      <c r="A5529" t="inlineStr">
        <is>
          <t>22229350443</t>
        </is>
      </c>
      <c r="B5529" t="inlineStr">
        <is>
          <t>隔日到貨🔥 iPhone 手機殼 14 13 12 11 pro Max XS XR SE 8plus 保護殼 軟殼</t>
        </is>
      </c>
      <c r="C5529">
        <f>IMAGE("https://cf.shopee.tw/file/tw-11134207-23030-3id415at29nve8_tn")</f>
        <v/>
      </c>
      <c r="D5529" t="inlineStr">
        <is>
          <t>淺綠奶牛紋,12</t>
        </is>
      </c>
      <c r="E5529" t="inlineStr"/>
      <c r="F5529">
        <f>IMAGE("https://cf.shopee.tw/file/tw-11134207-23030-ec98jrvu29nv1c_tn")</f>
        <v/>
      </c>
    </row>
    <row r="5530">
      <c r="A5530" t="inlineStr">
        <is>
          <t>22229350443</t>
        </is>
      </c>
      <c r="B5530" t="inlineStr">
        <is>
          <t>隔日到貨🔥 iPhone 手機殼 14 13 12 11 pro Max XS XR SE 8plus 保護殼 軟殼</t>
        </is>
      </c>
      <c r="C5530">
        <f>IMAGE("https://cf.shopee.tw/file/tw-11134207-23030-3id415at29nve8_tn")</f>
        <v/>
      </c>
      <c r="D5530" t="inlineStr">
        <is>
          <t>淺綠奶牛紋,13</t>
        </is>
      </c>
      <c r="E5530" t="inlineStr"/>
      <c r="F5530">
        <f>IMAGE("https://cf.shopee.tw/file/tw-11134207-23030-ec98jrvu29nv1c_tn")</f>
        <v/>
      </c>
    </row>
    <row r="5531">
      <c r="A5531" t="inlineStr">
        <is>
          <t>22229350443</t>
        </is>
      </c>
      <c r="B5531" t="inlineStr">
        <is>
          <t>隔日到貨🔥 iPhone 手機殼 14 13 12 11 pro Max XS XR SE 8plus 保護殼 軟殼</t>
        </is>
      </c>
      <c r="C5531">
        <f>IMAGE("https://cf.shopee.tw/file/tw-11134207-23030-3id415at29nve8_tn")</f>
        <v/>
      </c>
      <c r="D5531" t="inlineStr">
        <is>
          <t>淺綠奶牛紋,13 pro</t>
        </is>
      </c>
      <c r="E5531" t="inlineStr"/>
      <c r="F5531">
        <f>IMAGE("https://cf.shopee.tw/file/tw-11134207-23030-ec98jrvu29nv1c_tn")</f>
        <v/>
      </c>
    </row>
    <row r="5532">
      <c r="A5532" t="inlineStr">
        <is>
          <t>22229350443</t>
        </is>
      </c>
      <c r="B5532" t="inlineStr">
        <is>
          <t>隔日到貨🔥 iPhone 手機殼 14 13 12 11 pro Max XS XR SE 8plus 保護殼 軟殼</t>
        </is>
      </c>
      <c r="C5532">
        <f>IMAGE("https://cf.shopee.tw/file/tw-11134207-23030-3id415at29nve8_tn")</f>
        <v/>
      </c>
      <c r="D5532" t="inlineStr">
        <is>
          <t>淺綠奶牛紋,7Plus / 8Plus</t>
        </is>
      </c>
      <c r="E5532" t="inlineStr"/>
      <c r="F5532">
        <f>IMAGE("https://cf.shopee.tw/file/tw-11134207-23030-ec98jrvu29nv1c_tn")</f>
        <v/>
      </c>
    </row>
    <row r="5533">
      <c r="A5533" t="inlineStr">
        <is>
          <t>22229350443</t>
        </is>
      </c>
      <c r="B5533" t="inlineStr">
        <is>
          <t>隔日到貨🔥 iPhone 手機殼 14 13 12 11 pro Max XS XR SE 8plus 保護殼 軟殼</t>
        </is>
      </c>
      <c r="C5533">
        <f>IMAGE("https://cf.shopee.tw/file/tw-11134207-23030-3id415at29nve8_tn")</f>
        <v/>
      </c>
      <c r="D5533" t="inlineStr">
        <is>
          <t>淺綠奶牛紋,X/XS</t>
        </is>
      </c>
      <c r="E5533" t="inlineStr">
        <is>
          <t>183980376518</t>
        </is>
      </c>
      <c r="F5533">
        <f>IMAGE("https://cf.shopee.tw/file/tw-11134207-23030-ec98jrvu29nv1c_tn")</f>
        <v/>
      </c>
    </row>
    <row r="5534">
      <c r="A5534" t="inlineStr">
        <is>
          <t>22229350443</t>
        </is>
      </c>
      <c r="B5534" t="inlineStr">
        <is>
          <t>隔日到貨🔥 iPhone 手機殼 14 13 12 11 pro Max XS XR SE 8plus 保護殼 軟殼</t>
        </is>
      </c>
      <c r="C5534">
        <f>IMAGE("https://cf.shopee.tw/file/tw-11134207-23030-3id415at29nve8_tn")</f>
        <v/>
      </c>
      <c r="D5534" t="inlineStr">
        <is>
          <t>淺綠奶牛紋,XR</t>
        </is>
      </c>
      <c r="E5534" t="inlineStr"/>
      <c r="F5534">
        <f>IMAGE("https://cf.shopee.tw/file/tw-11134207-23030-ec98jrvu29nv1c_tn")</f>
        <v/>
      </c>
    </row>
    <row r="5535">
      <c r="A5535" t="inlineStr">
        <is>
          <t>22229350443</t>
        </is>
      </c>
      <c r="B5535" t="inlineStr">
        <is>
          <t>隔日到貨🔥 iPhone 手機殼 14 13 12 11 pro Max XS XR SE 8plus 保護殼 軟殼</t>
        </is>
      </c>
      <c r="C5535">
        <f>IMAGE("https://cf.shopee.tw/file/tw-11134207-23030-3id415at29nve8_tn")</f>
        <v/>
      </c>
      <c r="D5535" t="inlineStr">
        <is>
          <t>淺綠奶牛紋,XS Max</t>
        </is>
      </c>
      <c r="E5535" t="inlineStr"/>
      <c r="F5535">
        <f>IMAGE("https://cf.shopee.tw/file/tw-11134207-23030-ec98jrvu29nv1c_tn")</f>
        <v/>
      </c>
    </row>
    <row r="5536">
      <c r="A5536" t="inlineStr">
        <is>
          <t>22229350443</t>
        </is>
      </c>
      <c r="B5536" t="inlineStr">
        <is>
          <t>隔日到貨🔥 iPhone 手機殼 14 13 12 11 pro Max XS XR SE 8plus 保護殼 軟殼</t>
        </is>
      </c>
      <c r="C5536">
        <f>IMAGE("https://cf.shopee.tw/file/tw-11134207-23030-3id415at29nve8_tn")</f>
        <v/>
      </c>
      <c r="D5536" t="inlineStr">
        <is>
          <t>淺綠奶牛紋,11 pro Max</t>
        </is>
      </c>
      <c r="E5536" t="inlineStr"/>
      <c r="F5536">
        <f>IMAGE("https://cf.shopee.tw/file/tw-11134207-23030-ec98jrvu29nv1c_tn")</f>
        <v/>
      </c>
    </row>
    <row r="5537">
      <c r="A5537" t="inlineStr">
        <is>
          <t>22229350443</t>
        </is>
      </c>
      <c r="B5537" t="inlineStr">
        <is>
          <t>隔日到貨🔥 iPhone 手機殼 14 13 12 11 pro Max XS XR SE 8plus 保護殼 軟殼</t>
        </is>
      </c>
      <c r="C5537">
        <f>IMAGE("https://cf.shopee.tw/file/tw-11134207-23030-3id415at29nve8_tn")</f>
        <v/>
      </c>
      <c r="D5537" t="inlineStr">
        <is>
          <t>淺綠奶牛紋,12 pro</t>
        </is>
      </c>
      <c r="E5537" t="inlineStr"/>
      <c r="F5537">
        <f>IMAGE("https://cf.shopee.tw/file/tw-11134207-23030-ec98jrvu29nv1c_tn")</f>
        <v/>
      </c>
    </row>
    <row r="5538">
      <c r="A5538" t="inlineStr">
        <is>
          <t>22229350443</t>
        </is>
      </c>
      <c r="B5538" t="inlineStr">
        <is>
          <t>隔日到貨🔥 iPhone 手機殼 14 13 12 11 pro Max XS XR SE 8plus 保護殼 軟殼</t>
        </is>
      </c>
      <c r="C5538">
        <f>IMAGE("https://cf.shopee.tw/file/tw-11134207-23030-3id415at29nve8_tn")</f>
        <v/>
      </c>
      <c r="D5538" t="inlineStr">
        <is>
          <t>淺綠奶牛紋,12 pro Max</t>
        </is>
      </c>
      <c r="E5538" t="inlineStr">
        <is>
          <t>183980376526</t>
        </is>
      </c>
      <c r="F5538">
        <f>IMAGE("https://cf.shopee.tw/file/tw-11134207-23030-ec98jrvu29nv1c_tn")</f>
        <v/>
      </c>
    </row>
    <row r="5539">
      <c r="A5539" t="inlineStr">
        <is>
          <t>22229350443</t>
        </is>
      </c>
      <c r="B5539" t="inlineStr">
        <is>
          <t>隔日到貨🔥 iPhone 手機殼 14 13 12 11 pro Max XS XR SE 8plus 保護殼 軟殼</t>
        </is>
      </c>
      <c r="C5539">
        <f>IMAGE("https://cf.shopee.tw/file/tw-11134207-23030-3id415at29nve8_tn")</f>
        <v/>
      </c>
      <c r="D5539" t="inlineStr">
        <is>
          <t>淺綠奶牛紋,13 pro Max</t>
        </is>
      </c>
      <c r="E5539" t="inlineStr"/>
      <c r="F5539">
        <f>IMAGE("https://cf.shopee.tw/file/tw-11134207-23030-ec98jrvu29nv1c_tn")</f>
        <v/>
      </c>
    </row>
    <row r="5540">
      <c r="A5540" t="inlineStr">
        <is>
          <t>22229350443</t>
        </is>
      </c>
      <c r="B5540" t="inlineStr">
        <is>
          <t>隔日到貨🔥 iPhone 手機殼 14 13 12 11 pro Max XS XR SE 8plus 保護殼 軟殼</t>
        </is>
      </c>
      <c r="C5540">
        <f>IMAGE("https://cf.shopee.tw/file/tw-11134207-23030-3id415at29nve8_tn")</f>
        <v/>
      </c>
      <c r="D5540" t="inlineStr">
        <is>
          <t>淺綠奶牛紋,14</t>
        </is>
      </c>
      <c r="E5540" t="inlineStr">
        <is>
          <t>183980376515</t>
        </is>
      </c>
      <c r="F5540">
        <f>IMAGE("https://cf.shopee.tw/file/tw-11134207-23030-ec98jrvu29nv1c_tn")</f>
        <v/>
      </c>
    </row>
    <row r="5541">
      <c r="A5541" t="inlineStr">
        <is>
          <t>22229350443</t>
        </is>
      </c>
      <c r="B5541" t="inlineStr">
        <is>
          <t>隔日到貨🔥 iPhone 手機殼 14 13 12 11 pro Max XS XR SE 8plus 保護殼 軟殼</t>
        </is>
      </c>
      <c r="C5541">
        <f>IMAGE("https://cf.shopee.tw/file/tw-11134207-23030-3id415at29nve8_tn")</f>
        <v/>
      </c>
      <c r="D5541" t="inlineStr">
        <is>
          <t>淺綠奶牛紋,14 Plus</t>
        </is>
      </c>
      <c r="E5541" t="inlineStr"/>
      <c r="F5541">
        <f>IMAGE("https://cf.shopee.tw/file/tw-11134207-23030-ec98jrvu29nv1c_tn")</f>
        <v/>
      </c>
    </row>
    <row r="5542">
      <c r="A5542" t="inlineStr">
        <is>
          <t>22229350443</t>
        </is>
      </c>
      <c r="B5542" t="inlineStr">
        <is>
          <t>隔日到貨🔥 iPhone 手機殼 14 13 12 11 pro Max XS XR SE 8plus 保護殼 軟殼</t>
        </is>
      </c>
      <c r="C5542">
        <f>IMAGE("https://cf.shopee.tw/file/tw-11134207-23030-3id415at29nve8_tn")</f>
        <v/>
      </c>
      <c r="D5542" t="inlineStr">
        <is>
          <t>淺綠奶牛紋,14 pro</t>
        </is>
      </c>
      <c r="E5542" t="inlineStr">
        <is>
          <t>183980376522</t>
        </is>
      </c>
      <c r="F5542">
        <f>IMAGE("https://cf.shopee.tw/file/tw-11134207-23030-ec98jrvu29nv1c_tn")</f>
        <v/>
      </c>
    </row>
    <row r="5543">
      <c r="A5543" t="inlineStr">
        <is>
          <t>22229350443</t>
        </is>
      </c>
      <c r="B5543" t="inlineStr">
        <is>
          <t>隔日到貨🔥 iPhone 手機殼 14 13 12 11 pro Max XS XR SE 8plus 保護殼 軟殼</t>
        </is>
      </c>
      <c r="C5543">
        <f>IMAGE("https://cf.shopee.tw/file/tw-11134207-23030-3id415at29nve8_tn")</f>
        <v/>
      </c>
      <c r="D5543" t="inlineStr">
        <is>
          <t>淺綠奶牛紋,14 pro Max</t>
        </is>
      </c>
      <c r="E5543" t="inlineStr"/>
      <c r="F5543">
        <f>IMAGE("https://cf.shopee.tw/file/tw-11134207-23030-ec98jrvu29nv1c_tn")</f>
        <v/>
      </c>
    </row>
    <row r="5544">
      <c r="A5544" t="inlineStr">
        <is>
          <t>18493470802</t>
        </is>
      </c>
      <c r="B5544" t="inlineStr">
        <is>
          <t>隔日到貨🔥 iPhone 手機殼 15 14 pro 13 12 11 XS XR SE X 保護殼 軟殼 蘋果</t>
        </is>
      </c>
      <c r="C5544">
        <f>IMAGE("https://cf.shopee.tw/file/tw-11134207-7r98w-lm1ccmlqm8ih87_tn")</f>
        <v/>
      </c>
      <c r="D5544" t="inlineStr">
        <is>
          <t>米白蛙套鴨,7/8/SE2/SE3</t>
        </is>
      </c>
      <c r="E5544" t="inlineStr"/>
      <c r="F5544">
        <f>IMAGE("https://cf.shopee.tw/file/tw-11134207-7r98q-lm4fkhoyjxcrb0_tn")</f>
        <v/>
      </c>
    </row>
    <row r="5545">
      <c r="A5545" t="inlineStr">
        <is>
          <t>18493470802</t>
        </is>
      </c>
      <c r="B5545" t="inlineStr">
        <is>
          <t>隔日到貨🔥 iPhone 手機殼 15 14 pro 13 12 11 XS XR SE X 保護殼 軟殼 蘋果</t>
        </is>
      </c>
      <c r="C5545">
        <f>IMAGE("https://cf.shopee.tw/file/tw-11134207-7r98w-lm1ccmlqm8ih87_tn")</f>
        <v/>
      </c>
      <c r="D5545" t="inlineStr">
        <is>
          <t>米白蛙套鴨,7Plus/8Plus</t>
        </is>
      </c>
      <c r="E5545" t="inlineStr"/>
      <c r="F5545">
        <f>IMAGE("https://cf.shopee.tw/file/tw-11134207-7r98q-lm4fkhoyjxcrb0_tn")</f>
        <v/>
      </c>
    </row>
    <row r="5546">
      <c r="A5546" t="inlineStr">
        <is>
          <t>18493470802</t>
        </is>
      </c>
      <c r="B5546" t="inlineStr">
        <is>
          <t>隔日到貨🔥 iPhone 手機殼 15 14 pro 13 12 11 XS XR SE X 保護殼 軟殼 蘋果</t>
        </is>
      </c>
      <c r="C5546">
        <f>IMAGE("https://cf.shopee.tw/file/tw-11134207-7r98w-lm1ccmlqm8ih87_tn")</f>
        <v/>
      </c>
      <c r="D5546" t="inlineStr">
        <is>
          <t>米白蛙套鴨,X/XS</t>
        </is>
      </c>
      <c r="E5546" t="inlineStr"/>
      <c r="F5546">
        <f>IMAGE("https://cf.shopee.tw/file/tw-11134207-7r98q-lm4fkhoyjxcrb0_tn")</f>
        <v/>
      </c>
    </row>
    <row r="5547">
      <c r="A5547" t="inlineStr">
        <is>
          <t>18493470802</t>
        </is>
      </c>
      <c r="B5547" t="inlineStr">
        <is>
          <t>隔日到貨🔥 iPhone 手機殼 15 14 pro 13 12 11 XS XR SE X 保護殼 軟殼 蘋果</t>
        </is>
      </c>
      <c r="C5547">
        <f>IMAGE("https://cf.shopee.tw/file/tw-11134207-7r98w-lm1ccmlqm8ih87_tn")</f>
        <v/>
      </c>
      <c r="D5547" t="inlineStr">
        <is>
          <t>米白蛙套鴨,XR</t>
        </is>
      </c>
      <c r="E5547" t="inlineStr"/>
      <c r="F5547">
        <f>IMAGE("https://cf.shopee.tw/file/tw-11134207-7r98q-lm4fkhoyjxcrb0_tn")</f>
        <v/>
      </c>
    </row>
    <row r="5548">
      <c r="A5548" t="inlineStr">
        <is>
          <t>18493470802</t>
        </is>
      </c>
      <c r="B5548" t="inlineStr">
        <is>
          <t>隔日到貨🔥 iPhone 手機殼 15 14 pro 13 12 11 XS XR SE X 保護殼 軟殼 蘋果</t>
        </is>
      </c>
      <c r="C5548">
        <f>IMAGE("https://cf.shopee.tw/file/tw-11134207-7r98w-lm1ccmlqm8ih87_tn")</f>
        <v/>
      </c>
      <c r="D5548" t="inlineStr">
        <is>
          <t>米白蛙套鴨,XS Max</t>
        </is>
      </c>
      <c r="E5548" t="inlineStr"/>
      <c r="F5548">
        <f>IMAGE("https://cf.shopee.tw/file/tw-11134207-7r98q-lm4fkhoyjxcrb0_tn")</f>
        <v/>
      </c>
    </row>
    <row r="5549">
      <c r="A5549" t="inlineStr">
        <is>
          <t>18493470802</t>
        </is>
      </c>
      <c r="B5549" t="inlineStr">
        <is>
          <t>隔日到貨🔥 iPhone 手機殼 15 14 pro 13 12 11 XS XR SE X 保護殼 軟殼 蘋果</t>
        </is>
      </c>
      <c r="C5549">
        <f>IMAGE("https://cf.shopee.tw/file/tw-11134207-7r98w-lm1ccmlqm8ih87_tn")</f>
        <v/>
      </c>
      <c r="D5549" t="inlineStr">
        <is>
          <t>米白蛙套鴨,11</t>
        </is>
      </c>
      <c r="E5549" t="inlineStr"/>
      <c r="F5549">
        <f>IMAGE("https://cf.shopee.tw/file/tw-11134207-7r98q-lm4fkhoyjxcrb0_tn")</f>
        <v/>
      </c>
    </row>
    <row r="5550">
      <c r="A5550" t="inlineStr">
        <is>
          <t>18493470802</t>
        </is>
      </c>
      <c r="B5550" t="inlineStr">
        <is>
          <t>隔日到貨🔥 iPhone 手機殼 15 14 pro 13 12 11 XS XR SE X 保護殼 軟殼 蘋果</t>
        </is>
      </c>
      <c r="C5550">
        <f>IMAGE("https://cf.shopee.tw/file/tw-11134207-7r98w-lm1ccmlqm8ih87_tn")</f>
        <v/>
      </c>
      <c r="D5550" t="inlineStr">
        <is>
          <t>米白蛙套鴨,11 pro Max</t>
        </is>
      </c>
      <c r="E5550" t="inlineStr"/>
      <c r="F5550">
        <f>IMAGE("https://cf.shopee.tw/file/tw-11134207-7r98q-lm4fkhoyjxcrb0_tn")</f>
        <v/>
      </c>
    </row>
    <row r="5551">
      <c r="A5551" t="inlineStr">
        <is>
          <t>18493470802</t>
        </is>
      </c>
      <c r="B5551" t="inlineStr">
        <is>
          <t>隔日到貨🔥 iPhone 手機殼 15 14 pro 13 12 11 XS XR SE X 保護殼 軟殼 蘋果</t>
        </is>
      </c>
      <c r="C5551">
        <f>IMAGE("https://cf.shopee.tw/file/tw-11134207-7r98w-lm1ccmlqm8ih87_tn")</f>
        <v/>
      </c>
      <c r="D5551" t="inlineStr">
        <is>
          <t>米白蛙套鴨,12</t>
        </is>
      </c>
      <c r="E5551" t="inlineStr"/>
      <c r="F5551">
        <f>IMAGE("https://cf.shopee.tw/file/tw-11134207-7r98q-lm4fkhoyjxcrb0_tn")</f>
        <v/>
      </c>
    </row>
    <row r="5552">
      <c r="A5552" t="inlineStr">
        <is>
          <t>18493470802</t>
        </is>
      </c>
      <c r="B5552" t="inlineStr">
        <is>
          <t>隔日到貨🔥 iPhone 手機殼 15 14 pro 13 12 11 XS XR SE X 保護殼 軟殼 蘋果</t>
        </is>
      </c>
      <c r="C5552">
        <f>IMAGE("https://cf.shopee.tw/file/tw-11134207-7r98w-lm1ccmlqm8ih87_tn")</f>
        <v/>
      </c>
      <c r="D5552" t="inlineStr">
        <is>
          <t>米白蛙套鴨,12 pro</t>
        </is>
      </c>
      <c r="E5552" t="inlineStr"/>
      <c r="F5552">
        <f>IMAGE("https://cf.shopee.tw/file/tw-11134207-7r98q-lm4fkhoyjxcrb0_tn")</f>
        <v/>
      </c>
    </row>
    <row r="5553">
      <c r="A5553" t="inlineStr">
        <is>
          <t>18493470802</t>
        </is>
      </c>
      <c r="B5553" t="inlineStr">
        <is>
          <t>隔日到貨🔥 iPhone 手機殼 15 14 pro 13 12 11 XS XR SE X 保護殼 軟殼 蘋果</t>
        </is>
      </c>
      <c r="C5553">
        <f>IMAGE("https://cf.shopee.tw/file/tw-11134207-7r98w-lm1ccmlqm8ih87_tn")</f>
        <v/>
      </c>
      <c r="D5553" t="inlineStr">
        <is>
          <t>米白蛙套鴨,12 pro Max</t>
        </is>
      </c>
      <c r="E5553" t="inlineStr"/>
      <c r="F5553">
        <f>IMAGE("https://cf.shopee.tw/file/tw-11134207-7r98q-lm4fkhoyjxcrb0_tn")</f>
        <v/>
      </c>
    </row>
    <row r="5554">
      <c r="A5554" t="inlineStr">
        <is>
          <t>18493470802</t>
        </is>
      </c>
      <c r="B5554" t="inlineStr">
        <is>
          <t>隔日到貨🔥 iPhone 手機殼 15 14 pro 13 12 11 XS XR SE X 保護殼 軟殼 蘋果</t>
        </is>
      </c>
      <c r="C5554">
        <f>IMAGE("https://cf.shopee.tw/file/tw-11134207-7r98w-lm1ccmlqm8ih87_tn")</f>
        <v/>
      </c>
      <c r="D5554" t="inlineStr">
        <is>
          <t>米白蛙套鴨,13</t>
        </is>
      </c>
      <c r="E5554" t="inlineStr"/>
      <c r="F5554">
        <f>IMAGE("https://cf.shopee.tw/file/tw-11134207-7r98q-lm4fkhoyjxcrb0_tn")</f>
        <v/>
      </c>
    </row>
    <row r="5555">
      <c r="A5555" t="inlineStr">
        <is>
          <t>18493470802</t>
        </is>
      </c>
      <c r="B5555" t="inlineStr">
        <is>
          <t>隔日到貨🔥 iPhone 手機殼 15 14 pro 13 12 11 XS XR SE X 保護殼 軟殼 蘋果</t>
        </is>
      </c>
      <c r="C5555">
        <f>IMAGE("https://cf.shopee.tw/file/tw-11134207-7r98w-lm1ccmlqm8ih87_tn")</f>
        <v/>
      </c>
      <c r="D5555" t="inlineStr">
        <is>
          <t>米白蛙套鴨,13 pro</t>
        </is>
      </c>
      <c r="E5555" t="inlineStr">
        <is>
          <t>197059362412</t>
        </is>
      </c>
      <c r="F5555">
        <f>IMAGE("https://cf.shopee.tw/file/tw-11134207-7r98q-lm4fkhoyjxcrb0_tn")</f>
        <v/>
      </c>
    </row>
    <row r="5556">
      <c r="A5556" t="inlineStr">
        <is>
          <t>18493470802</t>
        </is>
      </c>
      <c r="B5556" t="inlineStr">
        <is>
          <t>隔日到貨🔥 iPhone 手機殼 15 14 pro 13 12 11 XS XR SE X 保護殼 軟殼 蘋果</t>
        </is>
      </c>
      <c r="C5556">
        <f>IMAGE("https://cf.shopee.tw/file/tw-11134207-7r98w-lm1ccmlqm8ih87_tn")</f>
        <v/>
      </c>
      <c r="D5556" t="inlineStr">
        <is>
          <t>米白蛙套鴨,14 pro</t>
        </is>
      </c>
      <c r="E5556" t="inlineStr"/>
      <c r="F5556">
        <f>IMAGE("https://cf.shopee.tw/file/tw-11134207-7r98q-lm4fkhoyjxcrb0_tn")</f>
        <v/>
      </c>
    </row>
    <row r="5557">
      <c r="A5557" t="inlineStr">
        <is>
          <t>18493470802</t>
        </is>
      </c>
      <c r="B5557" t="inlineStr">
        <is>
          <t>隔日到貨🔥 iPhone 手機殼 15 14 pro 13 12 11 XS XR SE X 保護殼 軟殼 蘋果</t>
        </is>
      </c>
      <c r="C5557">
        <f>IMAGE("https://cf.shopee.tw/file/tw-11134207-7r98w-lm1ccmlqm8ih87_tn")</f>
        <v/>
      </c>
      <c r="D5557" t="inlineStr">
        <is>
          <t>米白蛙套鴨,15</t>
        </is>
      </c>
      <c r="E5557" t="inlineStr"/>
      <c r="F5557">
        <f>IMAGE("https://cf.shopee.tw/file/tw-11134207-7r98q-lm4fkhoyjxcrb0_tn")</f>
        <v/>
      </c>
    </row>
    <row r="5558">
      <c r="A5558" t="inlineStr">
        <is>
          <t>18493470802</t>
        </is>
      </c>
      <c r="B5558" t="inlineStr">
        <is>
          <t>隔日到貨🔥 iPhone 手機殼 15 14 pro 13 12 11 XS XR SE X 保護殼 軟殼 蘋果</t>
        </is>
      </c>
      <c r="C5558">
        <f>IMAGE("https://cf.shopee.tw/file/tw-11134207-7r98w-lm1ccmlqm8ih87_tn")</f>
        <v/>
      </c>
      <c r="D5558" t="inlineStr">
        <is>
          <t>米白蛙套鴨,15 pro</t>
        </is>
      </c>
      <c r="E5558" t="inlineStr"/>
      <c r="F5558">
        <f>IMAGE("https://cf.shopee.tw/file/tw-11134207-7r98q-lm4fkhoyjxcrb0_tn")</f>
        <v/>
      </c>
    </row>
    <row r="5559">
      <c r="A5559" t="inlineStr">
        <is>
          <t>18493470802</t>
        </is>
      </c>
      <c r="B5559" t="inlineStr">
        <is>
          <t>隔日到貨🔥 iPhone 手機殼 15 14 pro 13 12 11 XS XR SE X 保護殼 軟殼 蘋果</t>
        </is>
      </c>
      <c r="C5559">
        <f>IMAGE("https://cf.shopee.tw/file/tw-11134207-7r98w-lm1ccmlqm8ih87_tn")</f>
        <v/>
      </c>
      <c r="D5559" t="inlineStr">
        <is>
          <t>米白蛙套鴨,11 pro</t>
        </is>
      </c>
      <c r="E5559" t="inlineStr">
        <is>
          <t>197059362409</t>
        </is>
      </c>
      <c r="F5559">
        <f>IMAGE("https://cf.shopee.tw/file/tw-11134207-7r98q-lm4fkhoyjxcrb0_tn")</f>
        <v/>
      </c>
    </row>
    <row r="5560">
      <c r="A5560" t="inlineStr">
        <is>
          <t>18493470802</t>
        </is>
      </c>
      <c r="B5560" t="inlineStr">
        <is>
          <t>隔日到貨🔥 iPhone 手機殼 15 14 pro 13 12 11 XS XR SE X 保護殼 軟殼 蘋果</t>
        </is>
      </c>
      <c r="C5560">
        <f>IMAGE("https://cf.shopee.tw/file/tw-11134207-7r98w-lm1ccmlqm8ih87_tn")</f>
        <v/>
      </c>
      <c r="D5560" t="inlineStr">
        <is>
          <t>米白蛙套鴨,13 pro Max</t>
        </is>
      </c>
      <c r="E5560" t="inlineStr"/>
      <c r="F5560">
        <f>IMAGE("https://cf.shopee.tw/file/tw-11134207-7r98q-lm4fkhoyjxcrb0_tn")</f>
        <v/>
      </c>
    </row>
    <row r="5561">
      <c r="A5561" t="inlineStr">
        <is>
          <t>18493470802</t>
        </is>
      </c>
      <c r="B5561" t="inlineStr">
        <is>
          <t>隔日到貨🔥 iPhone 手機殼 15 14 pro 13 12 11 XS XR SE X 保護殼 軟殼 蘋果</t>
        </is>
      </c>
      <c r="C5561">
        <f>IMAGE("https://cf.shopee.tw/file/tw-11134207-7r98w-lm1ccmlqm8ih87_tn")</f>
        <v/>
      </c>
      <c r="D5561" t="inlineStr">
        <is>
          <t>米白蛙套鴨,14</t>
        </is>
      </c>
      <c r="E5561" t="inlineStr"/>
      <c r="F5561">
        <f>IMAGE("https://cf.shopee.tw/file/tw-11134207-7r98q-lm4fkhoyjxcrb0_tn")</f>
        <v/>
      </c>
    </row>
    <row r="5562">
      <c r="A5562" t="inlineStr">
        <is>
          <t>18493470802</t>
        </is>
      </c>
      <c r="B5562" t="inlineStr">
        <is>
          <t>隔日到貨🔥 iPhone 手機殼 15 14 pro 13 12 11 XS XR SE X 保護殼 軟殼 蘋果</t>
        </is>
      </c>
      <c r="C5562">
        <f>IMAGE("https://cf.shopee.tw/file/tw-11134207-7r98w-lm1ccmlqm8ih87_tn")</f>
        <v/>
      </c>
      <c r="D5562" t="inlineStr">
        <is>
          <t>米白蛙套鴨,14 pro Max</t>
        </is>
      </c>
      <c r="E5562" t="inlineStr"/>
      <c r="F5562">
        <f>IMAGE("https://cf.shopee.tw/file/tw-11134207-7r98q-lm4fkhoyjxcrb0_tn")</f>
        <v/>
      </c>
    </row>
    <row r="5563">
      <c r="A5563" t="inlineStr">
        <is>
          <t>18493470802</t>
        </is>
      </c>
      <c r="B5563" t="inlineStr">
        <is>
          <t>隔日到貨🔥 iPhone 手機殼 15 14 pro 13 12 11 XS XR SE X 保護殼 軟殼 蘋果</t>
        </is>
      </c>
      <c r="C5563">
        <f>IMAGE("https://cf.shopee.tw/file/tw-11134207-7r98w-lm1ccmlqm8ih87_tn")</f>
        <v/>
      </c>
      <c r="D5563" t="inlineStr">
        <is>
          <t>米白蛙套鴨,14 Plus</t>
        </is>
      </c>
      <c r="E5563" t="inlineStr"/>
      <c r="F5563">
        <f>IMAGE("https://cf.shopee.tw/file/tw-11134207-7r98q-lm4fkhoyjxcrb0_tn")</f>
        <v/>
      </c>
    </row>
    <row r="5564">
      <c r="A5564" t="inlineStr">
        <is>
          <t>18493470802</t>
        </is>
      </c>
      <c r="B5564" t="inlineStr">
        <is>
          <t>隔日到貨🔥 iPhone 手機殼 15 14 pro 13 12 11 XS XR SE X 保護殼 軟殼 蘋果</t>
        </is>
      </c>
      <c r="C5564">
        <f>IMAGE("https://cf.shopee.tw/file/tw-11134207-7r98w-lm1ccmlqm8ih87_tn")</f>
        <v/>
      </c>
      <c r="D5564" t="inlineStr">
        <is>
          <t>米白蛙套鴨,15 pro Max</t>
        </is>
      </c>
      <c r="E5564" t="inlineStr"/>
      <c r="F5564">
        <f>IMAGE("https://cf.shopee.tw/file/tw-11134207-7r98q-lm4fkhoyjxcrb0_tn")</f>
        <v/>
      </c>
    </row>
    <row r="5565">
      <c r="A5565" t="inlineStr">
        <is>
          <t>18493470802</t>
        </is>
      </c>
      <c r="B5565" t="inlineStr">
        <is>
          <t>隔日到貨🔥 iPhone 手機殼 15 14 pro 13 12 11 XS XR SE X 保護殼 軟殼 蘋果</t>
        </is>
      </c>
      <c r="C5565">
        <f>IMAGE("https://cf.shopee.tw/file/tw-11134207-7r98w-lm1ccmlqm8ih87_tn")</f>
        <v/>
      </c>
      <c r="D5565" t="inlineStr">
        <is>
          <t>米白蛙套鴨,15 Plus</t>
        </is>
      </c>
      <c r="E5565" t="inlineStr"/>
      <c r="F5565">
        <f>IMAGE("https://cf.shopee.tw/file/tw-11134207-7r98q-lm4fkhoyjxcrb0_tn")</f>
        <v/>
      </c>
    </row>
    <row r="5566">
      <c r="A5566" t="inlineStr">
        <is>
          <t>6054401595</t>
        </is>
      </c>
      <c r="B5566" t="inlineStr">
        <is>
          <t>隔日到貨🔥 暗黑系 工裝後背包 B5 秋冬 ins 學生 背包 百搭 機能 手提 韓風 背包 書包 潮流 後背</t>
        </is>
      </c>
      <c r="C5566">
        <f>IMAGE("https://cf.shopee.tw/file/tw-11134207-23020-swzevcxdagnv24_tn")</f>
        <v/>
      </c>
      <c r="D5566" t="inlineStr">
        <is>
          <t>黑色</t>
        </is>
      </c>
      <c r="E5566" t="inlineStr"/>
      <c r="F5566">
        <f>IMAGE("https://cf.shopee.tw/file/27fe18585451fb669ccf9a35a1bd5a6a_tn")</f>
        <v/>
      </c>
    </row>
    <row r="5567">
      <c r="A5567" t="inlineStr">
        <is>
          <t>10028381468</t>
        </is>
      </c>
      <c r="B5567" t="inlineStr">
        <is>
          <t>隔日到貨🔥 韓版 復古素色腰包 B29 單肩斜挎包 潮流百搭 復古 斜背包 熱銷款 側背包 肩背包 帆布包 ins</t>
        </is>
      </c>
      <c r="C5567">
        <f>IMAGE("https://cf.shopee.tw/file/ad51c9d634d1045a90d09b9c6a7a43f0_tn")</f>
        <v/>
      </c>
      <c r="D5567" t="inlineStr">
        <is>
          <t>黑色</t>
        </is>
      </c>
      <c r="E5567" t="inlineStr"/>
      <c r="F5567">
        <f>IMAGE("https://cf.shopee.tw/file/405c64657dd33bd64cf47ebc965c04e5_tn")</f>
        <v/>
      </c>
    </row>
    <row r="5568">
      <c r="A5568" t="inlineStr">
        <is>
          <t>10028381468</t>
        </is>
      </c>
      <c r="B5568" t="inlineStr">
        <is>
          <t>隔日到貨🔥 韓版 復古素色腰包 B29 單肩斜挎包 潮流百搭 復古 斜背包 熱銷款 側背包 肩背包 帆布包 ins</t>
        </is>
      </c>
      <c r="C5568">
        <f>IMAGE("https://cf.shopee.tw/file/ad51c9d634d1045a90d09b9c6a7a43f0_tn")</f>
        <v/>
      </c>
      <c r="D5568" t="inlineStr">
        <is>
          <t>白色</t>
        </is>
      </c>
      <c r="E5568" t="inlineStr"/>
      <c r="F5568">
        <f>IMAGE("https://cf.shopee.tw/file/9bc089f5b1b8526918815f7acfd6be85_tn")</f>
        <v/>
      </c>
    </row>
    <row r="5569">
      <c r="A5569" t="inlineStr">
        <is>
          <t>10028381468</t>
        </is>
      </c>
      <c r="B5569" t="inlineStr">
        <is>
          <t>隔日到貨🔥 韓版 復古素色腰包 B29 單肩斜挎包 潮流百搭 復古 斜背包 熱銷款 側背包 肩背包 帆布包 ins</t>
        </is>
      </c>
      <c r="C5569">
        <f>IMAGE("https://cf.shopee.tw/file/ad51c9d634d1045a90d09b9c6a7a43f0_tn")</f>
        <v/>
      </c>
      <c r="D5569" t="inlineStr">
        <is>
          <t>褐色</t>
        </is>
      </c>
      <c r="E5569" t="inlineStr"/>
      <c r="F5569">
        <f>IMAGE("https://cf.shopee.tw/file/4349d82bfa7d890c25050a4519a2ee67_tn")</f>
        <v/>
      </c>
    </row>
    <row r="5570">
      <c r="A5570" t="inlineStr">
        <is>
          <t>10028381468</t>
        </is>
      </c>
      <c r="B5570" t="inlineStr">
        <is>
          <t>隔日到貨🔥 韓版 復古素色腰包 B29 單肩斜挎包 潮流百搭 復古 斜背包 熱銷款 側背包 肩背包 帆布包 ins</t>
        </is>
      </c>
      <c r="C5570">
        <f>IMAGE("https://cf.shopee.tw/file/ad51c9d634d1045a90d09b9c6a7a43f0_tn")</f>
        <v/>
      </c>
      <c r="D5570" t="inlineStr">
        <is>
          <t>綠色</t>
        </is>
      </c>
      <c r="E5570" t="inlineStr"/>
      <c r="F5570">
        <f>IMAGE("https://cf.shopee.tw/file/05c6cadb416e10097be6e6e51eca4d4f_tn")</f>
        <v/>
      </c>
    </row>
    <row r="5571">
      <c r="A5571" t="inlineStr">
        <is>
          <t>10626667646</t>
        </is>
      </c>
      <c r="B5571" t="inlineStr">
        <is>
          <t>隔日到貨🔥 ins 古著小熊後背包 B12 日系 雙肩 學生 背包 百搭 帆布 背包 書包 後背包 學院風</t>
        </is>
      </c>
      <c r="C5571">
        <f>IMAGE("https://cf.shopee.tw/file/7e404437dca23b2ac9c1942b585db2d7_tn")</f>
        <v/>
      </c>
      <c r="D5571" t="inlineStr">
        <is>
          <t>黑色</t>
        </is>
      </c>
      <c r="E5571" t="inlineStr"/>
      <c r="F5571">
        <f>IMAGE("https://cf.shopee.tw/file/9271f1f0dee44431590fdc45cf35b9a8_tn")</f>
        <v/>
      </c>
    </row>
    <row r="5572">
      <c r="A5572" t="inlineStr">
        <is>
          <t>10626667646</t>
        </is>
      </c>
      <c r="B5572" t="inlineStr">
        <is>
          <t>隔日到貨🔥 ins 古著小熊後背包 B12 日系 雙肩 學生 背包 百搭 帆布 背包 書包 後背包 學院風</t>
        </is>
      </c>
      <c r="C5572">
        <f>IMAGE("https://cf.shopee.tw/file/7e404437dca23b2ac9c1942b585db2d7_tn")</f>
        <v/>
      </c>
      <c r="D5572" t="inlineStr">
        <is>
          <t>白色</t>
        </is>
      </c>
      <c r="E5572" t="inlineStr"/>
      <c r="F5572">
        <f>IMAGE("https://cf.shopee.tw/file/f23fb100819c6c00f72d0a88f91951a0_tn")</f>
        <v/>
      </c>
    </row>
    <row r="5573">
      <c r="A5573" t="inlineStr">
        <is>
          <t>10626667646</t>
        </is>
      </c>
      <c r="B5573" t="inlineStr">
        <is>
          <t>隔日到貨🔥 ins 古著小熊後背包 B12 日系 雙肩 學生 背包 百搭 帆布 背包 書包 後背包 學院風</t>
        </is>
      </c>
      <c r="C5573">
        <f>IMAGE("https://cf.shopee.tw/file/7e404437dca23b2ac9c1942b585db2d7_tn")</f>
        <v/>
      </c>
      <c r="D5573" t="inlineStr">
        <is>
          <t>黃</t>
        </is>
      </c>
      <c r="E5573" t="inlineStr"/>
      <c r="F5573">
        <f>IMAGE("https://cf.shopee.tw/file/b78cb83945b12975bc9dcc6ac6801ebf_tn")</f>
        <v/>
      </c>
    </row>
    <row r="5574">
      <c r="A5574" t="inlineStr">
        <is>
          <t>15567439321</t>
        </is>
      </c>
      <c r="B5574" t="inlineStr">
        <is>
          <t>隔日到貨🔥 ins 卡通可愛小熊 卡套 證件卡套 校園卡 公交卡 掛繩 奶油色系卡套 小豬卡套 小兔卡套</t>
        </is>
      </c>
      <c r="C5574">
        <f>IMAGE("https://cf.shopee.tw/file/6133025bbe2ed6442360d6cbefe3b2ac_tn")</f>
        <v/>
      </c>
      <c r="D5574" t="inlineStr">
        <is>
          <t>粉色小豬</t>
        </is>
      </c>
      <c r="E5574" t="inlineStr"/>
      <c r="F5574">
        <f>IMAGE("https://cf.shopee.tw/file/67d9c35e316743ad7183361884440cbe_tn")</f>
        <v/>
      </c>
    </row>
    <row r="5575">
      <c r="A5575" t="inlineStr">
        <is>
          <t>15567439321</t>
        </is>
      </c>
      <c r="B5575" t="inlineStr">
        <is>
          <t>隔日到貨🔥 ins 卡通可愛小熊 卡套 證件卡套 校園卡 公交卡 掛繩 奶油色系卡套 小豬卡套 小兔卡套</t>
        </is>
      </c>
      <c r="C5575">
        <f>IMAGE("https://cf.shopee.tw/file/6133025bbe2ed6442360d6cbefe3b2ac_tn")</f>
        <v/>
      </c>
      <c r="D5575" t="inlineStr">
        <is>
          <t>紫色小兔</t>
        </is>
      </c>
      <c r="E5575" t="inlineStr"/>
      <c r="F5575">
        <f>IMAGE("https://cf.shopee.tw/file/4282767f2dce8bf3762214f034bc1d4c_tn")</f>
        <v/>
      </c>
    </row>
    <row r="5576">
      <c r="A5576" t="inlineStr">
        <is>
          <t>15567439321</t>
        </is>
      </c>
      <c r="B5576" t="inlineStr">
        <is>
          <t>隔日到貨🔥 ins 卡通可愛小熊 卡套 證件卡套 校園卡 公交卡 掛繩 奶油色系卡套 小豬卡套 小兔卡套</t>
        </is>
      </c>
      <c r="C5576">
        <f>IMAGE("https://cf.shopee.tw/file/6133025bbe2ed6442360d6cbefe3b2ac_tn")</f>
        <v/>
      </c>
      <c r="D5576" t="inlineStr">
        <is>
          <t>淺灰小熊</t>
        </is>
      </c>
      <c r="E5576" t="inlineStr"/>
      <c r="F5576">
        <f>IMAGE("https://cf.shopee.tw/file/a687dde75b4a05ca2cb7de8d1ab75539_tn")</f>
        <v/>
      </c>
    </row>
    <row r="5577">
      <c r="A5577" t="inlineStr">
        <is>
          <t>15848359384</t>
        </is>
      </c>
      <c r="B5577" t="inlineStr">
        <is>
          <t>隔日到貨🔥 登山扣 掛鉤 掛扣 Airpods專用掛鉤 葫蘆鉤 鑰匙掛鉤 登山掛鉤 Airpods保護殼掛鉤</t>
        </is>
      </c>
      <c r="C5577">
        <f>IMAGE("https://cf.shopee.tw/file/06529371ae46b81918c5b5ede2ba55e2_tn")</f>
        <v/>
      </c>
      <c r="D5577" t="inlineStr">
        <is>
          <t>登山扣</t>
        </is>
      </c>
      <c r="E5577" t="inlineStr"/>
      <c r="F5577">
        <f>IMAGE("https://cf.shopee.tw/file/0691a62027d7cf4754c0f77a7be3906f_tn")</f>
        <v/>
      </c>
    </row>
    <row r="5578">
      <c r="A5578" t="inlineStr">
        <is>
          <t>5248815751</t>
        </is>
      </c>
      <c r="B5578" t="inlineStr">
        <is>
          <t>隔日到貨🔥韓版 ins 🍒 超火 復古郵差包 B36🏆學院風 側背包 肩背包 帆布 郵差包 原宿 單肩包 日系</t>
        </is>
      </c>
      <c r="C5578">
        <f>IMAGE("https://cf.shopee.tw/file/4926b63893ac193d3eab5c31387520ad_tn")</f>
        <v/>
      </c>
      <c r="D5578" t="inlineStr">
        <is>
          <t>黑色</t>
        </is>
      </c>
      <c r="E5578" t="inlineStr"/>
      <c r="F5578">
        <f>IMAGE("https://cf.shopee.tw/file/76622c8ea3e6419e3d22a3570a08fbd4_tn")</f>
        <v/>
      </c>
    </row>
    <row r="5579">
      <c r="A5579" t="inlineStr">
        <is>
          <t>5248815751</t>
        </is>
      </c>
      <c r="B5579" t="inlineStr">
        <is>
          <t>隔日到貨🔥韓版 ins 🍒 超火 復古郵差包 B36🏆學院風 側背包 肩背包 帆布 郵差包 原宿 單肩包 日系</t>
        </is>
      </c>
      <c r="C5579">
        <f>IMAGE("https://cf.shopee.tw/file/4926b63893ac193d3eab5c31387520ad_tn")</f>
        <v/>
      </c>
      <c r="D5579" t="inlineStr">
        <is>
          <t>白色</t>
        </is>
      </c>
      <c r="E5579" t="inlineStr"/>
      <c r="F5579">
        <f>IMAGE("https://cf.shopee.tw/file/88a5634a734b871e46f6bead60255714_tn")</f>
        <v/>
      </c>
    </row>
    <row r="5580">
      <c r="A5580" t="inlineStr">
        <is>
          <t>5348998481</t>
        </is>
      </c>
      <c r="B5580" t="inlineStr">
        <is>
          <t>隔日到貨🔥 韓版原宿 後背包 雙肩 學生 百搭 尼龍 B19 手提 簡約 背包 少女 書包 後背 ins 熱銷款</t>
        </is>
      </c>
      <c r="C5580">
        <f>IMAGE("https://cf.shopee.tw/file/c8d687c81f519f9f6c1d0041529a2fb7_tn")</f>
        <v/>
      </c>
      <c r="D5580" t="inlineStr">
        <is>
          <t>藍色</t>
        </is>
      </c>
      <c r="E5580" t="inlineStr"/>
      <c r="F5580">
        <f>IMAGE("https://cf.shopee.tw/file/79540939cfacdfaa352161ca83e42ada_tn")</f>
        <v/>
      </c>
    </row>
    <row r="5581">
      <c r="A5581" t="inlineStr">
        <is>
          <t>5348998481</t>
        </is>
      </c>
      <c r="B5581" t="inlineStr">
        <is>
          <t>隔日到貨🔥 韓版原宿 後背包 雙肩 學生 百搭 尼龍 B19 手提 簡約 背包 少女 書包 後背 ins 熱銷款</t>
        </is>
      </c>
      <c r="C5581">
        <f>IMAGE("https://cf.shopee.tw/file/c8d687c81f519f9f6c1d0041529a2fb7_tn")</f>
        <v/>
      </c>
      <c r="D5581" t="inlineStr">
        <is>
          <t>卡其色</t>
        </is>
      </c>
      <c r="E5581" t="inlineStr"/>
      <c r="F5581">
        <f>IMAGE("https://cf.shopee.tw/file/19b4e2dfa3adf10ca2b5ca3369a593c0_tn")</f>
        <v/>
      </c>
    </row>
    <row r="5582">
      <c r="A5582" t="inlineStr">
        <is>
          <t>5348998481</t>
        </is>
      </c>
      <c r="B5582" t="inlineStr">
        <is>
          <t>隔日到貨🔥 韓版原宿 後背包 雙肩 學生 百搭 尼龍 B19 手提 簡約 背包 少女 書包 後背 ins 熱銷款</t>
        </is>
      </c>
      <c r="C5582">
        <f>IMAGE("https://cf.shopee.tw/file/c8d687c81f519f9f6c1d0041529a2fb7_tn")</f>
        <v/>
      </c>
      <c r="D5582" t="inlineStr">
        <is>
          <t>米白色</t>
        </is>
      </c>
      <c r="E5582" t="inlineStr"/>
      <c r="F5582">
        <f>IMAGE("https://cf.shopee.tw/file/31c4253f637c475f565dc39eb34d51cc_tn")</f>
        <v/>
      </c>
    </row>
    <row r="5583">
      <c r="A5583" t="inlineStr">
        <is>
          <t>5348998481</t>
        </is>
      </c>
      <c r="B5583" t="inlineStr">
        <is>
          <t>隔日到貨🔥 韓版原宿 後背包 雙肩 學生 百搭 尼龍 B19 手提 簡約 背包 少女 書包 後背 ins 熱銷款</t>
        </is>
      </c>
      <c r="C5583">
        <f>IMAGE("https://cf.shopee.tw/file/c8d687c81f519f9f6c1d0041529a2fb7_tn")</f>
        <v/>
      </c>
      <c r="D5583" t="inlineStr">
        <is>
          <t>黑色</t>
        </is>
      </c>
      <c r="E5583" t="inlineStr"/>
      <c r="F5583">
        <f>IMAGE("https://cf.shopee.tw/file/697a31da21ebfcce9da5009eb78b3c3e_tn")</f>
        <v/>
      </c>
    </row>
    <row r="5584">
      <c r="A5584" t="inlineStr">
        <is>
          <t>5348998481</t>
        </is>
      </c>
      <c r="B5584" t="inlineStr">
        <is>
          <t>隔日到貨🔥 韓版原宿 後背包 雙肩 學生 百搭 尼龍 B19 手提 簡約 背包 少女 書包 後背 ins 熱銷款</t>
        </is>
      </c>
      <c r="C5584">
        <f>IMAGE("https://cf.shopee.tw/file/c8d687c81f519f9f6c1d0041529a2fb7_tn")</f>
        <v/>
      </c>
      <c r="D5584" t="inlineStr">
        <is>
          <t>深卡其色</t>
        </is>
      </c>
      <c r="E5584" t="inlineStr"/>
      <c r="F5584">
        <f>IMAGE("https://cf.shopee.tw/file/ec0cb5e55a2f43d0efccf735b6160de1_tn")</f>
        <v/>
      </c>
    </row>
    <row r="5585">
      <c r="A5585" t="inlineStr">
        <is>
          <t>5348998481</t>
        </is>
      </c>
      <c r="B5585" t="inlineStr">
        <is>
          <t>隔日到貨🔥 韓版原宿 後背包 雙肩 學生 百搭 尼龍 B19 手提 簡約 背包 少女 書包 後背 ins 熱銷款</t>
        </is>
      </c>
      <c r="C5585">
        <f>IMAGE("https://cf.shopee.tw/file/c8d687c81f519f9f6c1d0041529a2fb7_tn")</f>
        <v/>
      </c>
      <c r="D5585" t="inlineStr">
        <is>
          <t>⚠️此包沒有附圖上玩偶吊飾</t>
        </is>
      </c>
      <c r="E5585" t="inlineStr"/>
      <c r="F5585">
        <f>IMAGE("https://cf.shopee.tw/file/3f8e010c3cb53bb66bdcefd920dd6b0e_tn")</f>
        <v/>
      </c>
    </row>
    <row r="5586">
      <c r="A5586" t="inlineStr">
        <is>
          <t>5348998481</t>
        </is>
      </c>
      <c r="B5586" t="inlineStr">
        <is>
          <t>隔日到貨🔥 韓版原宿 後背包 雙肩 學生 百搭 尼龍 B19 手提 簡約 背包 少女 書包 後背 ins 熱銷款</t>
        </is>
      </c>
      <c r="C5586">
        <f>IMAGE("https://cf.shopee.tw/file/c8d687c81f519f9f6c1d0041529a2fb7_tn")</f>
        <v/>
      </c>
      <c r="D5586" t="inlineStr">
        <is>
          <t>粉紅色</t>
        </is>
      </c>
      <c r="E5586" t="inlineStr"/>
      <c r="F5586">
        <f>IMAGE("https://cf.shopee.tw/file/95a6cd6c3744a94e1a71942d7f7a5421_tn")</f>
        <v/>
      </c>
    </row>
    <row r="5587">
      <c r="A5587" t="inlineStr">
        <is>
          <t>8542222765</t>
        </is>
      </c>
      <c r="B5587" t="inlineStr">
        <is>
          <t>隔日到貨🔥 ins 超火單肩包 小方包 B16 斜背包 側背包 肩背包 帆布包 小包 斜跨包 蹦迪包 手機包</t>
        </is>
      </c>
      <c r="C5587">
        <f>IMAGE("https://cf.shopee.tw/file/f4c46c06c0feebbd043d8bbf0bca18ff_tn")</f>
        <v/>
      </c>
      <c r="D5587" t="inlineStr">
        <is>
          <t>黃色</t>
        </is>
      </c>
      <c r="E5587" t="inlineStr"/>
      <c r="F5587">
        <f>IMAGE("https://cf.shopee.tw/file/cc684320b45c45a313dfe0625cb59d25_tn")</f>
        <v/>
      </c>
    </row>
    <row r="5588">
      <c r="A5588" t="inlineStr">
        <is>
          <t>8542222765</t>
        </is>
      </c>
      <c r="B5588" t="inlineStr">
        <is>
          <t>隔日到貨🔥 ins 超火單肩包 小方包 B16 斜背包 側背包 肩背包 帆布包 小包 斜跨包 蹦迪包 手機包</t>
        </is>
      </c>
      <c r="C5588">
        <f>IMAGE("https://cf.shopee.tw/file/f4c46c06c0feebbd043d8bbf0bca18ff_tn")</f>
        <v/>
      </c>
      <c r="D5588" t="inlineStr">
        <is>
          <t>米白色</t>
        </is>
      </c>
      <c r="E5588" t="inlineStr"/>
      <c r="F5588">
        <f>IMAGE("https://cf.shopee.tw/file/b6a5f64f8c703da7eead62a498490580_tn")</f>
        <v/>
      </c>
    </row>
    <row r="5589">
      <c r="A5589" t="inlineStr">
        <is>
          <t>8542222765</t>
        </is>
      </c>
      <c r="B5589" t="inlineStr">
        <is>
          <t>隔日到貨🔥 ins 超火單肩包 小方包 B16 斜背包 側背包 肩背包 帆布包 小包 斜跨包 蹦迪包 手機包</t>
        </is>
      </c>
      <c r="C5589">
        <f>IMAGE("https://cf.shopee.tw/file/f4c46c06c0feebbd043d8bbf0bca18ff_tn")</f>
        <v/>
      </c>
      <c r="D5589" t="inlineStr">
        <is>
          <t>墨綠色</t>
        </is>
      </c>
      <c r="E5589" t="inlineStr"/>
      <c r="F5589">
        <f>IMAGE("https://cf.shopee.tw/file/77310602d00654aa071fa8aa942045cd_tn")</f>
        <v/>
      </c>
    </row>
    <row r="5590">
      <c r="A5590" t="inlineStr">
        <is>
          <t>8542222765</t>
        </is>
      </c>
      <c r="B5590" t="inlineStr">
        <is>
          <t>隔日到貨🔥 ins 超火單肩包 小方包 B16 斜背包 側背包 肩背包 帆布包 小包 斜跨包 蹦迪包 手機包</t>
        </is>
      </c>
      <c r="C5590">
        <f>IMAGE("https://cf.shopee.tw/file/f4c46c06c0feebbd043d8bbf0bca18ff_tn")</f>
        <v/>
      </c>
      <c r="D5590" t="inlineStr">
        <is>
          <t>黑色</t>
        </is>
      </c>
      <c r="E5590" t="inlineStr"/>
      <c r="F5590">
        <f>IMAGE("https://cf.shopee.tw/file/b74d4640c978c78c0d98638a0ea41e7a_tn")</f>
        <v/>
      </c>
    </row>
    <row r="5591">
      <c r="A5591" t="inlineStr">
        <is>
          <t>22017006047</t>
        </is>
      </c>
      <c r="B5591" t="inlineStr">
        <is>
          <t>隔日到貨🔥 ins 日系卡通女長襪 泡泡襪 長襪 中筒襪 襪子 S11 韓風 熱銷 女襪 情侶襪 可愛襪 短襪</t>
        </is>
      </c>
      <c r="C5591">
        <f>IMAGE("https://cf.shopee.tw/file/sg-11134201-23010-mzfrtlzbj1lv11_tn")</f>
        <v/>
      </c>
      <c r="D5591" t="inlineStr">
        <is>
          <t>米色</t>
        </is>
      </c>
      <c r="E5591" t="inlineStr"/>
      <c r="F5591">
        <f>IMAGE("https://cf.shopee.tw/file/sg-11134201-23010-mmb7aoidj1lv1d_tn")</f>
        <v/>
      </c>
    </row>
    <row r="5592">
      <c r="A5592" t="inlineStr">
        <is>
          <t>22017006047</t>
        </is>
      </c>
      <c r="B5592" t="inlineStr">
        <is>
          <t>隔日到貨🔥 ins 日系卡通女長襪 泡泡襪 長襪 中筒襪 襪子 S11 韓風 熱銷 女襪 情侶襪 可愛襪 短襪</t>
        </is>
      </c>
      <c r="C5592">
        <f>IMAGE("https://cf.shopee.tw/file/sg-11134201-23010-mzfrtlzbj1lv11_tn")</f>
        <v/>
      </c>
      <c r="D5592" t="inlineStr">
        <is>
          <t>白色</t>
        </is>
      </c>
      <c r="E5592" t="inlineStr"/>
      <c r="F5592">
        <f>IMAGE("https://cf.shopee.tw/file/sg-11134201-23010-90cs2pndj1lva4_tn")</f>
        <v/>
      </c>
    </row>
    <row r="5593">
      <c r="A5593" t="inlineStr">
        <is>
          <t>22017006047</t>
        </is>
      </c>
      <c r="B5593" t="inlineStr">
        <is>
          <t>隔日到貨🔥 ins 日系卡通女長襪 泡泡襪 長襪 中筒襪 襪子 S11 韓風 熱銷 女襪 情侶襪 可愛襪 短襪</t>
        </is>
      </c>
      <c r="C5593">
        <f>IMAGE("https://cf.shopee.tw/file/sg-11134201-23010-mzfrtlzbj1lv11_tn")</f>
        <v/>
      </c>
      <c r="D5593" t="inlineStr">
        <is>
          <t>黑色</t>
        </is>
      </c>
      <c r="E5593" t="inlineStr"/>
      <c r="F5593">
        <f>IMAGE("https://cf.shopee.tw/file/sg-11134201-23010-gkug5psdj1lv10_tn")</f>
        <v/>
      </c>
    </row>
    <row r="5594">
      <c r="A5594" t="inlineStr">
        <is>
          <t>22017006047</t>
        </is>
      </c>
      <c r="B5594" t="inlineStr">
        <is>
          <t>隔日到貨🔥 ins 日系卡通女長襪 泡泡襪 長襪 中筒襪 襪子 S11 韓風 熱銷 女襪 情侶襪 可愛襪 短襪</t>
        </is>
      </c>
      <c r="C5594">
        <f>IMAGE("https://cf.shopee.tw/file/sg-11134201-23010-mzfrtlzbj1lv11_tn")</f>
        <v/>
      </c>
      <c r="D5594" t="inlineStr">
        <is>
          <t>淺藍</t>
        </is>
      </c>
      <c r="E5594" t="inlineStr"/>
      <c r="F5594">
        <f>IMAGE("https://cf.shopee.tw/file/sg-11134201-23010-9myo7nwdj1lvd8_tn")</f>
        <v/>
      </c>
    </row>
    <row r="5595">
      <c r="A5595" t="inlineStr">
        <is>
          <t>22017006047</t>
        </is>
      </c>
      <c r="B5595" t="inlineStr">
        <is>
          <t>隔日到貨🔥 ins 日系卡通女長襪 泡泡襪 長襪 中筒襪 襪子 S11 韓風 熱銷 女襪 情侶襪 可愛襪 短襪</t>
        </is>
      </c>
      <c r="C5595">
        <f>IMAGE("https://cf.shopee.tw/file/sg-11134201-23010-mzfrtlzbj1lv11_tn")</f>
        <v/>
      </c>
      <c r="D5595" t="inlineStr">
        <is>
          <t>卡其</t>
        </is>
      </c>
      <c r="E5595" t="inlineStr"/>
      <c r="F5595">
        <f>IMAGE("https://cf.shopee.tw/file/sg-11134201-23010-gbirypnz8fmv94_tn")</f>
        <v/>
      </c>
    </row>
    <row r="5596">
      <c r="A5596" t="inlineStr">
        <is>
          <t>22081308219</t>
        </is>
      </c>
      <c r="B5596" t="inlineStr">
        <is>
          <t>隔日到貨🔥 iPhone 手機殼 15 14 pro 13 12 11 XS XR SE X 保護殼 軟殼 蘋果</t>
        </is>
      </c>
      <c r="C5596">
        <f>IMAGE("https://cf.shopee.tw/file/tw-11134207-7r98z-lm1cek6oty8p12_tn")</f>
        <v/>
      </c>
      <c r="D5596" t="inlineStr">
        <is>
          <t>輸入法小狗,7/8/SE2/SE3</t>
        </is>
      </c>
      <c r="E5596" t="inlineStr"/>
      <c r="F5596">
        <f>IMAGE("https://cf.shopee.tw/file/tw-11134207-7r992-lm4fkhoz26qj30_tn")</f>
        <v/>
      </c>
    </row>
    <row r="5597">
      <c r="A5597" t="inlineStr">
        <is>
          <t>22081308219</t>
        </is>
      </c>
      <c r="B5597" t="inlineStr">
        <is>
          <t>隔日到貨🔥 iPhone 手機殼 15 14 pro 13 12 11 XS XR SE X 保護殼 軟殼 蘋果</t>
        </is>
      </c>
      <c r="C5597">
        <f>IMAGE("https://cf.shopee.tw/file/tw-11134207-7r98z-lm1cek6oty8p12_tn")</f>
        <v/>
      </c>
      <c r="D5597" t="inlineStr">
        <is>
          <t>輸入法小狗,12 pro</t>
        </is>
      </c>
      <c r="E5597" t="inlineStr"/>
      <c r="F5597">
        <f>IMAGE("https://cf.shopee.tw/file/tw-11134207-7r992-lm4fkhoz26qj30_tn")</f>
        <v/>
      </c>
    </row>
    <row r="5598">
      <c r="A5598" t="inlineStr">
        <is>
          <t>22081308219</t>
        </is>
      </c>
      <c r="B5598" t="inlineStr">
        <is>
          <t>隔日到貨🔥 iPhone 手機殼 15 14 pro 13 12 11 XS XR SE X 保護殼 軟殼 蘋果</t>
        </is>
      </c>
      <c r="C5598">
        <f>IMAGE("https://cf.shopee.tw/file/tw-11134207-7r98z-lm1cek6oty8p12_tn")</f>
        <v/>
      </c>
      <c r="D5598" t="inlineStr">
        <is>
          <t>輸入法小狗,7Plus/8Plus</t>
        </is>
      </c>
      <c r="E5598" t="inlineStr"/>
      <c r="F5598">
        <f>IMAGE("https://cf.shopee.tw/file/tw-11134207-7r992-lm4fkhoz26qj30_tn")</f>
        <v/>
      </c>
    </row>
    <row r="5599">
      <c r="A5599" t="inlineStr">
        <is>
          <t>22081308219</t>
        </is>
      </c>
      <c r="B5599" t="inlineStr">
        <is>
          <t>隔日到貨🔥 iPhone 手機殼 15 14 pro 13 12 11 XS XR SE X 保護殼 軟殼 蘋果</t>
        </is>
      </c>
      <c r="C5599">
        <f>IMAGE("https://cf.shopee.tw/file/tw-11134207-7r98z-lm1cek6oty8p12_tn")</f>
        <v/>
      </c>
      <c r="D5599" t="inlineStr">
        <is>
          <t>輸入法小狗,X/XS</t>
        </is>
      </c>
      <c r="E5599" t="inlineStr"/>
      <c r="F5599">
        <f>IMAGE("https://cf.shopee.tw/file/tw-11134207-7r992-lm4fkhoz26qj30_tn")</f>
        <v/>
      </c>
    </row>
    <row r="5600">
      <c r="A5600" t="inlineStr">
        <is>
          <t>22081308219</t>
        </is>
      </c>
      <c r="B5600" t="inlineStr">
        <is>
          <t>隔日到貨🔥 iPhone 手機殼 15 14 pro 13 12 11 XS XR SE X 保護殼 軟殼 蘋果</t>
        </is>
      </c>
      <c r="C5600">
        <f>IMAGE("https://cf.shopee.tw/file/tw-11134207-7r98z-lm1cek6oty8p12_tn")</f>
        <v/>
      </c>
      <c r="D5600" t="inlineStr">
        <is>
          <t>輸入法小狗,XR</t>
        </is>
      </c>
      <c r="E5600" t="inlineStr"/>
      <c r="F5600">
        <f>IMAGE("https://cf.shopee.tw/file/tw-11134207-7r992-lm4fkhoz26qj30_tn")</f>
        <v/>
      </c>
    </row>
    <row r="5601">
      <c r="A5601" t="inlineStr">
        <is>
          <t>22081308219</t>
        </is>
      </c>
      <c r="B5601" t="inlineStr">
        <is>
          <t>隔日到貨🔥 iPhone 手機殼 15 14 pro 13 12 11 XS XR SE X 保護殼 軟殼 蘋果</t>
        </is>
      </c>
      <c r="C5601">
        <f>IMAGE("https://cf.shopee.tw/file/tw-11134207-7r98z-lm1cek6oty8p12_tn")</f>
        <v/>
      </c>
      <c r="D5601" t="inlineStr">
        <is>
          <t>輸入法小狗,XS Max</t>
        </is>
      </c>
      <c r="E5601" t="inlineStr"/>
      <c r="F5601">
        <f>IMAGE("https://cf.shopee.tw/file/tw-11134207-7r992-lm4fkhoz26qj30_tn")</f>
        <v/>
      </c>
    </row>
    <row r="5602">
      <c r="A5602" t="inlineStr">
        <is>
          <t>22081308219</t>
        </is>
      </c>
      <c r="B5602" t="inlineStr">
        <is>
          <t>隔日到貨🔥 iPhone 手機殼 15 14 pro 13 12 11 XS XR SE X 保護殼 軟殼 蘋果</t>
        </is>
      </c>
      <c r="C5602">
        <f>IMAGE("https://cf.shopee.tw/file/tw-11134207-7r98z-lm1cek6oty8p12_tn")</f>
        <v/>
      </c>
      <c r="D5602" t="inlineStr">
        <is>
          <t>輸入法小狗,11</t>
        </is>
      </c>
      <c r="E5602" t="inlineStr"/>
      <c r="F5602">
        <f>IMAGE("https://cf.shopee.tw/file/tw-11134207-7r992-lm4fkhoz26qj30_tn")</f>
        <v/>
      </c>
    </row>
    <row r="5603">
      <c r="A5603" t="inlineStr">
        <is>
          <t>22081308219</t>
        </is>
      </c>
      <c r="B5603" t="inlineStr">
        <is>
          <t>隔日到貨🔥 iPhone 手機殼 15 14 pro 13 12 11 XS XR SE X 保護殼 軟殼 蘋果</t>
        </is>
      </c>
      <c r="C5603">
        <f>IMAGE("https://cf.shopee.tw/file/tw-11134207-7r98z-lm1cek6oty8p12_tn")</f>
        <v/>
      </c>
      <c r="D5603" t="inlineStr">
        <is>
          <t>輸入法小狗,11 pro</t>
        </is>
      </c>
      <c r="E5603" t="inlineStr"/>
      <c r="F5603">
        <f>IMAGE("https://cf.shopee.tw/file/tw-11134207-7r992-lm4fkhoz26qj30_tn")</f>
        <v/>
      </c>
    </row>
    <row r="5604">
      <c r="A5604" t="inlineStr">
        <is>
          <t>22081308219</t>
        </is>
      </c>
      <c r="B5604" t="inlineStr">
        <is>
          <t>隔日到貨🔥 iPhone 手機殼 15 14 pro 13 12 11 XS XR SE X 保護殼 軟殼 蘋果</t>
        </is>
      </c>
      <c r="C5604">
        <f>IMAGE("https://cf.shopee.tw/file/tw-11134207-7r98z-lm1cek6oty8p12_tn")</f>
        <v/>
      </c>
      <c r="D5604" t="inlineStr">
        <is>
          <t>輸入法小狗,11 pro Max</t>
        </is>
      </c>
      <c r="E5604" t="inlineStr"/>
      <c r="F5604">
        <f>IMAGE("https://cf.shopee.tw/file/tw-11134207-7r992-lm4fkhoz26qj30_tn")</f>
        <v/>
      </c>
    </row>
    <row r="5605">
      <c r="A5605" t="inlineStr">
        <is>
          <t>22081308219</t>
        </is>
      </c>
      <c r="B5605" t="inlineStr">
        <is>
          <t>隔日到貨🔥 iPhone 手機殼 15 14 pro 13 12 11 XS XR SE X 保護殼 軟殼 蘋果</t>
        </is>
      </c>
      <c r="C5605">
        <f>IMAGE("https://cf.shopee.tw/file/tw-11134207-7r98z-lm1cek6oty8p12_tn")</f>
        <v/>
      </c>
      <c r="D5605" t="inlineStr">
        <is>
          <t>輸入法小狗,12</t>
        </is>
      </c>
      <c r="E5605" t="inlineStr">
        <is>
          <t>59702910965</t>
        </is>
      </c>
      <c r="F5605">
        <f>IMAGE("https://cf.shopee.tw/file/tw-11134207-7r992-lm4fkhoz26qj30_tn")</f>
        <v/>
      </c>
    </row>
    <row r="5606">
      <c r="A5606" t="inlineStr">
        <is>
          <t>22081308219</t>
        </is>
      </c>
      <c r="B5606" t="inlineStr">
        <is>
          <t>隔日到貨🔥 iPhone 手機殼 15 14 pro 13 12 11 XS XR SE X 保護殼 軟殼 蘋果</t>
        </is>
      </c>
      <c r="C5606">
        <f>IMAGE("https://cf.shopee.tw/file/tw-11134207-7r98z-lm1cek6oty8p12_tn")</f>
        <v/>
      </c>
      <c r="D5606" t="inlineStr">
        <is>
          <t>輸入法小狗,12 pro Max</t>
        </is>
      </c>
      <c r="E5606" t="inlineStr"/>
      <c r="F5606">
        <f>IMAGE("https://cf.shopee.tw/file/tw-11134207-7r992-lm4fkhoz26qj30_tn")</f>
        <v/>
      </c>
    </row>
    <row r="5607">
      <c r="A5607" t="inlineStr">
        <is>
          <t>22081308219</t>
        </is>
      </c>
      <c r="B5607" t="inlineStr">
        <is>
          <t>隔日到貨🔥 iPhone 手機殼 15 14 pro 13 12 11 XS XR SE X 保護殼 軟殼 蘋果</t>
        </is>
      </c>
      <c r="C5607">
        <f>IMAGE("https://cf.shopee.tw/file/tw-11134207-7r98z-lm1cek6oty8p12_tn")</f>
        <v/>
      </c>
      <c r="D5607" t="inlineStr">
        <is>
          <t>輸入法小狗,13</t>
        </is>
      </c>
      <c r="E5607" t="inlineStr"/>
      <c r="F5607">
        <f>IMAGE("https://cf.shopee.tw/file/tw-11134207-7r992-lm4fkhoz26qj30_tn")</f>
        <v/>
      </c>
    </row>
    <row r="5608">
      <c r="A5608" t="inlineStr">
        <is>
          <t>22081308219</t>
        </is>
      </c>
      <c r="B5608" t="inlineStr">
        <is>
          <t>隔日到貨🔥 iPhone 手機殼 15 14 pro 13 12 11 XS XR SE X 保護殼 軟殼 蘋果</t>
        </is>
      </c>
      <c r="C5608">
        <f>IMAGE("https://cf.shopee.tw/file/tw-11134207-7r98z-lm1cek6oty8p12_tn")</f>
        <v/>
      </c>
      <c r="D5608" t="inlineStr">
        <is>
          <t>輸入法小狗,13 pro</t>
        </is>
      </c>
      <c r="E5608" t="inlineStr">
        <is>
          <t>59702910967</t>
        </is>
      </c>
      <c r="F5608">
        <f>IMAGE("https://cf.shopee.tw/file/tw-11134207-7r992-lm4fkhoz26qj30_tn")</f>
        <v/>
      </c>
    </row>
    <row r="5609">
      <c r="A5609" t="inlineStr">
        <is>
          <t>22081308219</t>
        </is>
      </c>
      <c r="B5609" t="inlineStr">
        <is>
          <t>隔日到貨🔥 iPhone 手機殼 15 14 pro 13 12 11 XS XR SE X 保護殼 軟殼 蘋果</t>
        </is>
      </c>
      <c r="C5609">
        <f>IMAGE("https://cf.shopee.tw/file/tw-11134207-7r98z-lm1cek6oty8p12_tn")</f>
        <v/>
      </c>
      <c r="D5609" t="inlineStr">
        <is>
          <t>輸入法小狗,13 pro Max</t>
        </is>
      </c>
      <c r="E5609" t="inlineStr">
        <is>
          <t>59702910959</t>
        </is>
      </c>
      <c r="F5609">
        <f>IMAGE("https://cf.shopee.tw/file/tw-11134207-7r992-lm4fkhoz26qj30_tn")</f>
        <v/>
      </c>
    </row>
    <row r="5610">
      <c r="A5610" t="inlineStr">
        <is>
          <t>22081308219</t>
        </is>
      </c>
      <c r="B5610" t="inlineStr">
        <is>
          <t>隔日到貨🔥 iPhone 手機殼 15 14 pro 13 12 11 XS XR SE X 保護殼 軟殼 蘋果</t>
        </is>
      </c>
      <c r="C5610">
        <f>IMAGE("https://cf.shopee.tw/file/tw-11134207-7r98z-lm1cek6oty8p12_tn")</f>
        <v/>
      </c>
      <c r="D5610" t="inlineStr">
        <is>
          <t>輸入法小狗,14</t>
        </is>
      </c>
      <c r="E5610" t="inlineStr"/>
      <c r="F5610">
        <f>IMAGE("https://cf.shopee.tw/file/tw-11134207-7r992-lm4fkhoz26qj30_tn")</f>
        <v/>
      </c>
    </row>
    <row r="5611">
      <c r="A5611" t="inlineStr">
        <is>
          <t>22081308219</t>
        </is>
      </c>
      <c r="B5611" t="inlineStr">
        <is>
          <t>隔日到貨🔥 iPhone 手機殼 15 14 pro 13 12 11 XS XR SE X 保護殼 軟殼 蘋果</t>
        </is>
      </c>
      <c r="C5611">
        <f>IMAGE("https://cf.shopee.tw/file/tw-11134207-7r98z-lm1cek6oty8p12_tn")</f>
        <v/>
      </c>
      <c r="D5611" t="inlineStr">
        <is>
          <t>輸入法小狗,14 pro</t>
        </is>
      </c>
      <c r="E5611" t="inlineStr"/>
      <c r="F5611">
        <f>IMAGE("https://cf.shopee.tw/file/tw-11134207-7r992-lm4fkhoz26qj30_tn")</f>
        <v/>
      </c>
    </row>
    <row r="5612">
      <c r="A5612" t="inlineStr">
        <is>
          <t>22081308219</t>
        </is>
      </c>
      <c r="B5612" t="inlineStr">
        <is>
          <t>隔日到貨🔥 iPhone 手機殼 15 14 pro 13 12 11 XS XR SE X 保護殼 軟殼 蘋果</t>
        </is>
      </c>
      <c r="C5612">
        <f>IMAGE("https://cf.shopee.tw/file/tw-11134207-7r98z-lm1cek6oty8p12_tn")</f>
        <v/>
      </c>
      <c r="D5612" t="inlineStr">
        <is>
          <t>輸入法小狗,14 pro Max</t>
        </is>
      </c>
      <c r="E5612" t="inlineStr"/>
      <c r="F5612">
        <f>IMAGE("https://cf.shopee.tw/file/tw-11134207-7r992-lm4fkhoz26qj30_tn")</f>
        <v/>
      </c>
    </row>
    <row r="5613">
      <c r="A5613" t="inlineStr">
        <is>
          <t>22081308219</t>
        </is>
      </c>
      <c r="B5613" t="inlineStr">
        <is>
          <t>隔日到貨🔥 iPhone 手機殼 15 14 pro 13 12 11 XS XR SE X 保護殼 軟殼 蘋果</t>
        </is>
      </c>
      <c r="C5613">
        <f>IMAGE("https://cf.shopee.tw/file/tw-11134207-7r98z-lm1cek6oty8p12_tn")</f>
        <v/>
      </c>
      <c r="D5613" t="inlineStr">
        <is>
          <t>輸入法小狗,14 Plus</t>
        </is>
      </c>
      <c r="E5613" t="inlineStr">
        <is>
          <t>59702910968</t>
        </is>
      </c>
      <c r="F5613">
        <f>IMAGE("https://cf.shopee.tw/file/tw-11134207-7r992-lm4fkhoz26qj30_tn")</f>
        <v/>
      </c>
    </row>
    <row r="5614">
      <c r="A5614" t="inlineStr">
        <is>
          <t>22081308219</t>
        </is>
      </c>
      <c r="B5614" t="inlineStr">
        <is>
          <t>隔日到貨🔥 iPhone 手機殼 15 14 pro 13 12 11 XS XR SE X 保護殼 軟殼 蘋果</t>
        </is>
      </c>
      <c r="C5614">
        <f>IMAGE("https://cf.shopee.tw/file/tw-11134207-7r98z-lm1cek6oty8p12_tn")</f>
        <v/>
      </c>
      <c r="D5614" t="inlineStr">
        <is>
          <t>輸入法小狗,15</t>
        </is>
      </c>
      <c r="E5614" t="inlineStr"/>
      <c r="F5614">
        <f>IMAGE("https://cf.shopee.tw/file/tw-11134207-7r992-lm4fkhoz26qj30_tn")</f>
        <v/>
      </c>
    </row>
    <row r="5615">
      <c r="A5615" t="inlineStr">
        <is>
          <t>22081308219</t>
        </is>
      </c>
      <c r="B5615" t="inlineStr">
        <is>
          <t>隔日到貨🔥 iPhone 手機殼 15 14 pro 13 12 11 XS XR SE X 保護殼 軟殼 蘋果</t>
        </is>
      </c>
      <c r="C5615">
        <f>IMAGE("https://cf.shopee.tw/file/tw-11134207-7r98z-lm1cek6oty8p12_tn")</f>
        <v/>
      </c>
      <c r="D5615" t="inlineStr">
        <is>
          <t>輸入法小狗,15 pro</t>
        </is>
      </c>
      <c r="E5615" t="inlineStr"/>
      <c r="F5615">
        <f>IMAGE("https://cf.shopee.tw/file/tw-11134207-7r992-lm4fkhoz26qj30_tn")</f>
        <v/>
      </c>
    </row>
    <row r="5616">
      <c r="A5616" t="inlineStr">
        <is>
          <t>22081308219</t>
        </is>
      </c>
      <c r="B5616" t="inlineStr">
        <is>
          <t>隔日到貨🔥 iPhone 手機殼 15 14 pro 13 12 11 XS XR SE X 保護殼 軟殼 蘋果</t>
        </is>
      </c>
      <c r="C5616">
        <f>IMAGE("https://cf.shopee.tw/file/tw-11134207-7r98z-lm1cek6oty8p12_tn")</f>
        <v/>
      </c>
      <c r="D5616" t="inlineStr">
        <is>
          <t>輸入法小狗,15 pro Max</t>
        </is>
      </c>
      <c r="E5616" t="inlineStr">
        <is>
          <t>59702910961</t>
        </is>
      </c>
      <c r="F5616">
        <f>IMAGE("https://cf.shopee.tw/file/tw-11134207-7r992-lm4fkhoz26qj30_tn")</f>
        <v/>
      </c>
    </row>
    <row r="5617">
      <c r="A5617" t="inlineStr">
        <is>
          <t>22081308219</t>
        </is>
      </c>
      <c r="B5617" t="inlineStr">
        <is>
          <t>隔日到貨🔥 iPhone 手機殼 15 14 pro 13 12 11 XS XR SE X 保護殼 軟殼 蘋果</t>
        </is>
      </c>
      <c r="C5617">
        <f>IMAGE("https://cf.shopee.tw/file/tw-11134207-7r98z-lm1cek6oty8p12_tn")</f>
        <v/>
      </c>
      <c r="D5617" t="inlineStr">
        <is>
          <t>輸入法小狗,15 Plus</t>
        </is>
      </c>
      <c r="E5617" t="inlineStr"/>
      <c r="F5617">
        <f>IMAGE("https://cf.shopee.tw/file/tw-11134207-7r992-lm4fkhoz26qj30_tn")</f>
        <v/>
      </c>
    </row>
    <row r="5618">
      <c r="A5618" t="inlineStr">
        <is>
          <t>3518887167</t>
        </is>
      </c>
      <c r="B5618" t="inlineStr">
        <is>
          <t>隔日到貨🔥 美式 水洗 復古 老帽 歐美 百搭 鴨舌帽 棒球帽 chance 潮帽 帽子 好看帽 百搭帽</t>
        </is>
      </c>
      <c r="C5618">
        <f>IMAGE("https://cf.shopee.tw/file/2f714b2c2a2fde7aec75319904470744_tn")</f>
        <v/>
      </c>
      <c r="D5618" t="inlineStr">
        <is>
          <t>1.黃色</t>
        </is>
      </c>
      <c r="E5618" t="inlineStr"/>
      <c r="F5618">
        <f>IMAGE("https://cf.shopee.tw/file/e8f0f103ed16ec90e3d75b3ef849678a_tn")</f>
        <v/>
      </c>
    </row>
    <row r="5619">
      <c r="A5619" t="inlineStr">
        <is>
          <t>3518887167</t>
        </is>
      </c>
      <c r="B5619" t="inlineStr">
        <is>
          <t>隔日到貨🔥 美式 水洗 復古 老帽 歐美 百搭 鴨舌帽 棒球帽 chance 潮帽 帽子 好看帽 百搭帽</t>
        </is>
      </c>
      <c r="C5619">
        <f>IMAGE("https://cf.shopee.tw/file/2f714b2c2a2fde7aec75319904470744_tn")</f>
        <v/>
      </c>
      <c r="D5619" t="inlineStr">
        <is>
          <t>2.黑色</t>
        </is>
      </c>
      <c r="E5619" t="inlineStr"/>
      <c r="F5619">
        <f>IMAGE("https://cf.shopee.tw/file/78c965c12e4e69d7d10858f46ddeb112_tn")</f>
        <v/>
      </c>
    </row>
    <row r="5620">
      <c r="A5620" t="inlineStr">
        <is>
          <t>3518887167</t>
        </is>
      </c>
      <c r="B5620" t="inlineStr">
        <is>
          <t>隔日到貨🔥 美式 水洗 復古 老帽 歐美 百搭 鴨舌帽 棒球帽 chance 潮帽 帽子 好看帽 百搭帽</t>
        </is>
      </c>
      <c r="C5620">
        <f>IMAGE("https://cf.shopee.tw/file/2f714b2c2a2fde7aec75319904470744_tn")</f>
        <v/>
      </c>
      <c r="D5620" t="inlineStr">
        <is>
          <t>3.橘紅</t>
        </is>
      </c>
      <c r="E5620" t="inlineStr"/>
      <c r="F5620">
        <f>IMAGE("https://cf.shopee.tw/file/da070f5cbdc309835dc764b4ec0aad97_tn")</f>
        <v/>
      </c>
    </row>
    <row r="5621">
      <c r="A5621" t="inlineStr">
        <is>
          <t>3518887167</t>
        </is>
      </c>
      <c r="B5621" t="inlineStr">
        <is>
          <t>隔日到貨🔥 美式 水洗 復古 老帽 歐美 百搭 鴨舌帽 棒球帽 chance 潮帽 帽子 好看帽 百搭帽</t>
        </is>
      </c>
      <c r="C5621">
        <f>IMAGE("https://cf.shopee.tw/file/2f714b2c2a2fde7aec75319904470744_tn")</f>
        <v/>
      </c>
      <c r="D5621" t="inlineStr">
        <is>
          <t>4.藏青</t>
        </is>
      </c>
      <c r="E5621" t="inlineStr"/>
      <c r="F5621">
        <f>IMAGE("https://cf.shopee.tw/file/5439d9127d6a5734543a964164d6851e_tn")</f>
        <v/>
      </c>
    </row>
    <row r="5622">
      <c r="A5622" t="inlineStr">
        <is>
          <t>3518887167</t>
        </is>
      </c>
      <c r="B5622" t="inlineStr">
        <is>
          <t>隔日到貨🔥 美式 水洗 復古 老帽 歐美 百搭 鴨舌帽 棒球帽 chance 潮帽 帽子 好看帽 百搭帽</t>
        </is>
      </c>
      <c r="C5622">
        <f>IMAGE("https://cf.shopee.tw/file/2f714b2c2a2fde7aec75319904470744_tn")</f>
        <v/>
      </c>
      <c r="D5622" t="inlineStr">
        <is>
          <t>5.紫色</t>
        </is>
      </c>
      <c r="E5622" t="inlineStr"/>
      <c r="F5622">
        <f>IMAGE("https://cf.shopee.tw/file/339233ce8e108cdbd6bee0dd75e13df8_tn")</f>
        <v/>
      </c>
    </row>
    <row r="5623">
      <c r="A5623" t="inlineStr">
        <is>
          <t>3518887167</t>
        </is>
      </c>
      <c r="B5623" t="inlineStr">
        <is>
          <t>隔日到貨🔥 美式 水洗 復古 老帽 歐美 百搭 鴨舌帽 棒球帽 chance 潮帽 帽子 好看帽 百搭帽</t>
        </is>
      </c>
      <c r="C5623">
        <f>IMAGE("https://cf.shopee.tw/file/2f714b2c2a2fde7aec75319904470744_tn")</f>
        <v/>
      </c>
      <c r="D5623" t="inlineStr">
        <is>
          <t>6.灰色</t>
        </is>
      </c>
      <c r="E5623" t="inlineStr"/>
      <c r="F5623">
        <f>IMAGE("https://cf.shopee.tw/file/09855760ec5f2e174105ec270d3bbd1c_tn")</f>
        <v/>
      </c>
    </row>
    <row r="5624">
      <c r="A5624" t="inlineStr">
        <is>
          <t>3518887167</t>
        </is>
      </c>
      <c r="B5624" t="inlineStr">
        <is>
          <t>隔日到貨🔥 美式 水洗 復古 老帽 歐美 百搭 鴨舌帽 棒球帽 chance 潮帽 帽子 好看帽 百搭帽</t>
        </is>
      </c>
      <c r="C5624">
        <f>IMAGE("https://cf.shopee.tw/file/2f714b2c2a2fde7aec75319904470744_tn")</f>
        <v/>
      </c>
      <c r="D5624" t="inlineStr">
        <is>
          <t>7.卡其</t>
        </is>
      </c>
      <c r="E5624" t="inlineStr"/>
      <c r="F5624">
        <f>IMAGE("https://cf.shopee.tw/file/f5812f21777831e260423e601a3fc25a_tn")</f>
        <v/>
      </c>
    </row>
    <row r="5625">
      <c r="A5625" t="inlineStr">
        <is>
          <t>3518887167</t>
        </is>
      </c>
      <c r="B5625" t="inlineStr">
        <is>
          <t>隔日到貨🔥 美式 水洗 復古 老帽 歐美 百搭 鴨舌帽 棒球帽 chance 潮帽 帽子 好看帽 百搭帽</t>
        </is>
      </c>
      <c r="C5625">
        <f>IMAGE("https://cf.shopee.tw/file/2f714b2c2a2fde7aec75319904470744_tn")</f>
        <v/>
      </c>
      <c r="D5625" t="inlineStr">
        <is>
          <t>8.酒紅</t>
        </is>
      </c>
      <c r="E5625" t="inlineStr"/>
      <c r="F5625">
        <f>IMAGE("https://cf.shopee.tw/file/00dce40eca6e7efff08acb27802bff61_tn")</f>
        <v/>
      </c>
    </row>
    <row r="5626">
      <c r="A5626" t="inlineStr">
        <is>
          <t>3518887167</t>
        </is>
      </c>
      <c r="B5626" t="inlineStr">
        <is>
          <t>隔日到貨🔥 美式 水洗 復古 老帽 歐美 百搭 鴨舌帽 棒球帽 chance 潮帽 帽子 好看帽 百搭帽</t>
        </is>
      </c>
      <c r="C5626">
        <f>IMAGE("https://cf.shopee.tw/file/2f714b2c2a2fde7aec75319904470744_tn")</f>
        <v/>
      </c>
      <c r="D5626" t="inlineStr">
        <is>
          <t>9.咖啡</t>
        </is>
      </c>
      <c r="E5626" t="inlineStr"/>
      <c r="F5626">
        <f>IMAGE("https://cf.shopee.tw/file/dd98601b201b4fd7bb298332d18f83b9_tn")</f>
        <v/>
      </c>
    </row>
    <row r="5627">
      <c r="A5627" t="inlineStr">
        <is>
          <t>21985018436</t>
        </is>
      </c>
      <c r="B5627" t="inlineStr">
        <is>
          <t>隔日到貨🔥 韓版 學生雙肩包 尼龍 大容量 後背包 大學後背包 書包 B35 女生包包 多層 學生後背包 防潑水</t>
        </is>
      </c>
      <c r="C5627">
        <f>IMAGE("https://cf.shopee.tw/file/tw-11134207-7r991-lmmz5b2gdnyxd7_tn")</f>
        <v/>
      </c>
      <c r="D5627" t="inlineStr">
        <is>
          <t>黑色 （不含掛件）</t>
        </is>
      </c>
      <c r="E5627" t="inlineStr"/>
      <c r="F5627">
        <f>IMAGE("https://cf.shopee.tw/file/tw-11134207-7r98q-lmmzx9m8cqs9b1_tn")</f>
        <v/>
      </c>
    </row>
    <row r="5628">
      <c r="A5628" t="inlineStr">
        <is>
          <t>21985018436</t>
        </is>
      </c>
      <c r="B5628" t="inlineStr">
        <is>
          <t>隔日到貨🔥 韓版 學生雙肩包 尼龍 大容量 後背包 大學後背包 書包 B35 女生包包 多層 學生後背包 防潑水</t>
        </is>
      </c>
      <c r="C5628">
        <f>IMAGE("https://cf.shopee.tw/file/tw-11134207-7r991-lmmz5b2gdnyxd7_tn")</f>
        <v/>
      </c>
      <c r="D5628" t="inlineStr">
        <is>
          <t>綠色 （不含掛件）</t>
        </is>
      </c>
      <c r="E5628" t="inlineStr"/>
      <c r="F5628">
        <f>IMAGE("https://cf.shopee.tw/file/tw-11134207-7r98q-lmn0amxl13tl79_tn")</f>
        <v/>
      </c>
    </row>
    <row r="5629">
      <c r="A5629" t="inlineStr">
        <is>
          <t>21985018436</t>
        </is>
      </c>
      <c r="B5629" t="inlineStr">
        <is>
          <t>隔日到貨🔥 韓版 學生雙肩包 尼龍 大容量 後背包 大學後背包 書包 B35 女生包包 多層 學生後背包 防潑水</t>
        </is>
      </c>
      <c r="C5629">
        <f>IMAGE("https://cf.shopee.tw/file/tw-11134207-7r991-lmmz5b2gdnyxd7_tn")</f>
        <v/>
      </c>
      <c r="D5629" t="inlineStr">
        <is>
          <t>紅色 （不含掛件）</t>
        </is>
      </c>
      <c r="E5629" t="inlineStr"/>
      <c r="F5629">
        <f>IMAGE("https://cf.shopee.tw/file/tw-11134207-7r98v-lmn0amxl2ie144_tn")</f>
        <v/>
      </c>
    </row>
    <row r="5630">
      <c r="A5630" t="inlineStr">
        <is>
          <t>21985018436</t>
        </is>
      </c>
      <c r="B5630" t="inlineStr">
        <is>
          <t>隔日到貨🔥 韓版 學生雙肩包 尼龍 大容量 後背包 大學後背包 書包 B35 女生包包 多層 學生後背包 防潑水</t>
        </is>
      </c>
      <c r="C5630">
        <f>IMAGE("https://cf.shopee.tw/file/tw-11134207-7r991-lmmz5b2gdnyxd7_tn")</f>
        <v/>
      </c>
      <c r="D5630" t="inlineStr">
        <is>
          <t>藍色 （不含掛件）</t>
        </is>
      </c>
      <c r="E5630" t="inlineStr"/>
      <c r="F5630">
        <f>IMAGE("https://cf.shopee.tw/file/tw-11134207-7r98y-lmmzx9n1f7vd32_tn")</f>
        <v/>
      </c>
    </row>
    <row r="5631">
      <c r="A5631" t="inlineStr">
        <is>
          <t>22053397039</t>
        </is>
      </c>
      <c r="B5631" t="inlineStr">
        <is>
          <t>隔日到貨🔥 ins 潮流斜背包 小方包 肩背包 B36 古著 日系 單肩包 包包 背包 尼龍 斜背包 側背包 街頭</t>
        </is>
      </c>
      <c r="C5631">
        <f>IMAGE("https://cf.shopee.tw/file/tw-11134207-7r990-ll62z2zunnxd9c_tn")</f>
        <v/>
      </c>
      <c r="D5631" t="inlineStr">
        <is>
          <t>黑色</t>
        </is>
      </c>
      <c r="E5631" t="inlineStr"/>
      <c r="F5631">
        <f>IMAGE("https://cf.shopee.tw/file/tw-11134207-7r98y-ll62qjosd49t7f_tn")</f>
        <v/>
      </c>
    </row>
    <row r="5632">
      <c r="A5632" t="inlineStr">
        <is>
          <t>22053397039</t>
        </is>
      </c>
      <c r="B5632" t="inlineStr">
        <is>
          <t>隔日到貨🔥 ins 潮流斜背包 小方包 肩背包 B36 古著 日系 單肩包 包包 背包 尼龍 斜背包 側背包 街頭</t>
        </is>
      </c>
      <c r="C5632">
        <f>IMAGE("https://cf.shopee.tw/file/tw-11134207-7r990-ll62z2zunnxd9c_tn")</f>
        <v/>
      </c>
      <c r="D5632" t="inlineStr">
        <is>
          <t>白色</t>
        </is>
      </c>
      <c r="E5632" t="inlineStr"/>
      <c r="F5632">
        <f>IMAGE("https://cf.shopee.tw/file/tw-11134207-7r992-ll62qjostz69d3_tn")</f>
        <v/>
      </c>
    </row>
    <row r="5633">
      <c r="A5633" t="inlineStr">
        <is>
          <t>23876393235</t>
        </is>
      </c>
      <c r="B5633" t="inlineStr">
        <is>
          <t>隔日到貨🔥 後背包 學生背包 大容量 學生 背包 百搭 尼龍 B51 手提 雙肩包 背包 書包 潮流 後背 休閒包</t>
        </is>
      </c>
      <c r="C5633">
        <f>IMAGE("https://cf.shopee.tw/file/tw-11134207-7qul8-lk9mrxbjbic6b8_tn")</f>
        <v/>
      </c>
      <c r="D5633" t="inlineStr">
        <is>
          <t>黑色</t>
        </is>
      </c>
      <c r="E5633" t="inlineStr"/>
      <c r="F5633">
        <f>IMAGE("https://cf.shopee.tw/file/tw-11134207-7qul6-lk9mrxbjsd5idf_tn")</f>
        <v/>
      </c>
    </row>
    <row r="5634">
      <c r="A5634" t="inlineStr">
        <is>
          <t>23876393235</t>
        </is>
      </c>
      <c r="B5634" t="inlineStr">
        <is>
          <t>隔日到貨🔥 後背包 學生背包 大容量 學生 背包 百搭 尼龍 B51 手提 雙肩包 背包 書包 潮流 後背 休閒包</t>
        </is>
      </c>
      <c r="C5634">
        <f>IMAGE("https://cf.shopee.tw/file/tw-11134207-7qul8-lk9mrxbjbic6b8_tn")</f>
        <v/>
      </c>
      <c r="D5634" t="inlineStr">
        <is>
          <t>白色</t>
        </is>
      </c>
      <c r="E5634" t="inlineStr"/>
      <c r="F5634">
        <f>IMAGE("https://cf.shopee.tw/file/tw-11134207-7quky-lk9mrxbk7tee29_tn")</f>
        <v/>
      </c>
    </row>
    <row r="5635">
      <c r="A5635" t="inlineStr">
        <is>
          <t>23876393235</t>
        </is>
      </c>
      <c r="B5635" t="inlineStr">
        <is>
          <t>隔日到貨🔥 後背包 學生背包 大容量 學生 背包 百搭 尼龍 B51 手提 雙肩包 背包 書包 潮流 後背 休閒包</t>
        </is>
      </c>
      <c r="C5635">
        <f>IMAGE("https://cf.shopee.tw/file/tw-11134207-7qul8-lk9mrxbjbic6b8_tn")</f>
        <v/>
      </c>
      <c r="D5635" t="inlineStr">
        <is>
          <t>白黑色</t>
        </is>
      </c>
      <c r="E5635" t="inlineStr"/>
      <c r="F5635">
        <f>IMAGE("https://cf.shopee.tw/file/tw-11134207-7qul2-lk9mrxbtcit4ba_tn")</f>
        <v/>
      </c>
    </row>
    <row r="5636">
      <c r="A5636" t="inlineStr">
        <is>
          <t>23876393235</t>
        </is>
      </c>
      <c r="B5636" t="inlineStr">
        <is>
          <t>隔日到貨🔥 後背包 學生背包 大容量 學生 背包 百搭 尼龍 B51 手提 雙肩包 背包 書包 潮流 後背 休閒包</t>
        </is>
      </c>
      <c r="C5636">
        <f>IMAGE("https://cf.shopee.tw/file/tw-11134207-7qul8-lk9mrxbjbic6b8_tn")</f>
        <v/>
      </c>
      <c r="D5636" t="inlineStr">
        <is>
          <t>灰色</t>
        </is>
      </c>
      <c r="E5636" t="inlineStr"/>
      <c r="F5636">
        <f>IMAGE("https://cf.shopee.tw/file/tw-11134207-7qul7-lk9mrxcnbaygc7_tn")</f>
        <v/>
      </c>
    </row>
    <row r="5637">
      <c r="A5637" t="inlineStr">
        <is>
          <t>6454398950</t>
        </is>
      </c>
      <c r="B5637" t="inlineStr">
        <is>
          <t>隔日到貨🔥 ins日系帆布小方包 B21 單肩 帆布 斜背 側背包單肩包 學生包 斜背包 MeiXiaoMei</t>
        </is>
      </c>
      <c r="C5637">
        <f>IMAGE("https://cf.shopee.tw/file/091934ea1f62922ec8cffd504b286747_tn")</f>
        <v/>
      </c>
      <c r="D5637" t="inlineStr">
        <is>
          <t>白色(不附圖上吊飾)</t>
        </is>
      </c>
      <c r="E5637" t="inlineStr"/>
      <c r="F5637">
        <f>IMAGE("https://cf.shopee.tw/file/d4e1544e106834c5df4dfb263e1d4a47_tn")</f>
        <v/>
      </c>
    </row>
    <row r="5638">
      <c r="A5638" t="inlineStr">
        <is>
          <t>6454398950</t>
        </is>
      </c>
      <c r="B5638" t="inlineStr">
        <is>
          <t>隔日到貨🔥 ins日系帆布小方包 B21 單肩 帆布 斜背 側背包單肩包 學生包 斜背包 MeiXiaoMei</t>
        </is>
      </c>
      <c r="C5638">
        <f>IMAGE("https://cf.shopee.tw/file/091934ea1f62922ec8cffd504b286747_tn")</f>
        <v/>
      </c>
      <c r="D5638" t="inlineStr">
        <is>
          <t>黑色(不附圖上吊飾)</t>
        </is>
      </c>
      <c r="E5638" t="inlineStr"/>
      <c r="F5638">
        <f>IMAGE("https://cf.shopee.tw/file/edce903998a64255c7f9dfec12171472_tn")</f>
        <v/>
      </c>
    </row>
    <row r="5639">
      <c r="A5639" t="inlineStr">
        <is>
          <t>18070829653</t>
        </is>
      </c>
      <c r="B5639" t="inlineStr">
        <is>
          <t>隔日到貨🔥 萌系可愛動物 羔羊毛絨單肩包 B18 韓版 復古 斜背包 熱銷款 側背包 肩背包 帆布包 Ins</t>
        </is>
      </c>
      <c r="C5639">
        <f>IMAGE("https://cf.shopee.tw/file/sg-11134201-23010-lj6bk5t3c3lvd9_tn")</f>
        <v/>
      </c>
      <c r="D5639" t="inlineStr">
        <is>
          <t>黑色 貓貓</t>
        </is>
      </c>
      <c r="E5639" t="inlineStr"/>
      <c r="F5639">
        <f>IMAGE("https://cf.shopee.tw/file/sg-11134201-23010-mz6d2se5c3lv01_tn")</f>
        <v/>
      </c>
    </row>
    <row r="5640">
      <c r="A5640" t="inlineStr">
        <is>
          <t>18070829653</t>
        </is>
      </c>
      <c r="B5640" t="inlineStr">
        <is>
          <t>隔日到貨🔥 萌系可愛動物 羔羊毛絨單肩包 B18 韓版 復古 斜背包 熱銷款 側背包 肩背包 帆布包 Ins</t>
        </is>
      </c>
      <c r="C5640">
        <f>IMAGE("https://cf.shopee.tw/file/sg-11134201-23010-lj6bk5t3c3lvd9_tn")</f>
        <v/>
      </c>
      <c r="D5640" t="inlineStr">
        <is>
          <t>白色 綿羊</t>
        </is>
      </c>
      <c r="E5640" t="inlineStr"/>
      <c r="F5640">
        <f>IMAGE("https://cf.shopee.tw/file/sg-11134201-23010-wat1ith5c3lved_tn")</f>
        <v/>
      </c>
    </row>
    <row r="5641">
      <c r="A5641" t="inlineStr">
        <is>
          <t>18070829653</t>
        </is>
      </c>
      <c r="B5641" t="inlineStr">
        <is>
          <t>隔日到貨🔥 萌系可愛動物 羔羊毛絨單肩包 B18 韓版 復古 斜背包 熱銷款 側背包 肩背包 帆布包 Ins</t>
        </is>
      </c>
      <c r="C5641">
        <f>IMAGE("https://cf.shopee.tw/file/sg-11134201-23010-lj6bk5t3c3lvd9_tn")</f>
        <v/>
      </c>
      <c r="D5641" t="inlineStr">
        <is>
          <t>卡其色 柴柴</t>
        </is>
      </c>
      <c r="E5641" t="inlineStr">
        <is>
          <t>230720335587</t>
        </is>
      </c>
      <c r="F5641">
        <f>IMAGE("https://cf.shopee.tw/file/sg-11134201-23010-usqdqyk5c3lve4_tn")</f>
        <v/>
      </c>
    </row>
    <row r="5642">
      <c r="A5642" t="inlineStr">
        <is>
          <t>20980274956</t>
        </is>
      </c>
      <c r="B5642" t="inlineStr">
        <is>
          <t>隔日到貨🔥 韓系 鍾型素面漁夫帽 漁夫帽 桶帽 街頭穿搭 防曬帽 可摺疊漁夫帽 水桶帽 大帽簷 帽子</t>
        </is>
      </c>
      <c r="C5642">
        <f>IMAGE("https://cf.shopee.tw/file/tw-11134207-7qul3-lhbm9apc6fccad_tn")</f>
        <v/>
      </c>
      <c r="D5642" t="inlineStr">
        <is>
          <t>黑色</t>
        </is>
      </c>
      <c r="E5642" t="inlineStr"/>
      <c r="F5642">
        <f>IMAGE("https://cf.shopee.tw/file/tw-11134207-7qula-lhbm9ap1ssa417_tn")</f>
        <v/>
      </c>
    </row>
    <row r="5643">
      <c r="A5643" t="inlineStr">
        <is>
          <t>20980274956</t>
        </is>
      </c>
      <c r="B5643" t="inlineStr">
        <is>
          <t>隔日到貨🔥 韓系 鍾型素面漁夫帽 漁夫帽 桶帽 街頭穿搭 防曬帽 可摺疊漁夫帽 水桶帽 大帽簷 帽子</t>
        </is>
      </c>
      <c r="C5643">
        <f>IMAGE("https://cf.shopee.tw/file/tw-11134207-7qul3-lhbm9apc6fccad_tn")</f>
        <v/>
      </c>
      <c r="D5643" t="inlineStr">
        <is>
          <t>米色</t>
        </is>
      </c>
      <c r="E5643" t="inlineStr"/>
      <c r="F5643">
        <f>IMAGE("https://cf.shopee.tw/file/tw-11134207-7qul4-lhbm9apbsdnw4e_tn")</f>
        <v/>
      </c>
    </row>
    <row r="5644">
      <c r="A5644" t="inlineStr">
        <is>
          <t>20980274956</t>
        </is>
      </c>
      <c r="B5644" t="inlineStr">
        <is>
          <t>隔日到貨🔥 韓系 鍾型素面漁夫帽 漁夫帽 桶帽 街頭穿搭 防曬帽 可摺疊漁夫帽 水桶帽 大帽簷 帽子</t>
        </is>
      </c>
      <c r="C5644">
        <f>IMAGE("https://cf.shopee.tw/file/tw-11134207-7qul3-lhbm9apc6fccad_tn")</f>
        <v/>
      </c>
      <c r="D5644" t="inlineStr">
        <is>
          <t>卡其色</t>
        </is>
      </c>
      <c r="E5644" t="inlineStr"/>
      <c r="F5644">
        <f>IMAGE("https://cf.shopee.tw/file/tw-11134207-7qul6-lhbm9apbsdgp2a_tn")</f>
        <v/>
      </c>
    </row>
    <row r="5645">
      <c r="A5645" t="inlineStr">
        <is>
          <t>20980274956</t>
        </is>
      </c>
      <c r="B5645" t="inlineStr">
        <is>
          <t>隔日到貨🔥 韓系 鍾型素面漁夫帽 漁夫帽 桶帽 街頭穿搭 防曬帽 可摺疊漁夫帽 水桶帽 大帽簷 帽子</t>
        </is>
      </c>
      <c r="C5645">
        <f>IMAGE("https://cf.shopee.tw/file/tw-11134207-7qul3-lhbm9apc6fccad_tn")</f>
        <v/>
      </c>
      <c r="D5645" t="inlineStr">
        <is>
          <t>藏青色</t>
        </is>
      </c>
      <c r="E5645" t="inlineStr"/>
      <c r="F5645">
        <f>IMAGE("https://cf.shopee.tw/file/tw-11134207-7qula-lhbm9apc7twsb4_tn")</f>
        <v/>
      </c>
    </row>
    <row r="5646">
      <c r="A5646" t="inlineStr">
        <is>
          <t>22225476502</t>
        </is>
      </c>
      <c r="B5646" t="inlineStr">
        <is>
          <t>隔日到貨🔥 ins 細橫條長襪 長襪 泡泡襪 中筒襪 襪子 S30 韓風 熱銷 女襪 可愛襪 短襪 學院風</t>
        </is>
      </c>
      <c r="C5646">
        <f>IMAGE("https://cf.shopee.tw/file/tw-11134207-23020-76dygguejonvd9_tn")</f>
        <v/>
      </c>
      <c r="D5646" t="inlineStr">
        <is>
          <t>黑色</t>
        </is>
      </c>
      <c r="E5646" t="inlineStr"/>
      <c r="F5646">
        <f>IMAGE("https://cf.shopee.tw/file/tw-11134207-23020-c5as6bjgjonv12_tn")</f>
        <v/>
      </c>
    </row>
    <row r="5647">
      <c r="A5647" t="inlineStr">
        <is>
          <t>22225476502</t>
        </is>
      </c>
      <c r="B5647" t="inlineStr">
        <is>
          <t>隔日到貨🔥 ins 細橫條長襪 長襪 泡泡襪 中筒襪 襪子 S30 韓風 熱銷 女襪 可愛襪 短襪 學院風</t>
        </is>
      </c>
      <c r="C5647">
        <f>IMAGE("https://cf.shopee.tw/file/tw-11134207-23020-76dygguejonvd9_tn")</f>
        <v/>
      </c>
      <c r="D5647" t="inlineStr">
        <is>
          <t>白色</t>
        </is>
      </c>
      <c r="E5647" t="inlineStr"/>
      <c r="F5647">
        <f>IMAGE("https://cf.shopee.tw/file/tw-11134207-23020-1qguopmgjonvdb_tn")</f>
        <v/>
      </c>
    </row>
    <row r="5648">
      <c r="A5648" t="inlineStr">
        <is>
          <t>22225476502</t>
        </is>
      </c>
      <c r="B5648" t="inlineStr">
        <is>
          <t>隔日到貨🔥 ins 細橫條長襪 長襪 泡泡襪 中筒襪 襪子 S30 韓風 熱銷 女襪 可愛襪 短襪 學院風</t>
        </is>
      </c>
      <c r="C5648">
        <f>IMAGE("https://cf.shopee.tw/file/tw-11134207-23020-76dygguejonvd9_tn")</f>
        <v/>
      </c>
      <c r="D5648" t="inlineStr">
        <is>
          <t>橘色</t>
        </is>
      </c>
      <c r="E5648" t="inlineStr"/>
      <c r="F5648">
        <f>IMAGE("https://cf.shopee.tw/file/tw-11134207-23020-wreixcqgjonvf4_tn")</f>
        <v/>
      </c>
    </row>
    <row r="5649">
      <c r="A5649" t="inlineStr">
        <is>
          <t>22225476502</t>
        </is>
      </c>
      <c r="B5649" t="inlineStr">
        <is>
          <t>隔日到貨🔥 ins 細橫條長襪 長襪 泡泡襪 中筒襪 襪子 S30 韓風 熱銷 女襪 可愛襪 短襪 學院風</t>
        </is>
      </c>
      <c r="C5649">
        <f>IMAGE("https://cf.shopee.tw/file/tw-11134207-23020-76dygguejonvd9_tn")</f>
        <v/>
      </c>
      <c r="D5649" t="inlineStr">
        <is>
          <t>卡其</t>
        </is>
      </c>
      <c r="E5649" t="inlineStr"/>
      <c r="F5649">
        <f>IMAGE("https://cf.shopee.tw/file/tw-11134207-23020-9wqw5htgjonv29_tn")</f>
        <v/>
      </c>
    </row>
    <row r="5650">
      <c r="A5650" t="inlineStr">
        <is>
          <t>22225476502</t>
        </is>
      </c>
      <c r="B5650" t="inlineStr">
        <is>
          <t>隔日到貨🔥 ins 細橫條長襪 長襪 泡泡襪 中筒襪 襪子 S30 韓風 熱銷 女襪 可愛襪 短襪 學院風</t>
        </is>
      </c>
      <c r="C5650">
        <f>IMAGE("https://cf.shopee.tw/file/tw-11134207-23020-76dygguejonvd9_tn")</f>
        <v/>
      </c>
      <c r="D5650" t="inlineStr">
        <is>
          <t>綠色</t>
        </is>
      </c>
      <c r="E5650" t="inlineStr"/>
      <c r="F5650">
        <f>IMAGE("https://cf.shopee.tw/file/tw-11134207-23020-olgxezygjonvca_tn")</f>
        <v/>
      </c>
    </row>
    <row r="5651">
      <c r="A5651" t="inlineStr">
        <is>
          <t>22225476502</t>
        </is>
      </c>
      <c r="B5651" t="inlineStr">
        <is>
          <t>隔日到貨🔥 ins 細橫條長襪 長襪 泡泡襪 中筒襪 襪子 S30 韓風 熱銷 女襪 可愛襪 短襪 學院風</t>
        </is>
      </c>
      <c r="C5651">
        <f>IMAGE("https://cf.shopee.tw/file/tw-11134207-23020-76dygguejonvd9_tn")</f>
        <v/>
      </c>
      <c r="D5651" t="inlineStr">
        <is>
          <t>藍色</t>
        </is>
      </c>
      <c r="E5651" t="inlineStr"/>
      <c r="F5651">
        <f>IMAGE("https://cf.shopee.tw/file/tw-11134207-23020-wfho7dwgjonv98_tn")</f>
        <v/>
      </c>
    </row>
    <row r="5652">
      <c r="A5652" t="inlineStr">
        <is>
          <t>23673811602</t>
        </is>
      </c>
      <c r="B5652" t="inlineStr">
        <is>
          <t>隔日到貨🔥 iPhone 手機殼 15 14 13 12 11 pro Max XS XR SE 保護殼 軟殼</t>
        </is>
      </c>
      <c r="C5652">
        <f>IMAGE("https://cf.shopee.tw/file/tw-11134207-7qukw-lj9nykchnpdu8b_tn")</f>
        <v/>
      </c>
      <c r="D5652" t="inlineStr">
        <is>
          <t>椰樹小熊,7 / 8 / SE2 / SE3</t>
        </is>
      </c>
      <c r="E5652" t="inlineStr"/>
      <c r="F5652">
        <f>IMAGE("https://cf.shopee.tw/file/tw-11134207-7qul2-lj9nykc7o40279_tn")</f>
        <v/>
      </c>
    </row>
    <row r="5653">
      <c r="A5653" t="inlineStr">
        <is>
          <t>23673811602</t>
        </is>
      </c>
      <c r="B5653" t="inlineStr">
        <is>
          <t>隔日到貨🔥 iPhone 手機殼 15 14 13 12 11 pro Max XS XR SE 保護殼 軟殼</t>
        </is>
      </c>
      <c r="C5653">
        <f>IMAGE("https://cf.shopee.tw/file/tw-11134207-7qukw-lj9nykchnpdu8b_tn")</f>
        <v/>
      </c>
      <c r="D5653" t="inlineStr">
        <is>
          <t>椰樹小熊,XR</t>
        </is>
      </c>
      <c r="E5653" t="inlineStr"/>
      <c r="F5653">
        <f>IMAGE("https://cf.shopee.tw/file/tw-11134207-7qul2-lj9nykc7o40279_tn")</f>
        <v/>
      </c>
    </row>
    <row r="5654">
      <c r="A5654" t="inlineStr">
        <is>
          <t>23673811602</t>
        </is>
      </c>
      <c r="B5654" t="inlineStr">
        <is>
          <t>隔日到貨🔥 iPhone 手機殼 15 14 13 12 11 pro Max XS XR SE 保護殼 軟殼</t>
        </is>
      </c>
      <c r="C5654">
        <f>IMAGE("https://cf.shopee.tw/file/tw-11134207-7qukw-lj9nykchnpdu8b_tn")</f>
        <v/>
      </c>
      <c r="D5654" t="inlineStr">
        <is>
          <t>椰樹小熊,11 Pro</t>
        </is>
      </c>
      <c r="E5654" t="inlineStr"/>
      <c r="F5654">
        <f>IMAGE("https://cf.shopee.tw/file/tw-11134207-7qul2-lj9nykc7o40279_tn")</f>
        <v/>
      </c>
    </row>
    <row r="5655">
      <c r="A5655" t="inlineStr">
        <is>
          <t>23673811602</t>
        </is>
      </c>
      <c r="B5655" t="inlineStr">
        <is>
          <t>隔日到貨🔥 iPhone 手機殼 15 14 13 12 11 pro Max XS XR SE 保護殼 軟殼</t>
        </is>
      </c>
      <c r="C5655">
        <f>IMAGE("https://cf.shopee.tw/file/tw-11134207-7qukw-lj9nykchnpdu8b_tn")</f>
        <v/>
      </c>
      <c r="D5655" t="inlineStr">
        <is>
          <t>椰樹小熊,7Plus / 8Plus</t>
        </is>
      </c>
      <c r="E5655" t="inlineStr"/>
      <c r="F5655">
        <f>IMAGE("https://cf.shopee.tw/file/tw-11134207-7qul2-lj9nykc7o40279_tn")</f>
        <v/>
      </c>
    </row>
    <row r="5656">
      <c r="A5656" t="inlineStr">
        <is>
          <t>23673811602</t>
        </is>
      </c>
      <c r="B5656" t="inlineStr">
        <is>
          <t>隔日到貨🔥 iPhone 手機殼 15 14 13 12 11 pro Max XS XR SE 保護殼 軟殼</t>
        </is>
      </c>
      <c r="C5656">
        <f>IMAGE("https://cf.shopee.tw/file/tw-11134207-7qukw-lj9nykchnpdu8b_tn")</f>
        <v/>
      </c>
      <c r="D5656" t="inlineStr">
        <is>
          <t>椰樹小熊,X / XS</t>
        </is>
      </c>
      <c r="E5656" t="inlineStr"/>
      <c r="F5656">
        <f>IMAGE("https://cf.shopee.tw/file/tw-11134207-7qul2-lj9nykc7o40279_tn")</f>
        <v/>
      </c>
    </row>
    <row r="5657">
      <c r="A5657" t="inlineStr">
        <is>
          <t>23673811602</t>
        </is>
      </c>
      <c r="B5657" t="inlineStr">
        <is>
          <t>隔日到貨🔥 iPhone 手機殼 15 14 13 12 11 pro Max XS XR SE 保護殼 軟殼</t>
        </is>
      </c>
      <c r="C5657">
        <f>IMAGE("https://cf.shopee.tw/file/tw-11134207-7qukw-lj9nykchnpdu8b_tn")</f>
        <v/>
      </c>
      <c r="D5657" t="inlineStr">
        <is>
          <t>椰樹小熊,XS MAX</t>
        </is>
      </c>
      <c r="E5657" t="inlineStr"/>
      <c r="F5657">
        <f>IMAGE("https://cf.shopee.tw/file/tw-11134207-7qul2-lj9nykc7o40279_tn")</f>
        <v/>
      </c>
    </row>
    <row r="5658">
      <c r="A5658" t="inlineStr">
        <is>
          <t>23673811602</t>
        </is>
      </c>
      <c r="B5658" t="inlineStr">
        <is>
          <t>隔日到貨🔥 iPhone 手機殼 15 14 13 12 11 pro Max XS XR SE 保護殼 軟殼</t>
        </is>
      </c>
      <c r="C5658">
        <f>IMAGE("https://cf.shopee.tw/file/tw-11134207-7qukw-lj9nykchnpdu8b_tn")</f>
        <v/>
      </c>
      <c r="D5658" t="inlineStr">
        <is>
          <t>椰樹小熊,11</t>
        </is>
      </c>
      <c r="E5658" t="inlineStr">
        <is>
          <t>79327565785</t>
        </is>
      </c>
      <c r="F5658">
        <f>IMAGE("https://cf.shopee.tw/file/tw-11134207-7qul2-lj9nykc7o40279_tn")</f>
        <v/>
      </c>
    </row>
    <row r="5659">
      <c r="A5659" t="inlineStr">
        <is>
          <t>23673811602</t>
        </is>
      </c>
      <c r="B5659" t="inlineStr">
        <is>
          <t>隔日到貨🔥 iPhone 手機殼 15 14 13 12 11 pro Max XS XR SE 保護殼 軟殼</t>
        </is>
      </c>
      <c r="C5659">
        <f>IMAGE("https://cf.shopee.tw/file/tw-11134207-7qukw-lj9nykchnpdu8b_tn")</f>
        <v/>
      </c>
      <c r="D5659" t="inlineStr">
        <is>
          <t>椰樹小熊,11 pro max</t>
        </is>
      </c>
      <c r="E5659" t="inlineStr"/>
      <c r="F5659">
        <f>IMAGE("https://cf.shopee.tw/file/tw-11134207-7qul2-lj9nykc7o40279_tn")</f>
        <v/>
      </c>
    </row>
    <row r="5660">
      <c r="A5660" t="inlineStr">
        <is>
          <t>23673811602</t>
        </is>
      </c>
      <c r="B5660" t="inlineStr">
        <is>
          <t>隔日到貨🔥 iPhone 手機殼 15 14 13 12 11 pro Max XS XR SE 保護殼 軟殼</t>
        </is>
      </c>
      <c r="C5660">
        <f>IMAGE("https://cf.shopee.tw/file/tw-11134207-7qukw-lj9nykchnpdu8b_tn")</f>
        <v/>
      </c>
      <c r="D5660" t="inlineStr">
        <is>
          <t>椰樹小熊,12 / 12 Pro</t>
        </is>
      </c>
      <c r="E5660" t="inlineStr">
        <is>
          <t>79327565778</t>
        </is>
      </c>
      <c r="F5660">
        <f>IMAGE("https://cf.shopee.tw/file/tw-11134207-7qul2-lj9nykc7o40279_tn")</f>
        <v/>
      </c>
    </row>
    <row r="5661">
      <c r="A5661" t="inlineStr">
        <is>
          <t>23673811602</t>
        </is>
      </c>
      <c r="B5661" t="inlineStr">
        <is>
          <t>隔日到貨🔥 iPhone 手機殼 15 14 13 12 11 pro Max XS XR SE 保護殼 軟殼</t>
        </is>
      </c>
      <c r="C5661">
        <f>IMAGE("https://cf.shopee.tw/file/tw-11134207-7qukw-lj9nykchnpdu8b_tn")</f>
        <v/>
      </c>
      <c r="D5661" t="inlineStr">
        <is>
          <t>椰樹小熊,12 Pro Max</t>
        </is>
      </c>
      <c r="E5661" t="inlineStr"/>
      <c r="F5661">
        <f>IMAGE("https://cf.shopee.tw/file/tw-11134207-7qul2-lj9nykc7o40279_tn")</f>
        <v/>
      </c>
    </row>
    <row r="5662">
      <c r="A5662" t="inlineStr">
        <is>
          <t>23673811602</t>
        </is>
      </c>
      <c r="B5662" t="inlineStr">
        <is>
          <t>隔日到貨🔥 iPhone 手機殼 15 14 13 12 11 pro Max XS XR SE 保護殼 軟殼</t>
        </is>
      </c>
      <c r="C5662">
        <f>IMAGE("https://cf.shopee.tw/file/tw-11134207-7qukw-lj9nykchnpdu8b_tn")</f>
        <v/>
      </c>
      <c r="D5662" t="inlineStr">
        <is>
          <t>椰樹小熊,13</t>
        </is>
      </c>
      <c r="E5662" t="inlineStr"/>
      <c r="F5662">
        <f>IMAGE("https://cf.shopee.tw/file/tw-11134207-7qul2-lj9nykc7o40279_tn")</f>
        <v/>
      </c>
    </row>
    <row r="5663">
      <c r="A5663" t="inlineStr">
        <is>
          <t>23673811602</t>
        </is>
      </c>
      <c r="B5663" t="inlineStr">
        <is>
          <t>隔日到貨🔥 iPhone 手機殼 15 14 13 12 11 pro Max XS XR SE 保護殼 軟殼</t>
        </is>
      </c>
      <c r="C5663">
        <f>IMAGE("https://cf.shopee.tw/file/tw-11134207-7qukw-lj9nykchnpdu8b_tn")</f>
        <v/>
      </c>
      <c r="D5663" t="inlineStr">
        <is>
          <t>椰樹小熊,13 Pro</t>
        </is>
      </c>
      <c r="E5663" t="inlineStr"/>
      <c r="F5663">
        <f>IMAGE("https://cf.shopee.tw/file/tw-11134207-7qul2-lj9nykc7o40279_tn")</f>
        <v/>
      </c>
    </row>
    <row r="5664">
      <c r="A5664" t="inlineStr">
        <is>
          <t>23673811602</t>
        </is>
      </c>
      <c r="B5664" t="inlineStr">
        <is>
          <t>隔日到貨🔥 iPhone 手機殼 15 14 13 12 11 pro Max XS XR SE 保護殼 軟殼</t>
        </is>
      </c>
      <c r="C5664">
        <f>IMAGE("https://cf.shopee.tw/file/tw-11134207-7qukw-lj9nykchnpdu8b_tn")</f>
        <v/>
      </c>
      <c r="D5664" t="inlineStr">
        <is>
          <t>椰樹小熊,13 Pro Max</t>
        </is>
      </c>
      <c r="E5664" t="inlineStr"/>
      <c r="F5664">
        <f>IMAGE("https://cf.shopee.tw/file/tw-11134207-7qul2-lj9nykc7o40279_tn")</f>
        <v/>
      </c>
    </row>
    <row r="5665">
      <c r="A5665" t="inlineStr">
        <is>
          <t>23673811602</t>
        </is>
      </c>
      <c r="B5665" t="inlineStr">
        <is>
          <t>隔日到貨🔥 iPhone 手機殼 15 14 13 12 11 pro Max XS XR SE 保護殼 軟殼</t>
        </is>
      </c>
      <c r="C5665">
        <f>IMAGE("https://cf.shopee.tw/file/tw-11134207-7qukw-lj9nykchnpdu8b_tn")</f>
        <v/>
      </c>
      <c r="D5665" t="inlineStr">
        <is>
          <t>椰樹小熊,13 mini</t>
        </is>
      </c>
      <c r="E5665" t="inlineStr">
        <is>
          <t>79327565788</t>
        </is>
      </c>
      <c r="F5665">
        <f>IMAGE("https://cf.shopee.tw/file/tw-11134207-7qul2-lj9nykc7o40279_tn")</f>
        <v/>
      </c>
    </row>
    <row r="5666">
      <c r="A5666" t="inlineStr">
        <is>
          <t>23673811602</t>
        </is>
      </c>
      <c r="B5666" t="inlineStr">
        <is>
          <t>隔日到貨🔥 iPhone 手機殼 15 14 13 12 11 pro Max XS XR SE 保護殼 軟殼</t>
        </is>
      </c>
      <c r="C5666">
        <f>IMAGE("https://cf.shopee.tw/file/tw-11134207-7qukw-lj9nykchnpdu8b_tn")</f>
        <v/>
      </c>
      <c r="D5666" t="inlineStr">
        <is>
          <t>椰樹小熊,14</t>
        </is>
      </c>
      <c r="E5666" t="inlineStr"/>
      <c r="F5666">
        <f>IMAGE("https://cf.shopee.tw/file/tw-11134207-7qul2-lj9nykc7o40279_tn")</f>
        <v/>
      </c>
    </row>
    <row r="5667">
      <c r="A5667" t="inlineStr">
        <is>
          <t>23673811602</t>
        </is>
      </c>
      <c r="B5667" t="inlineStr">
        <is>
          <t>隔日到貨🔥 iPhone 手機殼 15 14 13 12 11 pro Max XS XR SE 保護殼 軟殼</t>
        </is>
      </c>
      <c r="C5667">
        <f>IMAGE("https://cf.shopee.tw/file/tw-11134207-7qukw-lj9nykchnpdu8b_tn")</f>
        <v/>
      </c>
      <c r="D5667" t="inlineStr">
        <is>
          <t>椰樹小熊,14 pro</t>
        </is>
      </c>
      <c r="E5667" t="inlineStr"/>
      <c r="F5667">
        <f>IMAGE("https://cf.shopee.tw/file/tw-11134207-7qul2-lj9nykc7o40279_tn")</f>
        <v/>
      </c>
    </row>
    <row r="5668">
      <c r="A5668" t="inlineStr">
        <is>
          <t>23673811602</t>
        </is>
      </c>
      <c r="B5668" t="inlineStr">
        <is>
          <t>隔日到貨🔥 iPhone 手機殼 15 14 13 12 11 pro Max XS XR SE 保護殼 軟殼</t>
        </is>
      </c>
      <c r="C5668">
        <f>IMAGE("https://cf.shopee.tw/file/tw-11134207-7qukw-lj9nykchnpdu8b_tn")</f>
        <v/>
      </c>
      <c r="D5668" t="inlineStr">
        <is>
          <t>椰樹小熊,14 Pro Max</t>
        </is>
      </c>
      <c r="E5668" t="inlineStr"/>
      <c r="F5668">
        <f>IMAGE("https://cf.shopee.tw/file/tw-11134207-7qul2-lj9nykc7o40279_tn")</f>
        <v/>
      </c>
    </row>
    <row r="5669">
      <c r="A5669" t="inlineStr">
        <is>
          <t>23673811602</t>
        </is>
      </c>
      <c r="B5669" t="inlineStr">
        <is>
          <t>隔日到貨🔥 iPhone 手機殼 15 14 13 12 11 pro Max XS XR SE 保護殼 軟殼</t>
        </is>
      </c>
      <c r="C5669">
        <f>IMAGE("https://cf.shopee.tw/file/tw-11134207-7qukw-lj9nykchnpdu8b_tn")</f>
        <v/>
      </c>
      <c r="D5669" t="inlineStr">
        <is>
          <t>椰樹小熊,14 Plus</t>
        </is>
      </c>
      <c r="E5669" t="inlineStr"/>
      <c r="F5669">
        <f>IMAGE("https://cf.shopee.tw/file/tw-11134207-7qul2-lj9nykc7o40279_tn")</f>
        <v/>
      </c>
    </row>
    <row r="5670">
      <c r="A5670" t="inlineStr">
        <is>
          <t>23673811602</t>
        </is>
      </c>
      <c r="B5670" t="inlineStr">
        <is>
          <t>隔日到貨🔥 iPhone 手機殼 15 14 13 12 11 pro Max XS XR SE 保護殼 軟殼</t>
        </is>
      </c>
      <c r="C5670">
        <f>IMAGE("https://cf.shopee.tw/file/tw-11134207-7qukw-lj9nykchnpdu8b_tn")</f>
        <v/>
      </c>
      <c r="D5670" t="inlineStr">
        <is>
          <t>椰樹小熊,15</t>
        </is>
      </c>
      <c r="E5670" t="inlineStr"/>
      <c r="F5670">
        <f>IMAGE("https://cf.shopee.tw/file/tw-11134207-7qul2-lj9nykc7o40279_tn")</f>
        <v/>
      </c>
    </row>
    <row r="5671">
      <c r="A5671" t="inlineStr">
        <is>
          <t>23673811602</t>
        </is>
      </c>
      <c r="B5671" t="inlineStr">
        <is>
          <t>隔日到貨🔥 iPhone 手機殼 15 14 13 12 11 pro Max XS XR SE 保護殼 軟殼</t>
        </is>
      </c>
      <c r="C5671">
        <f>IMAGE("https://cf.shopee.tw/file/tw-11134207-7qukw-lj9nykchnpdu8b_tn")</f>
        <v/>
      </c>
      <c r="D5671" t="inlineStr">
        <is>
          <t>椰樹小熊,15 Plus</t>
        </is>
      </c>
      <c r="E5671" t="inlineStr"/>
      <c r="F5671">
        <f>IMAGE("https://cf.shopee.tw/file/tw-11134207-7qul2-lj9nykc7o40279_tn")</f>
        <v/>
      </c>
    </row>
    <row r="5672">
      <c r="A5672" t="inlineStr">
        <is>
          <t>23673811602</t>
        </is>
      </c>
      <c r="B5672" t="inlineStr">
        <is>
          <t>隔日到貨🔥 iPhone 手機殼 15 14 13 12 11 pro Max XS XR SE 保護殼 軟殼</t>
        </is>
      </c>
      <c r="C5672">
        <f>IMAGE("https://cf.shopee.tw/file/tw-11134207-7qukw-lj9nykchnpdu8b_tn")</f>
        <v/>
      </c>
      <c r="D5672" t="inlineStr">
        <is>
          <t>椰樹小熊,15 pro</t>
        </is>
      </c>
      <c r="E5672" t="inlineStr"/>
      <c r="F5672">
        <f>IMAGE("https://cf.shopee.tw/file/tw-11134207-7qul2-lj9nykc7o40279_tn")</f>
        <v/>
      </c>
    </row>
    <row r="5673">
      <c r="A5673" t="inlineStr">
        <is>
          <t>23673811602</t>
        </is>
      </c>
      <c r="B5673" t="inlineStr">
        <is>
          <t>隔日到貨🔥 iPhone 手機殼 15 14 13 12 11 pro Max XS XR SE 保護殼 軟殼</t>
        </is>
      </c>
      <c r="C5673">
        <f>IMAGE("https://cf.shopee.tw/file/tw-11134207-7qukw-lj9nykchnpdu8b_tn")</f>
        <v/>
      </c>
      <c r="D5673" t="inlineStr">
        <is>
          <t>椰樹小熊,15 Pro Max</t>
        </is>
      </c>
      <c r="E5673" t="inlineStr"/>
      <c r="F5673">
        <f>IMAGE("https://cf.shopee.tw/file/tw-11134207-7qul2-lj9nykc7o40279_tn")</f>
        <v/>
      </c>
    </row>
    <row r="5674">
      <c r="A5674" t="inlineStr">
        <is>
          <t>25559570580</t>
        </is>
      </c>
      <c r="B5674" t="inlineStr">
        <is>
          <t>隔日到貨🔥 小夜燈 LED 歪頭鴨 床頭燈 臥室燈 幸運鴨 韓風 ins 房間佈置 可愛小物 夜燈 睡覺燈</t>
        </is>
      </c>
      <c r="C5674">
        <f>IMAGE("https://cf.shopee.tw/file/tw-11134207-7r98v-lqq1r2thnoxu9c_tn")</f>
        <v/>
      </c>
      <c r="D5674" t="inlineStr">
        <is>
          <t>粉色歪頭鴨</t>
        </is>
      </c>
      <c r="E5674" t="inlineStr"/>
      <c r="F5674">
        <f>IMAGE("https://cf.shopee.tw/file/tw-11134207-7r98y-lqq1r2trna3ced_tn")</f>
        <v/>
      </c>
    </row>
    <row r="5675">
      <c r="A5675" t="inlineStr">
        <is>
          <t>25559570580</t>
        </is>
      </c>
      <c r="B5675" t="inlineStr">
        <is>
          <t>隔日到貨🔥 小夜燈 LED 歪頭鴨 床頭燈 臥室燈 幸運鴨 韓風 ins 房間佈置 可愛小物 夜燈 睡覺燈</t>
        </is>
      </c>
      <c r="C5675">
        <f>IMAGE("https://cf.shopee.tw/file/tw-11134207-7r98v-lqq1r2thnoxu9c_tn")</f>
        <v/>
      </c>
      <c r="D5675" t="inlineStr">
        <is>
          <t>藍色歪頭鴨</t>
        </is>
      </c>
      <c r="E5675" t="inlineStr"/>
      <c r="F5675">
        <f>IMAGE("https://cf.shopee.tw/file/tw-11134207-7r98v-lqq1r2ts2qc8a3_tn")</f>
        <v/>
      </c>
    </row>
    <row r="5676">
      <c r="A5676" t="inlineStr">
        <is>
          <t>15529802013</t>
        </is>
      </c>
      <c r="B5676" t="inlineStr">
        <is>
          <t>隔日到貨🔥 ins 日系小熊中筒襪 襪子 中筒襪 S3 韓風 熱銷 女襪 長襪 情侶襪 可愛襪 運動襪 短襪</t>
        </is>
      </c>
      <c r="C5676">
        <f>IMAGE("https://cf.shopee.tw/file/ae6a9b71f78fc16a7f29aadc67d44bf7_tn")</f>
        <v/>
      </c>
      <c r="D5676" t="inlineStr">
        <is>
          <t>滿腳熊,中筒</t>
        </is>
      </c>
      <c r="E5676" t="inlineStr"/>
      <c r="F5676">
        <f>IMAGE("https://cf.shopee.tw/file/839e2ddf666ce825f4fb3a179adf7290_tn")</f>
        <v/>
      </c>
    </row>
    <row r="5677">
      <c r="A5677" t="inlineStr">
        <is>
          <t>15529802013</t>
        </is>
      </c>
      <c r="B5677" t="inlineStr">
        <is>
          <t>隔日到貨🔥 ins 日系小熊中筒襪 襪子 中筒襪 S3 韓風 熱銷 女襪 長襪 情侶襪 可愛襪 運動襪 短襪</t>
        </is>
      </c>
      <c r="C5677">
        <f>IMAGE("https://cf.shopee.tw/file/ae6a9b71f78fc16a7f29aadc67d44bf7_tn")</f>
        <v/>
      </c>
      <c r="D5677" t="inlineStr">
        <is>
          <t>格子熊,中筒</t>
        </is>
      </c>
      <c r="E5677" t="inlineStr"/>
      <c r="F5677">
        <f>IMAGE("https://cf.shopee.tw/file/328034c12e3394c95173059e9deb9000_tn")</f>
        <v/>
      </c>
    </row>
    <row r="5678">
      <c r="A5678" t="inlineStr">
        <is>
          <t>15529802013</t>
        </is>
      </c>
      <c r="B5678" t="inlineStr">
        <is>
          <t>隔日到貨🔥 ins 日系小熊中筒襪 襪子 中筒襪 S3 韓風 熱銷 女襪 長襪 情侶襪 可愛襪 運動襪 短襪</t>
        </is>
      </c>
      <c r="C5678">
        <f>IMAGE("https://cf.shopee.tw/file/ae6a9b71f78fc16a7f29aadc67d44bf7_tn")</f>
        <v/>
      </c>
      <c r="D5678" t="inlineStr">
        <is>
          <t>大頭熊,中筒</t>
        </is>
      </c>
      <c r="E5678" t="inlineStr"/>
      <c r="F5678">
        <f>IMAGE("https://cf.shopee.tw/file/e32917936fbbbf46c0b5e79ef8daa442_tn")</f>
        <v/>
      </c>
    </row>
    <row r="5679">
      <c r="A5679" t="inlineStr">
        <is>
          <t>18380301753</t>
        </is>
      </c>
      <c r="B5679" t="inlineStr">
        <is>
          <t>隔日到貨🔥 軟頂韓版 日系簡約字母棒球帽 字母刺繡 絨面 棒球帽 老帽 鴨舌帽 搭配款 帽子</t>
        </is>
      </c>
      <c r="C5679">
        <f>IMAGE("https://cf.shopee.tw/file/tw-11134207-7qul3-lhbm9apcooix3f_tn")</f>
        <v/>
      </c>
      <c r="D5679" t="inlineStr">
        <is>
          <t>米色</t>
        </is>
      </c>
      <c r="E5679" t="inlineStr"/>
      <c r="F5679">
        <f>IMAGE("https://cf.shopee.tw/file/tw-11134207-7qukw-lhboboff9fsc6e_tn")</f>
        <v/>
      </c>
    </row>
    <row r="5680">
      <c r="A5680" t="inlineStr">
        <is>
          <t>18380301753</t>
        </is>
      </c>
      <c r="B5680" t="inlineStr">
        <is>
          <t>隔日到貨🔥 軟頂韓版 日系簡約字母棒球帽 字母刺繡 絨面 棒球帽 老帽 鴨舌帽 搭配款 帽子</t>
        </is>
      </c>
      <c r="C5680">
        <f>IMAGE("https://cf.shopee.tw/file/tw-11134207-7qul3-lhbm9apcooix3f_tn")</f>
        <v/>
      </c>
      <c r="D5680" t="inlineStr">
        <is>
          <t>卡其色</t>
        </is>
      </c>
      <c r="E5680" t="inlineStr"/>
      <c r="F5680">
        <f>IMAGE("https://cf.shopee.tw/file/tw-11134207-7qul5-lhboboffow18cd_tn")</f>
        <v/>
      </c>
    </row>
    <row r="5681">
      <c r="A5681" t="inlineStr">
        <is>
          <t>18380301753</t>
        </is>
      </c>
      <c r="B5681" t="inlineStr">
        <is>
          <t>隔日到貨🔥 軟頂韓版 日系簡約字母棒球帽 字母刺繡 絨面 棒球帽 老帽 鴨舌帽 搭配款 帽子</t>
        </is>
      </c>
      <c r="C5681">
        <f>IMAGE("https://cf.shopee.tw/file/tw-11134207-7qul3-lhbm9apcooix3f_tn")</f>
        <v/>
      </c>
      <c r="D5681" t="inlineStr">
        <is>
          <t>灰色</t>
        </is>
      </c>
      <c r="E5681" t="inlineStr"/>
      <c r="F5681">
        <f>IMAGE("https://cf.shopee.tw/file/tw-11134207-7qul2-lhbobof59u7dd5_tn")</f>
        <v/>
      </c>
    </row>
    <row r="5682">
      <c r="A5682" t="inlineStr">
        <is>
          <t>18380301753</t>
        </is>
      </c>
      <c r="B5682" t="inlineStr">
        <is>
          <t>隔日到貨🔥 軟頂韓版 日系簡約字母棒球帽 字母刺繡 絨面 棒球帽 老帽 鴨舌帽 搭配款 帽子</t>
        </is>
      </c>
      <c r="C5682">
        <f>IMAGE("https://cf.shopee.tw/file/tw-11134207-7qul3-lhbm9apcooix3f_tn")</f>
        <v/>
      </c>
      <c r="D5682" t="inlineStr">
        <is>
          <t>豆沙粉</t>
        </is>
      </c>
      <c r="E5682" t="inlineStr"/>
      <c r="F5682">
        <f>IMAGE("https://cf.shopee.tw/file/tw-11134207-7qul9-lhboboff9fl553_tn")</f>
        <v/>
      </c>
    </row>
    <row r="5683">
      <c r="A5683" t="inlineStr">
        <is>
          <t>19970827057</t>
        </is>
      </c>
      <c r="B5683" t="inlineStr">
        <is>
          <t>隔日到貨🔥 ins 爆款 韓版雙隔層單肩包 B33 復古 斜背包 單肩包 熱銷款 清新簡約 側背包 肩背包 帆布包</t>
        </is>
      </c>
      <c r="C5683">
        <f>IMAGE("https://cf.shopee.tw/file/sg-11134201-23010-bf1c1pkcb3lv00_tn")</f>
        <v/>
      </c>
      <c r="D5683" t="inlineStr">
        <is>
          <t>藍色,不含吊飾</t>
        </is>
      </c>
      <c r="E5683" t="inlineStr"/>
      <c r="F5683">
        <f>IMAGE("https://cf.shopee.tw/file/sg-11134201-23010-s6qrtzgfb3lve4_tn")</f>
        <v/>
      </c>
    </row>
    <row r="5684">
      <c r="A5684" t="inlineStr">
        <is>
          <t>19970827057</t>
        </is>
      </c>
      <c r="B5684" t="inlineStr">
        <is>
          <t>隔日到貨🔥 ins 爆款 韓版雙隔層單肩包 B33 復古 斜背包 單肩包 熱銷款 清新簡約 側背包 肩背包 帆布包</t>
        </is>
      </c>
      <c r="C5684">
        <f>IMAGE("https://cf.shopee.tw/file/sg-11134201-23010-bf1c1pkcb3lv00_tn")</f>
        <v/>
      </c>
      <c r="D5684" t="inlineStr">
        <is>
          <t>綠色,不含吊飾</t>
        </is>
      </c>
      <c r="E5684" t="inlineStr"/>
      <c r="F5684">
        <f>IMAGE("https://cf.shopee.tw/file/sg-11134201-23010-zlp8p6lfb3lvb8_tn")</f>
        <v/>
      </c>
    </row>
    <row r="5685">
      <c r="A5685" t="inlineStr">
        <is>
          <t>19970827057</t>
        </is>
      </c>
      <c r="B5685" t="inlineStr">
        <is>
          <t>隔日到貨🔥 ins 爆款 韓版雙隔層單肩包 B33 復古 斜背包 單肩包 熱銷款 清新簡約 側背包 肩背包 帆布包</t>
        </is>
      </c>
      <c r="C5685">
        <f>IMAGE("https://cf.shopee.tw/file/sg-11134201-23010-bf1c1pkcb3lv00_tn")</f>
        <v/>
      </c>
      <c r="D5685" t="inlineStr">
        <is>
          <t>黑色,不含吊飾</t>
        </is>
      </c>
      <c r="E5685" t="inlineStr"/>
      <c r="F5685">
        <f>IMAGE("https://cf.shopee.tw/file/sg-11134201-23010-we0s7f0eb3lv69_tn")</f>
        <v/>
      </c>
    </row>
    <row r="5686">
      <c r="A5686" t="inlineStr">
        <is>
          <t>19970827057</t>
        </is>
      </c>
      <c r="B5686" t="inlineStr">
        <is>
          <t>隔日到貨🔥 ins 爆款 韓版雙隔層單肩包 B33 復古 斜背包 單肩包 熱銷款 清新簡約 側背包 肩背包 帆布包</t>
        </is>
      </c>
      <c r="C5686">
        <f>IMAGE("https://cf.shopee.tw/file/sg-11134201-23010-bf1c1pkcb3lv00_tn")</f>
        <v/>
      </c>
      <c r="D5686" t="inlineStr">
        <is>
          <t>白色,不含吊飾</t>
        </is>
      </c>
      <c r="E5686" t="inlineStr"/>
      <c r="F5686">
        <f>IMAGE("https://cf.shopee.tw/file/sg-11134201-23010-mmf6gbdfb3lv37_tn")</f>
        <v/>
      </c>
    </row>
    <row r="5687">
      <c r="A5687" t="inlineStr">
        <is>
          <t>19970827057</t>
        </is>
      </c>
      <c r="B5687" t="inlineStr">
        <is>
          <t>隔日到貨🔥 ins 爆款 韓版雙隔層單肩包 B33 復古 斜背包 單肩包 熱銷款 清新簡約 側背包 肩背包 帆布包</t>
        </is>
      </c>
      <c r="C5687">
        <f>IMAGE("https://cf.shopee.tw/file/sg-11134201-23010-bf1c1pkcb3lv00_tn")</f>
        <v/>
      </c>
      <c r="D5687" t="inlineStr">
        <is>
          <t>粉色,不含吊飾</t>
        </is>
      </c>
      <c r="E5687" t="inlineStr"/>
      <c r="F5687">
        <f>IMAGE("https://cf.shopee.tw/file/sg-11134201-23010-4hwyqqpfb3lv5a_tn")</f>
        <v/>
      </c>
    </row>
    <row r="5688">
      <c r="A5688" t="inlineStr">
        <is>
          <t>24362191497</t>
        </is>
      </c>
      <c r="B5688" t="inlineStr">
        <is>
          <t>隔日到貨🔥 矽膠多孔集線器 線材整理 線材收納 矽膠集線器 辦公桌收納 車內收線 理線器 固定夾 夾線器 多孔集線</t>
        </is>
      </c>
      <c r="C5688">
        <f>IMAGE("https://cf.shopee.tw/file/tw-11134207-7r98x-lr9youvw4ez6ad_tn")</f>
        <v/>
      </c>
      <c r="D5688" t="inlineStr">
        <is>
          <t>黑色 3孔</t>
        </is>
      </c>
      <c r="E5688" t="inlineStr"/>
      <c r="F5688">
        <f>IMAGE("https://cf.shopee.tw/file/tw-11134207-7r98z-lrah8lqk69ci00_tn")</f>
        <v/>
      </c>
    </row>
    <row r="5689">
      <c r="A5689" t="inlineStr">
        <is>
          <t>24362191497</t>
        </is>
      </c>
      <c r="B5689" t="inlineStr">
        <is>
          <t>隔日到貨🔥 矽膠多孔集線器 線材整理 線材收納 矽膠集線器 辦公桌收納 車內收線 理線器 固定夾 夾線器 多孔集線</t>
        </is>
      </c>
      <c r="C5689">
        <f>IMAGE("https://cf.shopee.tw/file/tw-11134207-7r98x-lr9youvw4ez6ad_tn")</f>
        <v/>
      </c>
      <c r="D5689" t="inlineStr">
        <is>
          <t>黑色 7孔</t>
        </is>
      </c>
      <c r="E5689" t="inlineStr"/>
      <c r="F5689">
        <f>IMAGE("https://cf.shopee.tw/file/tw-11134207-7r98r-lrah8lqk69s8fd_tn")</f>
        <v/>
      </c>
    </row>
    <row r="5690">
      <c r="A5690" t="inlineStr">
        <is>
          <t>24362191497</t>
        </is>
      </c>
      <c r="B5690" t="inlineStr">
        <is>
          <t>隔日到貨🔥 矽膠多孔集線器 線材整理 線材收納 矽膠集線器 辦公桌收納 車內收線 理線器 固定夾 夾線器 多孔集線</t>
        </is>
      </c>
      <c r="C5690">
        <f>IMAGE("https://cf.shopee.tw/file/tw-11134207-7r98x-lr9youvw4ez6ad_tn")</f>
        <v/>
      </c>
      <c r="D5690" t="inlineStr">
        <is>
          <t>白色 3孔</t>
        </is>
      </c>
      <c r="E5690" t="inlineStr"/>
      <c r="F5690">
        <f>IMAGE("https://cf.shopee.tw/file/tw-11134207-7r98y-lrah8lqkoiqa6b_tn")</f>
        <v/>
      </c>
    </row>
    <row r="5691">
      <c r="A5691" t="inlineStr">
        <is>
          <t>24362191497</t>
        </is>
      </c>
      <c r="B5691" t="inlineStr">
        <is>
          <t>隔日到貨🔥 矽膠多孔集線器 線材整理 線材收納 矽膠集線器 辦公桌收納 車內收線 理線器 固定夾 夾線器 多孔集線</t>
        </is>
      </c>
      <c r="C5691">
        <f>IMAGE("https://cf.shopee.tw/file/tw-11134207-7r98x-lr9youvw4ez6ad_tn")</f>
        <v/>
      </c>
      <c r="D5691" t="inlineStr">
        <is>
          <t>白色 5孔</t>
        </is>
      </c>
      <c r="E5691" t="inlineStr"/>
      <c r="F5691">
        <f>IMAGE("https://cf.shopee.tw/file/tw-11134207-7r98p-lrah8lqulbew72_tn")</f>
        <v/>
      </c>
    </row>
    <row r="5692">
      <c r="A5692" t="inlineStr">
        <is>
          <t>24362191497</t>
        </is>
      </c>
      <c r="B5692" t="inlineStr">
        <is>
          <t>隔日到貨🔥 矽膠多孔集線器 線材整理 線材收納 矽膠集線器 辦公桌收納 車內收線 理線器 固定夾 夾線器 多孔集線</t>
        </is>
      </c>
      <c r="C5692">
        <f>IMAGE("https://cf.shopee.tw/file/tw-11134207-7r98x-lr9youvw4ez6ad_tn")</f>
        <v/>
      </c>
      <c r="D5692" t="inlineStr">
        <is>
          <t>白色 7孔</t>
        </is>
      </c>
      <c r="E5692" t="inlineStr"/>
      <c r="F5692">
        <f>IMAGE("https://cf.shopee.tw/file/tw-11134207-7r98q-lrahk8uitgjs09_tn")</f>
        <v/>
      </c>
    </row>
    <row r="5693">
      <c r="A5693" t="inlineStr">
        <is>
          <t>24362191497</t>
        </is>
      </c>
      <c r="B5693" t="inlineStr">
        <is>
          <t>隔日到貨🔥 矽膠多孔集線器 線材整理 線材收納 矽膠集線器 辦公桌收納 車內收線 理線器 固定夾 夾線器 多孔集線</t>
        </is>
      </c>
      <c r="C5693">
        <f>IMAGE("https://cf.shopee.tw/file/tw-11134207-7r98x-lr9youvw4ez6ad_tn")</f>
        <v/>
      </c>
      <c r="D5693" t="inlineStr">
        <is>
          <t>白色 三件套</t>
        </is>
      </c>
      <c r="E5693" t="inlineStr"/>
      <c r="F5693">
        <f>IMAGE("https://cf.shopee.tw/file/tw-11134207-7r98u-lrahk8uiuv4841_tn")</f>
        <v/>
      </c>
    </row>
    <row r="5694">
      <c r="A5694" t="inlineStr">
        <is>
          <t>24362191497</t>
        </is>
      </c>
      <c r="B5694" t="inlineStr">
        <is>
          <t>隔日到貨🔥 矽膠多孔集線器 線材整理 線材收納 矽膠集線器 辦公桌收納 車內收線 理線器 固定夾 夾線器 多孔集線</t>
        </is>
      </c>
      <c r="C5694">
        <f>IMAGE("https://cf.shopee.tw/file/tw-11134207-7r98x-lr9youvw4ez6ad_tn")</f>
        <v/>
      </c>
      <c r="D5694" t="inlineStr">
        <is>
          <t>黑色 5孔</t>
        </is>
      </c>
      <c r="E5694" t="inlineStr"/>
      <c r="F5694">
        <f>IMAGE("https://cf.shopee.tw/file/tw-11134207-7r992-lrah8lqkn45u88_tn")</f>
        <v/>
      </c>
    </row>
    <row r="5695">
      <c r="A5695" t="inlineStr">
        <is>
          <t>24362191497</t>
        </is>
      </c>
      <c r="B5695" t="inlineStr">
        <is>
          <t>隔日到貨🔥 矽膠多孔集線器 線材整理 線材收納 矽膠集線器 辦公桌收納 車內收線 理線器 固定夾 夾線器 多孔集線</t>
        </is>
      </c>
      <c r="C5695">
        <f>IMAGE("https://cf.shopee.tw/file/tw-11134207-7r98x-lr9youvw4ez6ad_tn")</f>
        <v/>
      </c>
      <c r="D5695" t="inlineStr">
        <is>
          <t>黑色 三件套</t>
        </is>
      </c>
      <c r="E5695" t="inlineStr"/>
      <c r="F5695">
        <f>IMAGE("https://cf.shopee.tw/file/tw-11134207-7r991-lrah8lqu5v603f_tn")</f>
        <v/>
      </c>
    </row>
    <row r="5696">
      <c r="A5696" t="inlineStr">
        <is>
          <t>25662138275</t>
        </is>
      </c>
      <c r="B5696" t="inlineStr">
        <is>
          <t>隔日到貨🔥 充電頭套 充電頭套收線器 手機收線器 捲線器 繞線器 集線器 糖果色 收線器 固線器 綁線繩 收納</t>
        </is>
      </c>
      <c r="C5696">
        <f>IMAGE("https://cf.shopee.tw/file/tw-11134207-7r992-lrajy2cfpnns7c_tn")</f>
        <v/>
      </c>
      <c r="D5696" t="inlineStr">
        <is>
          <t>黑色</t>
        </is>
      </c>
      <c r="E5696" t="inlineStr"/>
      <c r="F5696">
        <f>IMAGE("https://cf.shopee.tw/file/tw-11134207-7r98v-lr9w0oreitoy6f_tn")</f>
        <v/>
      </c>
    </row>
    <row r="5697">
      <c r="A5697" t="inlineStr">
        <is>
          <t>25662138275</t>
        </is>
      </c>
      <c r="B5697" t="inlineStr">
        <is>
          <t>隔日到貨🔥 充電頭套 充電頭套收線器 手機收線器 捲線器 繞線器 集線器 糖果色 收線器 固線器 綁線繩 收納</t>
        </is>
      </c>
      <c r="C5697">
        <f>IMAGE("https://cf.shopee.tw/file/tw-11134207-7r992-lrajy2cfpnns7c_tn")</f>
        <v/>
      </c>
      <c r="D5697" t="inlineStr">
        <is>
          <t>透白色</t>
        </is>
      </c>
      <c r="E5697" t="inlineStr"/>
      <c r="F5697">
        <f>IMAGE("https://cf.shopee.tw/file/tw-11134207-7r98v-lr9w0orey9xuc6_tn")</f>
        <v/>
      </c>
    </row>
    <row r="5698">
      <c r="A5698" t="inlineStr">
        <is>
          <t>25662138275</t>
        </is>
      </c>
      <c r="B5698" t="inlineStr">
        <is>
          <t>隔日到貨🔥 充電頭套 充電頭套收線器 手機收線器 捲線器 繞線器 集線器 糖果色 收線器 固線器 綁線繩 收納</t>
        </is>
      </c>
      <c r="C5698">
        <f>IMAGE("https://cf.shopee.tw/file/tw-11134207-7r992-lrajy2cfpnns7c_tn")</f>
        <v/>
      </c>
      <c r="D5698" t="inlineStr">
        <is>
          <t>粉色</t>
        </is>
      </c>
      <c r="E5698" t="inlineStr"/>
      <c r="F5698">
        <f>IMAGE("https://cf.shopee.tw/file/tw-11134207-7r98z-lr9w0orft6fm98_tn")</f>
        <v/>
      </c>
    </row>
    <row r="5699">
      <c r="A5699" t="inlineStr">
        <is>
          <t>25662138275</t>
        </is>
      </c>
      <c r="B5699" t="inlineStr">
        <is>
          <t>隔日到貨🔥 充電頭套 充電頭套收線器 手機收線器 捲線器 繞線器 集線器 糖果色 收線器 固線器 綁線繩 收納</t>
        </is>
      </c>
      <c r="C5699">
        <f>IMAGE("https://cf.shopee.tw/file/tw-11134207-7r992-lrajy2cfpnns7c_tn")</f>
        <v/>
      </c>
      <c r="D5699" t="inlineStr">
        <is>
          <t>灰色</t>
        </is>
      </c>
      <c r="E5699" t="inlineStr"/>
      <c r="F5699">
        <f>IMAGE("https://cf.shopee.tw/file/tw-11134207-7r98p-lr9w0orfdq6q60_tn")</f>
        <v/>
      </c>
    </row>
    <row r="5700">
      <c r="A5700" t="inlineStr">
        <is>
          <t>22789840516</t>
        </is>
      </c>
      <c r="B5700" t="inlineStr">
        <is>
          <t>隔日到貨🔥 ins 字母運動襪 長襪 S28 長筒襪 潮流襪 素色 女襪 棉襪 襪子 韓風 熱銷 女襪 中筒 秋冬</t>
        </is>
      </c>
      <c r="C5700">
        <f>IMAGE("https://cf.shopee.tw/file/tw-11134207-7r98r-lu552d18mi2h24_tn")</f>
        <v/>
      </c>
      <c r="D5700" t="inlineStr">
        <is>
          <t>黑色</t>
        </is>
      </c>
      <c r="E5700" t="inlineStr"/>
      <c r="F5700">
        <f>IMAGE("https://cf.shopee.tw/file/tw-11134207-7r98o-lu552d18qprtb2_tn")</f>
        <v/>
      </c>
    </row>
    <row r="5701">
      <c r="A5701" t="inlineStr">
        <is>
          <t>22789840516</t>
        </is>
      </c>
      <c r="B5701" t="inlineStr">
        <is>
          <t>隔日到貨🔥 ins 字母運動襪 長襪 S28 長筒襪 潮流襪 素色 女襪 棉襪 襪子 韓風 熱銷 女襪 中筒 秋冬</t>
        </is>
      </c>
      <c r="C5701">
        <f>IMAGE("https://cf.shopee.tw/file/tw-11134207-7r98r-lu552d18mi2h24_tn")</f>
        <v/>
      </c>
      <c r="D5701" t="inlineStr">
        <is>
          <t>白色</t>
        </is>
      </c>
      <c r="E5701" t="inlineStr"/>
      <c r="F5701">
        <f>IMAGE("https://cf.shopee.tw/file/tw-11134207-7r98q-lu552d1acb4da3_tn")</f>
        <v/>
      </c>
    </row>
    <row r="5702">
      <c r="A5702" t="inlineStr">
        <is>
          <t>22789840516</t>
        </is>
      </c>
      <c r="B5702" t="inlineStr">
        <is>
          <t>隔日到貨🔥 ins 字母運動襪 長襪 S28 長筒襪 潮流襪 素色 女襪 棉襪 襪子 韓風 熱銷 女襪 中筒 秋冬</t>
        </is>
      </c>
      <c r="C5702">
        <f>IMAGE("https://cf.shopee.tw/file/tw-11134207-7r98r-lu552d18mi2h24_tn")</f>
        <v/>
      </c>
      <c r="D5702" t="inlineStr">
        <is>
          <t>藏青</t>
        </is>
      </c>
      <c r="E5702" t="inlineStr"/>
      <c r="F5702">
        <f>IMAGE("https://cf.shopee.tw/file/tw-11134207-7r98r-lu552d18pb9p0f_tn")</f>
        <v/>
      </c>
    </row>
    <row r="5703">
      <c r="A5703" t="inlineStr">
        <is>
          <t>22789840516</t>
        </is>
      </c>
      <c r="B5703" t="inlineStr">
        <is>
          <t>隔日到貨🔥 ins 字母運動襪 長襪 S28 長筒襪 潮流襪 素色 女襪 棉襪 襪子 韓風 熱銷 女襪 中筒 秋冬</t>
        </is>
      </c>
      <c r="C5703">
        <f>IMAGE("https://cf.shopee.tw/file/tw-11134207-7r98r-lu552d18mi2h24_tn")</f>
        <v/>
      </c>
      <c r="D5703" t="inlineStr">
        <is>
          <t>淺灰</t>
        </is>
      </c>
      <c r="E5703" t="inlineStr"/>
      <c r="F5703">
        <f>IMAGE("https://cf.shopee.tw/file/tw-11134207-7r98q-lu552d18nwmx58_tn")</f>
        <v/>
      </c>
    </row>
    <row r="5704">
      <c r="A5704" t="inlineStr">
        <is>
          <t>23142373979</t>
        </is>
      </c>
      <c r="B5704" t="inlineStr">
        <is>
          <t>隔日到貨🔥 韓系學生後背包 ins 雙肩包 學生 背包 百搭 尼龍 B27 簡約 背包 雙肩包 書包 後背 學生背包</t>
        </is>
      </c>
      <c r="C5704">
        <f>IMAGE("https://cf.shopee.tw/file/tw-11134207-7quky-lgrj676kq71l8e_tn")</f>
        <v/>
      </c>
      <c r="D5704" t="inlineStr">
        <is>
          <t>白色</t>
        </is>
      </c>
      <c r="E5704" t="inlineStr"/>
      <c r="F5704">
        <f>IMAGE("https://cf.shopee.tw/file/tw-11134207-7qul3-lgriry5pwlrg21_tn")</f>
        <v/>
      </c>
    </row>
    <row r="5705">
      <c r="A5705" t="inlineStr">
        <is>
          <t>23142373979</t>
        </is>
      </c>
      <c r="B5705" t="inlineStr">
        <is>
          <t>隔日到貨🔥 韓系學生後背包 ins 雙肩包 學生 背包 百搭 尼龍 B27 簡約 背包 雙肩包 書包 後背 學生背包</t>
        </is>
      </c>
      <c r="C5705">
        <f>IMAGE("https://cf.shopee.tw/file/tw-11134207-7quky-lgrj676kq71l8e_tn")</f>
        <v/>
      </c>
      <c r="D5705" t="inlineStr">
        <is>
          <t>黃色</t>
        </is>
      </c>
      <c r="E5705" t="inlineStr"/>
      <c r="F5705">
        <f>IMAGE("https://cf.shopee.tw/file/tw-11134207-7qul5-lgriry5qc20ca1_tn")</f>
        <v/>
      </c>
    </row>
    <row r="5706">
      <c r="A5706" t="inlineStr">
        <is>
          <t>23142373979</t>
        </is>
      </c>
      <c r="B5706" t="inlineStr">
        <is>
          <t>隔日到貨🔥 韓系學生後背包 ins 雙肩包 學生 背包 百搭 尼龍 B27 簡約 背包 雙肩包 書包 後背 學生背包</t>
        </is>
      </c>
      <c r="C5706">
        <f>IMAGE("https://cf.shopee.tw/file/tw-11134207-7quky-lgrj676kq71l8e_tn")</f>
        <v/>
      </c>
      <c r="D5706" t="inlineStr">
        <is>
          <t>藍色</t>
        </is>
      </c>
      <c r="E5706" t="inlineStr"/>
      <c r="F5706">
        <f>IMAGE("https://cf.shopee.tw/file/tw-11134207-7qul3-lgriry6jfxgpc9_tn")</f>
        <v/>
      </c>
    </row>
    <row r="5707">
      <c r="A5707" t="inlineStr">
        <is>
          <t>23142373979</t>
        </is>
      </c>
      <c r="B5707" t="inlineStr">
        <is>
          <t>隔日到貨🔥 韓系學生後背包 ins 雙肩包 學生 背包 百搭 尼龍 B27 簡約 背包 雙肩包 書包 後背 學生背包</t>
        </is>
      </c>
      <c r="C5707">
        <f>IMAGE("https://cf.shopee.tw/file/tw-11134207-7quky-lgrj676kq71l8e_tn")</f>
        <v/>
      </c>
      <c r="D5707" t="inlineStr">
        <is>
          <t>紫色</t>
        </is>
      </c>
      <c r="E5707" t="inlineStr"/>
      <c r="F5707">
        <f>IMAGE("https://cf.shopee.tw/file/tw-11134207-7qul2-lgriry6jvdpl5a_tn")</f>
        <v/>
      </c>
    </row>
    <row r="5708">
      <c r="A5708" t="inlineStr">
        <is>
          <t>23142373979</t>
        </is>
      </c>
      <c r="B5708" t="inlineStr">
        <is>
          <t>隔日到貨🔥 韓系學生後背包 ins 雙肩包 學生 背包 百搭 尼龍 B27 簡約 背包 雙肩包 書包 後背 學生背包</t>
        </is>
      </c>
      <c r="C5708">
        <f>IMAGE("https://cf.shopee.tw/file/tw-11134207-7quky-lgrj676kq71l8e_tn")</f>
        <v/>
      </c>
      <c r="D5708" t="inlineStr">
        <is>
          <t>粉紅色</t>
        </is>
      </c>
      <c r="E5708" t="inlineStr"/>
      <c r="F5708">
        <f>IMAGE("https://cf.shopee.tw/file/tw-11134207-7qula-lgriry6jvdwsbe_tn")</f>
        <v/>
      </c>
    </row>
    <row r="5709">
      <c r="A5709" t="inlineStr">
        <is>
          <t>23142373979</t>
        </is>
      </c>
      <c r="B5709" t="inlineStr">
        <is>
          <t>隔日到貨🔥 韓系學生後背包 ins 雙肩包 學生 背包 百搭 尼龍 B27 簡約 背包 雙肩包 書包 後背 學生背包</t>
        </is>
      </c>
      <c r="C5709">
        <f>IMAGE("https://cf.shopee.tw/file/tw-11134207-7quky-lgrj676kq71l8e_tn")</f>
        <v/>
      </c>
      <c r="D5709" t="inlineStr">
        <is>
          <t>黑色</t>
        </is>
      </c>
      <c r="E5709" t="inlineStr"/>
      <c r="F5709">
        <f>IMAGE("https://cf.shopee.tw/file/tw-11134207-7qukx-lgriry5ph5bdfb_tn")</f>
        <v/>
      </c>
    </row>
    <row r="5710">
      <c r="A5710" t="inlineStr">
        <is>
          <t>23142373979</t>
        </is>
      </c>
      <c r="B5710" t="inlineStr">
        <is>
          <t>隔日到貨🔥 韓系學生後背包 ins 雙肩包 學生 背包 百搭 尼龍 B27 簡約 背包 雙肩包 書包 後背 學生背包</t>
        </is>
      </c>
      <c r="C5710">
        <f>IMAGE("https://cf.shopee.tw/file/tw-11134207-7quky-lgrj676kq71l8e_tn")</f>
        <v/>
      </c>
      <c r="D5710" t="inlineStr">
        <is>
          <t>綠色</t>
        </is>
      </c>
      <c r="E5710" t="inlineStr"/>
      <c r="F5710">
        <f>IMAGE("https://cf.shopee.tw/file/tw-11134207-7qul3-lgriry6jfxnwce_tn")</f>
        <v/>
      </c>
    </row>
    <row r="5711">
      <c r="A5711" t="inlineStr">
        <is>
          <t>21866649510</t>
        </is>
      </c>
      <c r="B5711" t="inlineStr">
        <is>
          <t>隔日到貨🔥 帆布袋 杯套 杯袋 B4 飲料提袋 飲料袋 環保袋 手搖飲料袋 飲料袋 提袋 飲料杯套 帆布包</t>
        </is>
      </c>
      <c r="C5711">
        <f>IMAGE("https://cf.shopee.tw/file/sg-11134201-23010-a6qnedqewulv19_tn")</f>
        <v/>
      </c>
      <c r="D5711" t="inlineStr">
        <is>
          <t>For you</t>
        </is>
      </c>
      <c r="E5711" t="inlineStr"/>
      <c r="F5711">
        <f>IMAGE("https://cf.shopee.tw/file/sg-11134201-22120-4z5opn6tfnkva8_tn")</f>
        <v/>
      </c>
    </row>
    <row r="5712">
      <c r="A5712" t="inlineStr">
        <is>
          <t>21866649510</t>
        </is>
      </c>
      <c r="B5712" t="inlineStr">
        <is>
          <t>隔日到貨🔥 帆布袋 杯套 杯袋 B4 飲料提袋 飲料袋 環保袋 手搖飲料袋 飲料袋 提袋 飲料杯套 帆布包</t>
        </is>
      </c>
      <c r="C5712">
        <f>IMAGE("https://cf.shopee.tw/file/sg-11134201-23010-a6qnedqewulv19_tn")</f>
        <v/>
      </c>
      <c r="D5712" t="inlineStr">
        <is>
          <t>Cheers</t>
        </is>
      </c>
      <c r="E5712" t="inlineStr"/>
      <c r="F5712">
        <f>IMAGE("https://cf.shopee.tw/file/sg-11134201-22120-zwzn25vtfnkv65_tn")</f>
        <v/>
      </c>
    </row>
    <row r="5713">
      <c r="A5713" t="inlineStr">
        <is>
          <t>21866649510</t>
        </is>
      </c>
      <c r="B5713" t="inlineStr">
        <is>
          <t>隔日到貨🔥 帆布袋 杯套 杯袋 B4 飲料提袋 飲料袋 環保袋 手搖飲料袋 飲料袋 提袋 飲料杯套 帆布包</t>
        </is>
      </c>
      <c r="C5713">
        <f>IMAGE("https://cf.shopee.tw/file/sg-11134201-23010-a6qnedqewulv19_tn")</f>
        <v/>
      </c>
      <c r="D5713" t="inlineStr">
        <is>
          <t>Cheers紅手提</t>
        </is>
      </c>
      <c r="E5713" t="inlineStr"/>
      <c r="F5713">
        <f>IMAGE("https://cf.shopee.tw/file/sg-11134201-22120-ckoxgcztfnkv22_tn")</f>
        <v/>
      </c>
    </row>
    <row r="5714">
      <c r="A5714" t="inlineStr">
        <is>
          <t>21866649510</t>
        </is>
      </c>
      <c r="B5714" t="inlineStr">
        <is>
          <t>隔日到貨🔥 帆布袋 杯套 杯袋 B4 飲料提袋 飲料袋 環保袋 手搖飲料袋 飲料袋 提袋 飲料杯套 帆布包</t>
        </is>
      </c>
      <c r="C5714">
        <f>IMAGE("https://cf.shopee.tw/file/sg-11134201-23010-a6qnedqewulv19_tn")</f>
        <v/>
      </c>
      <c r="D5714" t="inlineStr">
        <is>
          <t>狗和女人</t>
        </is>
      </c>
      <c r="E5714" t="inlineStr"/>
      <c r="F5714">
        <f>IMAGE("https://cf.shopee.tw/file/sg-11134201-22120-5xxvt1aufnkv7f_tn")</f>
        <v/>
      </c>
    </row>
    <row r="5715">
      <c r="A5715" t="inlineStr">
        <is>
          <t>22223757903</t>
        </is>
      </c>
      <c r="B5715" t="inlineStr">
        <is>
          <t>隔日到貨🔥 日系創意矽膠杯墊 杯墊 ins風 迷你杯墊 萌兔 水杯墊 可愛小熊 小兔 桌墊 馬克杯 杯子 水杯</t>
        </is>
      </c>
      <c r="C5715">
        <f>IMAGE("https://cf.shopee.tw/file/tw-11134207-23020-1akavaw4bhnv5a_tn")</f>
        <v/>
      </c>
      <c r="D5715" t="inlineStr">
        <is>
          <t>1. 萌兔杯墊</t>
        </is>
      </c>
      <c r="E5715" t="inlineStr"/>
      <c r="F5715">
        <f>IMAGE("https://cf.shopee.tw/file/tw-11134207-23020-yzjkuruyignv81_tn")</f>
        <v/>
      </c>
    </row>
    <row r="5716">
      <c r="A5716" t="inlineStr">
        <is>
          <t>22223757903</t>
        </is>
      </c>
      <c r="B5716" t="inlineStr">
        <is>
          <t>隔日到貨🔥 日系創意矽膠杯墊 杯墊 ins風 迷你杯墊 萌兔 水杯墊 可愛小熊 小兔 桌墊 馬克杯 杯子 水杯</t>
        </is>
      </c>
      <c r="C5716">
        <f>IMAGE("https://cf.shopee.tw/file/tw-11134207-23020-1akavaw4bhnv5a_tn")</f>
        <v/>
      </c>
      <c r="D5716" t="inlineStr">
        <is>
          <t>2. 萌熊杯墊</t>
        </is>
      </c>
      <c r="E5716" t="inlineStr"/>
      <c r="F5716">
        <f>IMAGE("https://cf.shopee.tw/file/tw-11134207-23020-inj8561yignvce_tn")</f>
        <v/>
      </c>
    </row>
    <row r="5717">
      <c r="A5717" t="inlineStr">
        <is>
          <t>22223757903</t>
        </is>
      </c>
      <c r="B5717" t="inlineStr">
        <is>
          <t>隔日到貨🔥 日系創意矽膠杯墊 杯墊 ins風 迷你杯墊 萌兔 水杯墊 可愛小熊 小兔 桌墊 馬克杯 杯子 水杯</t>
        </is>
      </c>
      <c r="C5717">
        <f>IMAGE("https://cf.shopee.tw/file/tw-11134207-23020-1akavaw4bhnv5a_tn")</f>
        <v/>
      </c>
      <c r="D5717" t="inlineStr">
        <is>
          <t>3. 手機熊杯墊</t>
        </is>
      </c>
      <c r="E5717" t="inlineStr"/>
      <c r="F5717">
        <f>IMAGE("https://cf.shopee.tw/file/tw-11134207-23020-sot9v6szignv56_tn")</f>
        <v/>
      </c>
    </row>
    <row r="5718">
      <c r="A5718" t="inlineStr">
        <is>
          <t>22223757903</t>
        </is>
      </c>
      <c r="B5718" t="inlineStr">
        <is>
          <t>隔日到貨🔥 日系創意矽膠杯墊 杯墊 ins風 迷你杯墊 萌兔 水杯墊 可愛小熊 小兔 桌墊 馬克杯 杯子 水杯</t>
        </is>
      </c>
      <c r="C5718">
        <f>IMAGE("https://cf.shopee.tw/file/tw-11134207-23020-1akavaw4bhnv5a_tn")</f>
        <v/>
      </c>
      <c r="D5718" t="inlineStr">
        <is>
          <t>4. 小狗杯墊</t>
        </is>
      </c>
      <c r="E5718" t="inlineStr"/>
      <c r="F5718">
        <f>IMAGE("https://cf.shopee.tw/file/tw-11134207-23020-kegh8l5zignv40_tn")</f>
        <v/>
      </c>
    </row>
    <row r="5719">
      <c r="A5719" t="inlineStr">
        <is>
          <t>22469886393</t>
        </is>
      </c>
      <c r="B5719" t="inlineStr">
        <is>
          <t>隔日到貨🔥 INS 斜背飲料袋 飲料提袋 水壺袋 手提杯袋 冰霸杯袋 杯套 杯袋 帆布袋 環保袋 帆布飲料袋</t>
        </is>
      </c>
      <c r="C5719">
        <f>IMAGE("https://cf.shopee.tw/file/tw-11134207-7qukx-lhk342scd76856_tn")</f>
        <v/>
      </c>
      <c r="D5719" t="inlineStr">
        <is>
          <t>rejoice</t>
        </is>
      </c>
      <c r="E5719" t="inlineStr"/>
      <c r="F5719">
        <f>IMAGE("https://cf.shopee.tw/file/tw-11134207-7qul4-lhk4t0rnqor2fe_tn")</f>
        <v/>
      </c>
    </row>
    <row r="5720">
      <c r="A5720" t="inlineStr">
        <is>
          <t>22469886393</t>
        </is>
      </c>
      <c r="B5720" t="inlineStr">
        <is>
          <t>隔日到貨🔥 INS 斜背飲料袋 飲料提袋 水壺袋 手提杯袋 冰霸杯袋 杯套 杯袋 帆布袋 環保袋 帆布飲料袋</t>
        </is>
      </c>
      <c r="C5720">
        <f>IMAGE("https://cf.shopee.tw/file/tw-11134207-7qukx-lhk342scd76856_tn")</f>
        <v/>
      </c>
      <c r="D5720" t="inlineStr">
        <is>
          <t>lamb</t>
        </is>
      </c>
      <c r="E5720" t="inlineStr"/>
      <c r="F5720">
        <f>IMAGE("https://cf.shopee.tw/file/tw-11134207-7qul0-lhk4t0ry5q4w3d_tn")</f>
        <v/>
      </c>
    </row>
    <row r="5721">
      <c r="A5721" t="inlineStr">
        <is>
          <t>22469886393</t>
        </is>
      </c>
      <c r="B5721" t="inlineStr">
        <is>
          <t>隔日到貨🔥 INS 斜背飲料袋 飲料提袋 水壺袋 手提杯袋 冰霸杯袋 杯套 杯袋 帆布袋 環保袋 帆布飲料袋</t>
        </is>
      </c>
      <c r="C5721">
        <f>IMAGE("https://cf.shopee.tw/file/tw-11134207-7qukx-lhk342scd76856_tn")</f>
        <v/>
      </c>
      <c r="D5721" t="inlineStr">
        <is>
          <t>lovely</t>
        </is>
      </c>
      <c r="E5721" t="inlineStr"/>
      <c r="F5721">
        <f>IMAGE("https://cf.shopee.tw/file/tw-11134207-7qul0-lhk4t0roll00e2_tn")</f>
        <v/>
      </c>
    </row>
    <row r="5722">
      <c r="A5722" t="inlineStr">
        <is>
          <t>22469886393</t>
        </is>
      </c>
      <c r="B5722" t="inlineStr">
        <is>
          <t>隔日到貨🔥 INS 斜背飲料袋 飲料提袋 水壺袋 手提杯袋 冰霸杯袋 杯套 杯袋 帆布袋 環保袋 帆布飲料袋</t>
        </is>
      </c>
      <c r="C5722">
        <f>IMAGE("https://cf.shopee.tw/file/tw-11134207-7qukx-lhk342scd76856_tn")</f>
        <v/>
      </c>
      <c r="D5722" t="inlineStr">
        <is>
          <t>hello</t>
        </is>
      </c>
      <c r="E5722" t="inlineStr"/>
      <c r="F5722">
        <f>IMAGE("https://cf.shopee.tw/file/tw-11134207-7qukx-lhk4t0rxqa4u70_tn")</f>
        <v/>
      </c>
    </row>
    <row r="5723">
      <c r="A5723" t="inlineStr">
        <is>
          <t>23055764953</t>
        </is>
      </c>
      <c r="B5723" t="inlineStr">
        <is>
          <t>隔日到貨🔥 刺繡小熊側背包 小熊單肩包 日系原宿ins B21 郵差包 小熊包 側背包 單肩包 帆布包 熊熊包 可愛包包</t>
        </is>
      </c>
      <c r="C5723">
        <f>IMAGE("https://cf.shopee.tw/file/tw-11134207-7r98u-lm092rbpl50b09_tn")</f>
        <v/>
      </c>
      <c r="D5723" t="inlineStr">
        <is>
          <t>白色</t>
        </is>
      </c>
      <c r="E5723" t="inlineStr"/>
      <c r="F5723">
        <f>IMAGE("https://cf.shopee.tw/file/tw-11134207-7r991-lm092rbfljmje5_tn")</f>
        <v/>
      </c>
    </row>
    <row r="5724">
      <c r="A5724" t="inlineStr">
        <is>
          <t>23055764953</t>
        </is>
      </c>
      <c r="B5724" t="inlineStr">
        <is>
          <t>隔日到貨🔥 刺繡小熊側背包 小熊單肩包 日系原宿ins B21 郵差包 小熊包 側背包 單肩包 帆布包 熊熊包 可愛包包</t>
        </is>
      </c>
      <c r="C5724">
        <f>IMAGE("https://cf.shopee.tw/file/tw-11134207-7r98u-lm092rbpl50b09_tn")</f>
        <v/>
      </c>
      <c r="D5724" t="inlineStr">
        <is>
          <t>藍色</t>
        </is>
      </c>
      <c r="E5724" t="inlineStr"/>
      <c r="F5724">
        <f>IMAGE("https://cf.shopee.tw/file/tw-11134207-7r98t-lm092rbg0zvfad_tn")</f>
        <v/>
      </c>
    </row>
    <row r="5725">
      <c r="A5725" t="inlineStr">
        <is>
          <t>23055764953</t>
        </is>
      </c>
      <c r="B5725" t="inlineStr">
        <is>
          <t>隔日到貨🔥 刺繡小熊側背包 小熊單肩包 日系原宿ins B21 郵差包 小熊包 側背包 單肩包 帆布包 熊熊包 可愛包包</t>
        </is>
      </c>
      <c r="C5725">
        <f>IMAGE("https://cf.shopee.tw/file/tw-11134207-7r98u-lm092rbpl50b09_tn")</f>
        <v/>
      </c>
      <c r="D5725" t="inlineStr">
        <is>
          <t>黃色</t>
        </is>
      </c>
      <c r="E5725" t="inlineStr"/>
      <c r="F5725">
        <f>IMAGE("https://cf.shopee.tw/file/tw-11134207-7r98w-lm092rbgggbd1d_tn")</f>
        <v/>
      </c>
    </row>
    <row r="5726">
      <c r="A5726" t="inlineStr">
        <is>
          <t>23055764953</t>
        </is>
      </c>
      <c r="B5726" t="inlineStr">
        <is>
          <t>隔日到貨🔥 刺繡小熊側背包 小熊單肩包 日系原宿ins B21 郵差包 小熊包 側背包 單肩包 帆布包 熊熊包 可愛包包</t>
        </is>
      </c>
      <c r="C5726">
        <f>IMAGE("https://cf.shopee.tw/file/tw-11134207-7r98u-lm092rbpl50b09_tn")</f>
        <v/>
      </c>
      <c r="D5726" t="inlineStr">
        <is>
          <t>黑色</t>
        </is>
      </c>
      <c r="E5726" t="inlineStr"/>
      <c r="F5726">
        <f>IMAGE("https://cf.shopee.tw/file/tw-11134207-7r98x-lm092rbfljtl5b_tn")</f>
        <v/>
      </c>
    </row>
    <row r="5727">
      <c r="A5727" t="inlineStr">
        <is>
          <t>23055764953</t>
        </is>
      </c>
      <c r="B5727" t="inlineStr">
        <is>
          <t>隔日到貨🔥 刺繡小熊側背包 小熊單肩包 日系原宿ins B21 郵差包 小熊包 側背包 單肩包 帆布包 熊熊包 可愛包包</t>
        </is>
      </c>
      <c r="C5727">
        <f>IMAGE("https://cf.shopee.tw/file/tw-11134207-7r98u-lm092rbpl50b09_tn")</f>
        <v/>
      </c>
      <c r="D5727" t="inlineStr">
        <is>
          <t>褐色</t>
        </is>
      </c>
      <c r="E5727" t="inlineStr">
        <is>
          <t>222057890550</t>
        </is>
      </c>
      <c r="F5727">
        <f>IMAGE("https://cf.shopee.tw/file/tw-11134207-7r98w-lm092rbg102h2d_tn")</f>
        <v/>
      </c>
    </row>
    <row r="5728">
      <c r="A5728" t="inlineStr">
        <is>
          <t>28950852033</t>
        </is>
      </c>
      <c r="B5728" t="inlineStr">
        <is>
          <t>隔日到貨🔥 帆布袋 杯套 杯袋 飲料提袋 飲料袋 環保袋 手搖飲料袋 飲料袋 提袋 飲料杯套 帆布包</t>
        </is>
      </c>
      <c r="C5728">
        <f>IMAGE("https://cf.shopee.tw/file/tw-11134207-7r98p-lvoimytspjv696_tn")</f>
        <v/>
      </c>
      <c r="D5728" t="inlineStr">
        <is>
          <t>口杯狗</t>
        </is>
      </c>
      <c r="E5728" t="inlineStr"/>
      <c r="F5728">
        <f>IMAGE("https://cf.shopee.tw/file/tw-11134207-7r98p-lvoimyu2qjte60_tn")</f>
        <v/>
      </c>
    </row>
    <row r="5729">
      <c r="A5729" t="inlineStr">
        <is>
          <t>28950852033</t>
        </is>
      </c>
      <c r="B5729" t="inlineStr">
        <is>
          <t>隔日到貨🔥 帆布袋 杯套 杯袋 飲料提袋 飲料袋 環保袋 手搖飲料袋 飲料袋 提袋 飲料杯套 帆布包</t>
        </is>
      </c>
      <c r="C5729">
        <f>IMAGE("https://cf.shopee.tw/file/tw-11134207-7r98p-lvoimytspjv696_tn")</f>
        <v/>
      </c>
      <c r="D5729" t="inlineStr">
        <is>
          <t>櫻桃</t>
        </is>
      </c>
      <c r="E5729" t="inlineStr"/>
      <c r="F5729">
        <f>IMAGE("https://cf.shopee.tw/file/tw-11134207-7r990-lvoir8jjrkr68b_tn")</f>
        <v/>
      </c>
    </row>
    <row r="5730">
      <c r="A5730" t="inlineStr">
        <is>
          <t>28950852033</t>
        </is>
      </c>
      <c r="B5730" t="inlineStr">
        <is>
          <t>隔日到貨🔥 帆布袋 杯套 杯袋 飲料提袋 飲料袋 環保袋 手搖飲料袋 飲料袋 提袋 飲料杯套 帆布包</t>
        </is>
      </c>
      <c r="C5730">
        <f>IMAGE("https://cf.shopee.tw/file/tw-11134207-7r98p-lvoimytspjv696_tn")</f>
        <v/>
      </c>
      <c r="D5730" t="inlineStr">
        <is>
          <t>草莓</t>
        </is>
      </c>
      <c r="E5730" t="inlineStr"/>
      <c r="F5730">
        <f>IMAGE("https://cf.shopee.tw/file/tw-11134207-7r98o-lvoir8jjszbm78_tn")</f>
        <v/>
      </c>
    </row>
    <row r="5731">
      <c r="A5731" t="inlineStr">
        <is>
          <t>28950852033</t>
        </is>
      </c>
      <c r="B5731" t="inlineStr">
        <is>
          <t>隔日到貨🔥 帆布袋 杯套 杯袋 飲料提袋 飲料袋 環保袋 手搖飲料袋 飲料袋 提袋 飲料杯套 帆布包</t>
        </is>
      </c>
      <c r="C5731">
        <f>IMAGE("https://cf.shopee.tw/file/tw-11134207-7r98p-lvoimytspjv696_tn")</f>
        <v/>
      </c>
      <c r="D5731" t="inlineStr">
        <is>
          <t>奶茶熊</t>
        </is>
      </c>
      <c r="E5731" t="inlineStr"/>
      <c r="F5731">
        <f>IMAGE("https://cf.shopee.tw/file/tw-11134207-7r98t-lvoimytstrki54_tn")</f>
        <v/>
      </c>
    </row>
    <row r="5732">
      <c r="A5732" t="inlineStr">
        <is>
          <t>28950852033</t>
        </is>
      </c>
      <c r="B5732" t="inlineStr">
        <is>
          <t>隔日到貨🔥 帆布袋 杯套 杯袋 飲料提袋 飲料袋 環保袋 手搖飲料袋 飲料袋 提袋 飲料杯套 帆布包</t>
        </is>
      </c>
      <c r="C5732">
        <f>IMAGE("https://cf.shopee.tw/file/tw-11134207-7r98p-lvoimytspjv696_tn")</f>
        <v/>
      </c>
      <c r="D5732" t="inlineStr">
        <is>
          <t>杯子熊</t>
        </is>
      </c>
      <c r="E5732" t="inlineStr"/>
      <c r="F5732">
        <f>IMAGE("https://cf.shopee.tw/file/tw-11134207-7r992-lvoimytssd0260_tn")</f>
        <v/>
      </c>
    </row>
    <row r="5733">
      <c r="A5733" t="inlineStr">
        <is>
          <t>13667972855</t>
        </is>
      </c>
      <c r="B5733" t="inlineStr">
        <is>
          <t>隔日到貨🔥 韓版 奶茶色系 不鏽鋼保溫杯 附吸管 爆款 400ML 隨手杯 附吸管 不鏽鋼杯 吸管水壺 水壺 禮物</t>
        </is>
      </c>
      <c r="C5733">
        <f>IMAGE("https://cf.shopee.tw/file/c8737302291426d1ab3f9e15f4ce7774_tn")</f>
        <v/>
      </c>
      <c r="D5733" t="inlineStr">
        <is>
          <t>粉色,400ml (附吸管)</t>
        </is>
      </c>
      <c r="E5733" t="inlineStr"/>
      <c r="F5733">
        <f>IMAGE("https://deo.shopeemobile.com/shopee/shopee-seller-live-sg/mmf_portal_seller_root_dir/static/modules/product-list/image/default-item-model-image.2601159.png")</f>
        <v/>
      </c>
    </row>
    <row r="5734">
      <c r="A5734" t="inlineStr">
        <is>
          <t>13667972855</t>
        </is>
      </c>
      <c r="B5734" t="inlineStr">
        <is>
          <t>隔日到貨🔥 韓版 奶茶色系 不鏽鋼保溫杯 附吸管 爆款 400ML 隨手杯 附吸管 不鏽鋼杯 吸管水壺 水壺 禮物</t>
        </is>
      </c>
      <c r="C5734">
        <f>IMAGE("https://cf.shopee.tw/file/c8737302291426d1ab3f9e15f4ce7774_tn")</f>
        <v/>
      </c>
      <c r="D5734" t="inlineStr">
        <is>
          <t>米色,400ml (附吸管)</t>
        </is>
      </c>
      <c r="E5734" t="inlineStr"/>
      <c r="F5734">
        <f>IMAGE("https://deo.shopeemobile.com/shopee/shopee-seller-live-sg/mmf_portal_seller_root_dir/static/modules/product-list/image/default-item-model-image.2601159.png")</f>
        <v/>
      </c>
    </row>
    <row r="5735">
      <c r="A5735" t="inlineStr">
        <is>
          <t>13667972855</t>
        </is>
      </c>
      <c r="B5735" t="inlineStr">
        <is>
          <t>隔日到貨🔥 韓版 奶茶色系 不鏽鋼保溫杯 附吸管 爆款 400ML 隨手杯 附吸管 不鏽鋼杯 吸管水壺 水壺 禮物</t>
        </is>
      </c>
      <c r="C5735">
        <f>IMAGE("https://cf.shopee.tw/file/c8737302291426d1ab3f9e15f4ce7774_tn")</f>
        <v/>
      </c>
      <c r="D5735" t="inlineStr">
        <is>
          <t>藍色,400ml (附吸管)</t>
        </is>
      </c>
      <c r="E5735" t="inlineStr"/>
      <c r="F5735">
        <f>IMAGE("https://deo.shopeemobile.com/shopee/shopee-seller-live-sg/mmf_portal_seller_root_dir/static/modules/product-list/image/default-item-model-image.2601159.png")</f>
        <v/>
      </c>
    </row>
    <row r="5736">
      <c r="A5736" t="inlineStr">
        <is>
          <t>13667972855</t>
        </is>
      </c>
      <c r="B5736" t="inlineStr">
        <is>
          <t>隔日到貨🔥 韓版 奶茶色系 不鏽鋼保溫杯 附吸管 爆款 400ML 隨手杯 附吸管 不鏽鋼杯 吸管水壺 水壺 禮物</t>
        </is>
      </c>
      <c r="C5736">
        <f>IMAGE("https://cf.shopee.tw/file/c8737302291426d1ab3f9e15f4ce7774_tn")</f>
        <v/>
      </c>
      <c r="D5736" t="inlineStr">
        <is>
          <t>綠色,400ml (附吸管)</t>
        </is>
      </c>
      <c r="E5736" t="inlineStr"/>
      <c r="F5736">
        <f>IMAGE("https://deo.shopeemobile.com/shopee/shopee-seller-live-sg/mmf_portal_seller_root_dir/static/modules/product-list/image/default-item-model-image.2601159.png")</f>
        <v/>
      </c>
    </row>
    <row r="5737">
      <c r="A5737" t="inlineStr">
        <is>
          <t>21085013406</t>
        </is>
      </c>
      <c r="B5737" t="inlineStr">
        <is>
          <t>隔日到貨🔥 韓系學院後背包 書包 大容量 後背包 後背包 百搭 ins B32 電腦背包 學生 包包 多層 防潑水</t>
        </is>
      </c>
      <c r="C5737">
        <f>IMAGE("https://cf.shopee.tw/file/tw-11134207-7r98y-lmmywhbfdajf6f_tn")</f>
        <v/>
      </c>
      <c r="D5737" t="inlineStr">
        <is>
          <t>黑色 （不含掛件）</t>
        </is>
      </c>
      <c r="E5737" t="inlineStr"/>
      <c r="F5737">
        <f>IMAGE("https://cf.shopee.tw/file/tw-11134207-7r98s-lmmz5b1cfa8rab_tn")</f>
        <v/>
      </c>
    </row>
    <row r="5738">
      <c r="A5738" t="inlineStr">
        <is>
          <t>21085013406</t>
        </is>
      </c>
      <c r="B5738" t="inlineStr">
        <is>
          <t>隔日到貨🔥 韓系學院後背包 書包 大容量 後背包 後背包 百搭 ins B32 電腦背包 學生 包包 多層 防潑水</t>
        </is>
      </c>
      <c r="C5738">
        <f>IMAGE("https://cf.shopee.tw/file/tw-11134207-7r98y-lmmywhbfdajf6f_tn")</f>
        <v/>
      </c>
      <c r="D5738" t="inlineStr">
        <is>
          <t>白色 （不含掛件）</t>
        </is>
      </c>
      <c r="E5738" t="inlineStr"/>
      <c r="F5738">
        <f>IMAGE("https://cf.shopee.tw/file/tw-11134207-7r98v-lmmz5b1mubvfdd_tn")</f>
        <v/>
      </c>
    </row>
    <row r="5739">
      <c r="A5739" t="inlineStr">
        <is>
          <t>21085013406</t>
        </is>
      </c>
      <c r="B5739" t="inlineStr">
        <is>
          <t>隔日到貨🔥 韓系學院後背包 書包 大容量 後背包 後背包 百搭 ins B32 電腦背包 學生 包包 多層 防潑水</t>
        </is>
      </c>
      <c r="C5739">
        <f>IMAGE("https://cf.shopee.tw/file/tw-11134207-7r98y-lmmywhbfdajf6f_tn")</f>
        <v/>
      </c>
      <c r="D5739" t="inlineStr">
        <is>
          <t>藍色 （不含掛件）</t>
        </is>
      </c>
      <c r="E5739" t="inlineStr"/>
      <c r="F5739">
        <f>IMAGE("https://cf.shopee.tw/file/tw-11134207-7r98u-lmmz5b1cfaftd1_tn")</f>
        <v/>
      </c>
    </row>
    <row r="5740">
      <c r="A5740" t="inlineStr">
        <is>
          <t>21085013406</t>
        </is>
      </c>
      <c r="B5740" t="inlineStr">
        <is>
          <t>隔日到貨🔥 韓系學院後背包 書包 大容量 後背包 後背包 百搭 ins B32 電腦背包 學生 包包 多層 防潑水</t>
        </is>
      </c>
      <c r="C5740">
        <f>IMAGE("https://cf.shopee.tw/file/tw-11134207-7r98y-lmmywhbfdajf6f_tn")</f>
        <v/>
      </c>
      <c r="D5740" t="inlineStr">
        <is>
          <t>黃色 （不含掛件）</t>
        </is>
      </c>
      <c r="E5740" t="inlineStr">
        <is>
          <t>109023956767</t>
        </is>
      </c>
      <c r="F5740">
        <f>IMAGE("https://cf.shopee.tw/file/tw-11134207-7r98t-lmmz5b1mevmja1_tn")</f>
        <v/>
      </c>
    </row>
    <row r="5741">
      <c r="A5741" t="inlineStr">
        <is>
          <t>19866753890</t>
        </is>
      </c>
      <c r="B5741" t="inlineStr">
        <is>
          <t>隔日到貨🔥 ins 學院風 條紋中筒襪 S36 長襪 韓風熱銷 女襪 長襪 情侶襪 襪子 可愛襪 運動襪 秋冬襪</t>
        </is>
      </c>
      <c r="C5741">
        <f>IMAGE("https://cf.shopee.tw/file/sg-11134201-22120-ci1zvaeznokveb_tn")</f>
        <v/>
      </c>
      <c r="D5741" t="inlineStr">
        <is>
          <t>白綠</t>
        </is>
      </c>
      <c r="E5741" t="inlineStr"/>
      <c r="F5741">
        <f>IMAGE("https://cf.shopee.tw/file/sg-11134201-22120-ooi5au01nokv38_tn")</f>
        <v/>
      </c>
    </row>
    <row r="5742">
      <c r="A5742" t="inlineStr">
        <is>
          <t>19866753890</t>
        </is>
      </c>
      <c r="B5742" t="inlineStr">
        <is>
          <t>隔日到貨🔥 ins 學院風 條紋中筒襪 S36 長襪 韓風熱銷 女襪 長襪 情侶襪 襪子 可愛襪 運動襪 秋冬襪</t>
        </is>
      </c>
      <c r="C5742">
        <f>IMAGE("https://cf.shopee.tw/file/sg-11134201-22120-ci1zvaeznokveb_tn")</f>
        <v/>
      </c>
      <c r="D5742" t="inlineStr">
        <is>
          <t>白藍</t>
        </is>
      </c>
      <c r="E5742" t="inlineStr"/>
      <c r="F5742">
        <f>IMAGE("https://cf.shopee.tw/file/sg-11134201-22120-5bmqrjd2nokvef_tn")</f>
        <v/>
      </c>
    </row>
    <row r="5743">
      <c r="A5743" t="inlineStr">
        <is>
          <t>19866753890</t>
        </is>
      </c>
      <c r="B5743" t="inlineStr">
        <is>
          <t>隔日到貨🔥 ins 學院風 條紋中筒襪 S36 長襪 韓風熱銷 女襪 長襪 情侶襪 襪子 可愛襪 運動襪 秋冬襪</t>
        </is>
      </c>
      <c r="C5743">
        <f>IMAGE("https://cf.shopee.tw/file/sg-11134201-22120-ci1zvaeznokveb_tn")</f>
        <v/>
      </c>
      <c r="D5743" t="inlineStr">
        <is>
          <t>白黑</t>
        </is>
      </c>
      <c r="E5743" t="inlineStr"/>
      <c r="F5743">
        <f>IMAGE("https://cf.shopee.tw/file/sg-11134201-22120-brcg3gi2nokv57_tn")</f>
        <v/>
      </c>
    </row>
    <row r="5744">
      <c r="A5744" t="inlineStr">
        <is>
          <t>19866753890</t>
        </is>
      </c>
      <c r="B5744" t="inlineStr">
        <is>
          <t>隔日到貨🔥 ins 學院風 條紋中筒襪 S36 長襪 韓風熱銷 女襪 長襪 情侶襪 襪子 可愛襪 運動襪 秋冬襪</t>
        </is>
      </c>
      <c r="C5744">
        <f>IMAGE("https://cf.shopee.tw/file/sg-11134201-22120-ci1zvaeznokveb_tn")</f>
        <v/>
      </c>
      <c r="D5744" t="inlineStr">
        <is>
          <t>白粉</t>
        </is>
      </c>
      <c r="E5744" t="inlineStr"/>
      <c r="F5744">
        <f>IMAGE("https://cf.shopee.tw/file/sg-11134201-22120-u4kfy9k2nokv2e_tn")</f>
        <v/>
      </c>
    </row>
    <row r="5745">
      <c r="A5745" t="inlineStr">
        <is>
          <t>19866753890</t>
        </is>
      </c>
      <c r="B5745" t="inlineStr">
        <is>
          <t>隔日到貨🔥 ins 學院風 條紋中筒襪 S36 長襪 韓風熱銷 女襪 長襪 情侶襪 襪子 可愛襪 運動襪 秋冬襪</t>
        </is>
      </c>
      <c r="C5745">
        <f>IMAGE("https://cf.shopee.tw/file/sg-11134201-22120-ci1zvaeznokveb_tn")</f>
        <v/>
      </c>
      <c r="D5745" t="inlineStr">
        <is>
          <t>黑色</t>
        </is>
      </c>
      <c r="E5745" t="inlineStr"/>
      <c r="F5745">
        <f>IMAGE("https://cf.shopee.tw/file/sg-11134201-22120-9yymctn2nokvca_tn")</f>
        <v/>
      </c>
    </row>
    <row r="5746">
      <c r="A5746" t="inlineStr">
        <is>
          <t>3965022782</t>
        </is>
      </c>
      <c r="B5746" t="inlineStr">
        <is>
          <t>隔日到貨🔥 ins 小熊刺繡長襪 S32 長襪 韓風熱銷 女襪 長襪 交換禮物 情侶襪 襪子 可愛襪 運動襪 秋冬襪</t>
        </is>
      </c>
      <c r="C5746">
        <f>IMAGE("https://cf.shopee.tw/file/a2732cd295ce3f79d645757b1fb536a0_tn")</f>
        <v/>
      </c>
      <c r="D5746" t="inlineStr">
        <is>
          <t>黑色小熊</t>
        </is>
      </c>
      <c r="E5746" t="inlineStr"/>
      <c r="F5746">
        <f>IMAGE("https://cf.shopee.tw/file/ee7b676d1db6001b0eb8206a0f7c8396_tn")</f>
        <v/>
      </c>
    </row>
    <row r="5747">
      <c r="A5747" t="inlineStr">
        <is>
          <t>3965022782</t>
        </is>
      </c>
      <c r="B5747" t="inlineStr">
        <is>
          <t>隔日到貨🔥 ins 小熊刺繡長襪 S32 長襪 韓風熱銷 女襪 長襪 交換禮物 情侶襪 襪子 可愛襪 運動襪 秋冬襪</t>
        </is>
      </c>
      <c r="C5747">
        <f>IMAGE("https://cf.shopee.tw/file/a2732cd295ce3f79d645757b1fb536a0_tn")</f>
        <v/>
      </c>
      <c r="D5747" t="inlineStr">
        <is>
          <t>白色小男孩</t>
        </is>
      </c>
      <c r="E5747" t="inlineStr"/>
      <c r="F5747">
        <f>IMAGE("https://cf.shopee.tw/file/b166340ae9d333187e8a05a3541c758d_tn")</f>
        <v/>
      </c>
    </row>
    <row r="5748">
      <c r="A5748" t="inlineStr">
        <is>
          <t>3965022782</t>
        </is>
      </c>
      <c r="B5748" t="inlineStr">
        <is>
          <t>隔日到貨🔥 ins 小熊刺繡長襪 S32 長襪 韓風熱銷 女襪 長襪 交換禮物 情侶襪 襪子 可愛襪 運動襪 秋冬襪</t>
        </is>
      </c>
      <c r="C5748">
        <f>IMAGE("https://cf.shopee.tw/file/a2732cd295ce3f79d645757b1fb536a0_tn")</f>
        <v/>
      </c>
      <c r="D5748" t="inlineStr">
        <is>
          <t>黑長襪</t>
        </is>
      </c>
      <c r="E5748" t="inlineStr"/>
      <c r="F5748">
        <f>IMAGE("https://cf.shopee.tw/file/da8b06b9b32dadfaea6f1589157a2cde_tn")</f>
        <v/>
      </c>
    </row>
    <row r="5749">
      <c r="A5749" t="inlineStr">
        <is>
          <t>3965022782</t>
        </is>
      </c>
      <c r="B5749" t="inlineStr">
        <is>
          <t>隔日到貨🔥 ins 小熊刺繡長襪 S32 長襪 韓風熱銷 女襪 長襪 交換禮物 情侶襪 襪子 可愛襪 運動襪 秋冬襪</t>
        </is>
      </c>
      <c r="C5749">
        <f>IMAGE("https://cf.shopee.tw/file/a2732cd295ce3f79d645757b1fb536a0_tn")</f>
        <v/>
      </c>
      <c r="D5749" t="inlineStr">
        <is>
          <t>白長襪</t>
        </is>
      </c>
      <c r="E5749" t="inlineStr"/>
      <c r="F5749">
        <f>IMAGE("https://cf.shopee.tw/file/fffe254cb5d6003078f08f097e0c5256_tn")</f>
        <v/>
      </c>
    </row>
    <row r="5750">
      <c r="A5750" t="inlineStr">
        <is>
          <t>3965022782</t>
        </is>
      </c>
      <c r="B5750" t="inlineStr">
        <is>
          <t>隔日到貨🔥 ins 小熊刺繡長襪 S32 長襪 韓風熱銷 女襪 長襪 交換禮物 情侶襪 襪子 可愛襪 運動襪 秋冬襪</t>
        </is>
      </c>
      <c r="C5750">
        <f>IMAGE("https://cf.shopee.tw/file/a2732cd295ce3f79d645757b1fb536a0_tn")</f>
        <v/>
      </c>
      <c r="D5750" t="inlineStr">
        <is>
          <t>白色小熊</t>
        </is>
      </c>
      <c r="E5750" t="inlineStr"/>
      <c r="F5750">
        <f>IMAGE("https://cf.shopee.tw/file/3337119d323fedda280fa3a3fa5bcd96_tn")</f>
        <v/>
      </c>
    </row>
    <row r="5751">
      <c r="A5751" t="inlineStr">
        <is>
          <t>3965022782</t>
        </is>
      </c>
      <c r="B5751" t="inlineStr">
        <is>
          <t>隔日到貨🔥 ins 小熊刺繡長襪 S32 長襪 韓風熱銷 女襪 長襪 交換禮物 情侶襪 襪子 可愛襪 運動襪 秋冬襪</t>
        </is>
      </c>
      <c r="C5751">
        <f>IMAGE("https://cf.shopee.tw/file/a2732cd295ce3f79d645757b1fb536a0_tn")</f>
        <v/>
      </c>
      <c r="D5751" t="inlineStr">
        <is>
          <t>黑色小男孩</t>
        </is>
      </c>
      <c r="E5751" t="inlineStr"/>
      <c r="F5751">
        <f>IMAGE("https://cf.shopee.tw/file/c5fc2017de698e117572d1397b444aa2_tn")</f>
        <v/>
      </c>
    </row>
    <row r="5752">
      <c r="A5752" t="inlineStr">
        <is>
          <t>8448063514</t>
        </is>
      </c>
      <c r="B5752" t="inlineStr">
        <is>
          <t>隔日到貨🔥 船襪 短襪 襪子 �ins 日系 撞色 棉襪 好看襪子� �S19 襪子女 格子 白襪 女襪 女生襪子</t>
        </is>
      </c>
      <c r="C5752">
        <f>IMAGE("https://cf.shopee.tw/file/095842d6c3d5cfb9f8d2d1ecfd417fd1_tn")</f>
        <v/>
      </c>
      <c r="D5752" t="inlineStr">
        <is>
          <t>1.卡其格子</t>
        </is>
      </c>
      <c r="E5752" t="inlineStr"/>
      <c r="F5752">
        <f>IMAGE("https://cf.shopee.tw/file/6c2623da4b3dc4a3df4845a9610355d6_tn")</f>
        <v/>
      </c>
    </row>
    <row r="5753">
      <c r="A5753" t="inlineStr">
        <is>
          <t>8448063514</t>
        </is>
      </c>
      <c r="B5753" t="inlineStr">
        <is>
          <t>隔日到貨🔥 船襪 短襪 襪子 �ins 日系 撞色 棉襪 好看襪子� �S19 襪子女 格子 白襪 女襪 女生襪子</t>
        </is>
      </c>
      <c r="C5753">
        <f>IMAGE("https://cf.shopee.tw/file/095842d6c3d5cfb9f8d2d1ecfd417fd1_tn")</f>
        <v/>
      </c>
      <c r="D5753" t="inlineStr">
        <is>
          <t>6.藍色條紋</t>
        </is>
      </c>
      <c r="E5753" t="inlineStr"/>
      <c r="F5753">
        <f>IMAGE("https://cf.shopee.tw/file/9c59ddec892f0ef7a48d527a248ea68d_tn")</f>
        <v/>
      </c>
    </row>
    <row r="5754">
      <c r="A5754" t="inlineStr">
        <is>
          <t>8448063514</t>
        </is>
      </c>
      <c r="B5754" t="inlineStr">
        <is>
          <t>隔日到貨🔥 船襪 短襪 襪子 �ins 日系 撞色 棉襪 好看襪子� �S19 襪子女 格子 白襪 女襪 女生襪子</t>
        </is>
      </c>
      <c r="C5754">
        <f>IMAGE("https://cf.shopee.tw/file/095842d6c3d5cfb9f8d2d1ecfd417fd1_tn")</f>
        <v/>
      </c>
      <c r="D5754" t="inlineStr">
        <is>
          <t>2.卡其條紋</t>
        </is>
      </c>
      <c r="E5754" t="inlineStr"/>
      <c r="F5754">
        <f>IMAGE("https://cf.shopee.tw/file/c695977ea5d56d355115be08253b4290_tn")</f>
        <v/>
      </c>
    </row>
    <row r="5755">
      <c r="A5755" t="inlineStr">
        <is>
          <t>8448063514</t>
        </is>
      </c>
      <c r="B5755" t="inlineStr">
        <is>
          <t>隔日到貨🔥 船襪 短襪 襪子 �ins 日系 撞色 棉襪 好看襪子� �S19 襪子女 格子 白襪 女襪 女生襪子</t>
        </is>
      </c>
      <c r="C5755">
        <f>IMAGE("https://cf.shopee.tw/file/095842d6c3d5cfb9f8d2d1ecfd417fd1_tn")</f>
        <v/>
      </c>
      <c r="D5755" t="inlineStr">
        <is>
          <t>3.白色底</t>
        </is>
      </c>
      <c r="E5755" t="inlineStr"/>
      <c r="F5755">
        <f>IMAGE("https://cf.shopee.tw/file/99d144c576aa6d00fb3dbf7eb46bec13_tn")</f>
        <v/>
      </c>
    </row>
    <row r="5756">
      <c r="A5756" t="inlineStr">
        <is>
          <t>8448063514</t>
        </is>
      </c>
      <c r="B5756" t="inlineStr">
        <is>
          <t>隔日到貨🔥 船襪 短襪 襪子 �ins 日系 撞色 棉襪 好看襪子� �S19 襪子女 格子 白襪 女襪 女生襪子</t>
        </is>
      </c>
      <c r="C5756">
        <f>IMAGE("https://cf.shopee.tw/file/095842d6c3d5cfb9f8d2d1ecfd417fd1_tn")</f>
        <v/>
      </c>
      <c r="D5756" t="inlineStr">
        <is>
          <t>4.藍色底</t>
        </is>
      </c>
      <c r="E5756" t="inlineStr"/>
      <c r="F5756">
        <f>IMAGE("https://cf.shopee.tw/file/fff65743436572d460e21d2d6d0d2112_tn")</f>
        <v/>
      </c>
    </row>
    <row r="5757">
      <c r="A5757" t="inlineStr">
        <is>
          <t>8448063514</t>
        </is>
      </c>
      <c r="B5757" t="inlineStr">
        <is>
          <t>隔日到貨🔥 船襪 短襪 襪子 �ins 日系 撞色 棉襪 好看襪子� �S19 襪子女 格子 白襪 女襪 女生襪子</t>
        </is>
      </c>
      <c r="C5757">
        <f>IMAGE("https://cf.shopee.tw/file/095842d6c3d5cfb9f8d2d1ecfd417fd1_tn")</f>
        <v/>
      </c>
      <c r="D5757" t="inlineStr">
        <is>
          <t>5.藍色格子</t>
        </is>
      </c>
      <c r="E5757" t="inlineStr"/>
      <c r="F5757">
        <f>IMAGE("https://cf.shopee.tw/file/242ef48f502481dadcdb2253aae99f31_tn")</f>
        <v/>
      </c>
    </row>
    <row r="5758">
      <c r="A5758" t="inlineStr">
        <is>
          <t>21473719650</t>
        </is>
      </c>
      <c r="B5758" t="inlineStr">
        <is>
          <t>隔日到貨🔥 耳機清潔筆 多功能鍵盤清潔刷 除塵刷 鍵盤刷 電腦清潔刷 縫隙刷 適用 AirPods</t>
        </is>
      </c>
      <c r="C5758">
        <f>IMAGE("https://cf.shopee.tw/file/tw-11134207-23020-ij12ccminqnv5d_tn")</f>
        <v/>
      </c>
      <c r="D5758" t="inlineStr">
        <is>
          <t>全白套件組</t>
        </is>
      </c>
      <c r="E5758" t="inlineStr"/>
      <c r="F5758">
        <f>IMAGE("https://cf.shopee.tw/file/tw-11134207-23020-yrh0tn62konv11_tn")</f>
        <v/>
      </c>
    </row>
    <row r="5759">
      <c r="A5759" t="inlineStr">
        <is>
          <t>21473719650</t>
        </is>
      </c>
      <c r="B5759" t="inlineStr">
        <is>
          <t>隔日到貨🔥 耳機清潔筆 多功能鍵盤清潔刷 除塵刷 鍵盤刷 電腦清潔刷 縫隙刷 適用 AirPods</t>
        </is>
      </c>
      <c r="C5759">
        <f>IMAGE("https://cf.shopee.tw/file/tw-11134207-23020-ij12ccminqnv5d_tn")</f>
        <v/>
      </c>
      <c r="D5759" t="inlineStr">
        <is>
          <t>白紅套件組</t>
        </is>
      </c>
      <c r="E5759" t="inlineStr"/>
      <c r="F5759">
        <f>IMAGE("https://cf.shopee.tw/file/tw-11134207-23030-pfz5bt10adovec_tn")</f>
        <v/>
      </c>
    </row>
    <row r="5760">
      <c r="A5760" t="inlineStr">
        <is>
          <t>10428392809</t>
        </is>
      </c>
      <c r="B5760" t="inlineStr">
        <is>
          <t>隔日到貨🔥 Airpods 1代 2代 3代 pro 軟殼 保護殼 防摔殼 A11 附掛鉤 保護套 耳機殼 耳機套</t>
        </is>
      </c>
      <c r="C5760">
        <f>IMAGE("https://cf.shopee.tw/file/90eda86ae765f9a93fcceaf170d04467_tn")</f>
        <v/>
      </c>
      <c r="D5760" t="inlineStr">
        <is>
          <t>黃色 Airpods Pro1/Pro2</t>
        </is>
      </c>
      <c r="E5760" t="inlineStr"/>
      <c r="F5760">
        <f>IMAGE("https://cf.shopee.tw/file/9b35eb959ce53da4d10643fd68da61ca_tn")</f>
        <v/>
      </c>
    </row>
    <row r="5761">
      <c r="A5761" t="inlineStr">
        <is>
          <t>10428392809</t>
        </is>
      </c>
      <c r="B5761" t="inlineStr">
        <is>
          <t>隔日到貨🔥 Airpods 1代 2代 3代 pro 軟殼 保護殼 防摔殼 A11 附掛鉤 保護套 耳機殼 耳機套</t>
        </is>
      </c>
      <c r="C5761">
        <f>IMAGE("https://cf.shopee.tw/file/90eda86ae765f9a93fcceaf170d04467_tn")</f>
        <v/>
      </c>
      <c r="D5761" t="inlineStr">
        <is>
          <t>黑色 Airpods [3代］</t>
        </is>
      </c>
      <c r="E5761" t="inlineStr"/>
      <c r="F5761">
        <f>IMAGE("https://cf.shopee.tw/file/783a2cb1b4d04fb687f1f6730525310c_tn")</f>
        <v/>
      </c>
    </row>
    <row r="5762">
      <c r="A5762" t="inlineStr">
        <is>
          <t>10428392809</t>
        </is>
      </c>
      <c r="B5762" t="inlineStr">
        <is>
          <t>隔日到貨🔥 Airpods 1代 2代 3代 pro 軟殼 保護殼 防摔殼 A11 附掛鉤 保護套 耳機殼 耳機套</t>
        </is>
      </c>
      <c r="C5762">
        <f>IMAGE("https://cf.shopee.tw/file/90eda86ae765f9a93fcceaf170d04467_tn")</f>
        <v/>
      </c>
      <c r="D5762" t="inlineStr">
        <is>
          <t>藍色 Airpods [3代］</t>
        </is>
      </c>
      <c r="E5762" t="inlineStr"/>
      <c r="F5762">
        <f>IMAGE("https://cf.shopee.tw/file/b9006f644438a96bb1fb7dad6ba418f6_tn")</f>
        <v/>
      </c>
    </row>
    <row r="5763">
      <c r="A5763" t="inlineStr">
        <is>
          <t>10428392809</t>
        </is>
      </c>
      <c r="B5763" t="inlineStr">
        <is>
          <t>隔日到貨🔥 Airpods 1代 2代 3代 pro 軟殼 保護殼 防摔殼 A11 附掛鉤 保護套 耳機殼 耳機套</t>
        </is>
      </c>
      <c r="C5763">
        <f>IMAGE("https://cf.shopee.tw/file/90eda86ae765f9a93fcceaf170d04467_tn")</f>
        <v/>
      </c>
      <c r="D5763" t="inlineStr">
        <is>
          <t>黑色 AirPods 1/2代</t>
        </is>
      </c>
      <c r="E5763" t="inlineStr"/>
      <c r="F5763">
        <f>IMAGE("https://cf.shopee.tw/file/3e1a7f53cda75a6faa54c27d7a38f5b7_tn")</f>
        <v/>
      </c>
    </row>
    <row r="5764">
      <c r="A5764" t="inlineStr">
        <is>
          <t>10428392809</t>
        </is>
      </c>
      <c r="B5764" t="inlineStr">
        <is>
          <t>隔日到貨🔥 Airpods 1代 2代 3代 pro 軟殼 保護殼 防摔殼 A11 附掛鉤 保護套 耳機殼 耳機套</t>
        </is>
      </c>
      <c r="C5764">
        <f>IMAGE("https://cf.shopee.tw/file/90eda86ae765f9a93fcceaf170d04467_tn")</f>
        <v/>
      </c>
      <c r="D5764" t="inlineStr">
        <is>
          <t>黑色 AirPods Pro1/Pro2</t>
        </is>
      </c>
      <c r="E5764" t="inlineStr"/>
      <c r="F5764">
        <f>IMAGE("https://cf.shopee.tw/file/84a41f5b257871a0412d4fbb1607f593_tn")</f>
        <v/>
      </c>
    </row>
    <row r="5765">
      <c r="A5765" t="inlineStr">
        <is>
          <t>10428392809</t>
        </is>
      </c>
      <c r="B5765" t="inlineStr">
        <is>
          <t>隔日到貨🔥 Airpods 1代 2代 3代 pro 軟殼 保護殼 防摔殼 A11 附掛鉤 保護套 耳機殼 耳機套</t>
        </is>
      </c>
      <c r="C5765">
        <f>IMAGE("https://cf.shopee.tw/file/90eda86ae765f9a93fcceaf170d04467_tn")</f>
        <v/>
      </c>
      <c r="D5765" t="inlineStr">
        <is>
          <t>藍色 Airpods 1/2代</t>
        </is>
      </c>
      <c r="E5765" t="inlineStr"/>
      <c r="F5765">
        <f>IMAGE("https://cf.shopee.tw/file/095ee2eec112bba0b61e9219c0d940df_tn")</f>
        <v/>
      </c>
    </row>
    <row r="5766">
      <c r="A5766" t="inlineStr">
        <is>
          <t>10428392809</t>
        </is>
      </c>
      <c r="B5766" t="inlineStr">
        <is>
          <t>隔日到貨🔥 Airpods 1代 2代 3代 pro 軟殼 保護殼 防摔殼 A11 附掛鉤 保護套 耳機殼 耳機套</t>
        </is>
      </c>
      <c r="C5766">
        <f>IMAGE("https://cf.shopee.tw/file/90eda86ae765f9a93fcceaf170d04467_tn")</f>
        <v/>
      </c>
      <c r="D5766" t="inlineStr">
        <is>
          <t>藍色 Airpods Pro1/Pro2</t>
        </is>
      </c>
      <c r="E5766" t="inlineStr"/>
      <c r="F5766">
        <f>IMAGE("https://cf.shopee.tw/file/66aa49bd124fb16c751560f146583299_tn")</f>
        <v/>
      </c>
    </row>
    <row r="5767">
      <c r="A5767" t="inlineStr">
        <is>
          <t>10428392809</t>
        </is>
      </c>
      <c r="B5767" t="inlineStr">
        <is>
          <t>隔日到貨🔥 Airpods 1代 2代 3代 pro 軟殼 保護殼 防摔殼 A11 附掛鉤 保護套 耳機殼 耳機套</t>
        </is>
      </c>
      <c r="C5767">
        <f>IMAGE("https://cf.shopee.tw/file/90eda86ae765f9a93fcceaf170d04467_tn")</f>
        <v/>
      </c>
      <c r="D5767" t="inlineStr">
        <is>
          <t>綠色 Airpods 1/2代</t>
        </is>
      </c>
      <c r="E5767" t="inlineStr"/>
      <c r="F5767">
        <f>IMAGE("https://cf.shopee.tw/file/0f573e3534d316bce8cd560bab43116a_tn")</f>
        <v/>
      </c>
    </row>
    <row r="5768">
      <c r="A5768" t="inlineStr">
        <is>
          <t>10428392809</t>
        </is>
      </c>
      <c r="B5768" t="inlineStr">
        <is>
          <t>隔日到貨🔥 Airpods 1代 2代 3代 pro 軟殼 保護殼 防摔殼 A11 附掛鉤 保護套 耳機殼 耳機套</t>
        </is>
      </c>
      <c r="C5768">
        <f>IMAGE("https://cf.shopee.tw/file/90eda86ae765f9a93fcceaf170d04467_tn")</f>
        <v/>
      </c>
      <c r="D5768" t="inlineStr">
        <is>
          <t>綠色 Airpods Pro1/Pro2</t>
        </is>
      </c>
      <c r="E5768" t="inlineStr"/>
      <c r="F5768">
        <f>IMAGE("https://cf.shopee.tw/file/bb62afec5bb27d383b2a7ba29fa957b6_tn")</f>
        <v/>
      </c>
    </row>
    <row r="5769">
      <c r="A5769" t="inlineStr">
        <is>
          <t>10428392809</t>
        </is>
      </c>
      <c r="B5769" t="inlineStr">
        <is>
          <t>隔日到貨🔥 Airpods 1代 2代 3代 pro 軟殼 保護殼 防摔殼 A11 附掛鉤 保護套 耳機殼 耳機套</t>
        </is>
      </c>
      <c r="C5769">
        <f>IMAGE("https://cf.shopee.tw/file/90eda86ae765f9a93fcceaf170d04467_tn")</f>
        <v/>
      </c>
      <c r="D5769" t="inlineStr">
        <is>
          <t>紅色 Airpods 1/2代</t>
        </is>
      </c>
      <c r="E5769" t="inlineStr"/>
      <c r="F5769">
        <f>IMAGE("https://cf.shopee.tw/file/1f0bcaab746d17ad50ec7a9fc006b27c_tn")</f>
        <v/>
      </c>
    </row>
    <row r="5770">
      <c r="A5770" t="inlineStr">
        <is>
          <t>10428392809</t>
        </is>
      </c>
      <c r="B5770" t="inlineStr">
        <is>
          <t>隔日到貨🔥 Airpods 1代 2代 3代 pro 軟殼 保護殼 防摔殼 A11 附掛鉤 保護套 耳機殼 耳機套</t>
        </is>
      </c>
      <c r="C5770">
        <f>IMAGE("https://cf.shopee.tw/file/90eda86ae765f9a93fcceaf170d04467_tn")</f>
        <v/>
      </c>
      <c r="D5770" t="inlineStr">
        <is>
          <t>紅色 Airpods Pro1/Pro2</t>
        </is>
      </c>
      <c r="E5770" t="inlineStr"/>
      <c r="F5770">
        <f>IMAGE("https://cf.shopee.tw/file/08410a729849492abc19b7e620d89072_tn")</f>
        <v/>
      </c>
    </row>
    <row r="5771">
      <c r="A5771" t="inlineStr">
        <is>
          <t>10428392809</t>
        </is>
      </c>
      <c r="B5771" t="inlineStr">
        <is>
          <t>隔日到貨🔥 Airpods 1代 2代 3代 pro 軟殼 保護殼 防摔殼 A11 附掛鉤 保護套 耳機殼 耳機套</t>
        </is>
      </c>
      <c r="C5771">
        <f>IMAGE("https://cf.shopee.tw/file/90eda86ae765f9a93fcceaf170d04467_tn")</f>
        <v/>
      </c>
      <c r="D5771" t="inlineStr">
        <is>
          <t>黃色 Airpods 1/2代</t>
        </is>
      </c>
      <c r="E5771" t="inlineStr">
        <is>
          <t>94240108375</t>
        </is>
      </c>
      <c r="F5771">
        <f>IMAGE("https://cf.shopee.tw/file/56960b1eeecbc5bd69f3475e7ad2bd7c_tn")</f>
        <v/>
      </c>
    </row>
    <row r="5772">
      <c r="A5772" t="inlineStr">
        <is>
          <t>10428392809</t>
        </is>
      </c>
      <c r="B5772" t="inlineStr">
        <is>
          <t>隔日到貨🔥 Airpods 1代 2代 3代 pro 軟殼 保護殼 防摔殼 A11 附掛鉤 保護套 耳機殼 耳機套</t>
        </is>
      </c>
      <c r="C5772">
        <f>IMAGE("https://cf.shopee.tw/file/90eda86ae765f9a93fcceaf170d04467_tn")</f>
        <v/>
      </c>
      <c r="D5772" t="inlineStr">
        <is>
          <t>綠色 Airpods [3代］</t>
        </is>
      </c>
      <c r="E5772" t="inlineStr"/>
      <c r="F5772">
        <f>IMAGE("https://cf.shopee.tw/file/4d4a6973d75c0462b247f848d718f400_tn")</f>
        <v/>
      </c>
    </row>
    <row r="5773">
      <c r="A5773" t="inlineStr">
        <is>
          <t>10428392809</t>
        </is>
      </c>
      <c r="B5773" t="inlineStr">
        <is>
          <t>隔日到貨🔥 Airpods 1代 2代 3代 pro 軟殼 保護殼 防摔殼 A11 附掛鉤 保護套 耳機殼 耳機套</t>
        </is>
      </c>
      <c r="C5773">
        <f>IMAGE("https://cf.shopee.tw/file/90eda86ae765f9a93fcceaf170d04467_tn")</f>
        <v/>
      </c>
      <c r="D5773" t="inlineStr">
        <is>
          <t>紅色 Airpods [3代］</t>
        </is>
      </c>
      <c r="E5773" t="inlineStr">
        <is>
          <t>58313552188</t>
        </is>
      </c>
      <c r="F5773">
        <f>IMAGE("https://cf.shopee.tw/file/06cecd71b9a4591a7b014a6d4b344f11_tn")</f>
        <v/>
      </c>
    </row>
    <row r="5774">
      <c r="A5774" t="inlineStr">
        <is>
          <t>10428392809</t>
        </is>
      </c>
      <c r="B5774" t="inlineStr">
        <is>
          <t>隔日到貨🔥 Airpods 1代 2代 3代 pro 軟殼 保護殼 防摔殼 A11 附掛鉤 保護套 耳機殼 耳機套</t>
        </is>
      </c>
      <c r="C5774">
        <f>IMAGE("https://cf.shopee.tw/file/90eda86ae765f9a93fcceaf170d04467_tn")</f>
        <v/>
      </c>
      <c r="D5774" t="inlineStr">
        <is>
          <t>黃色 Airpods [3代］</t>
        </is>
      </c>
      <c r="E5774" t="inlineStr"/>
      <c r="F5774">
        <f>IMAGE("https://cf.shopee.tw/file/e3948ba6a3ba7c927f3b35718f2fb104_tn")</f>
        <v/>
      </c>
    </row>
    <row r="5775">
      <c r="A5775" t="inlineStr">
        <is>
          <t>28905562268</t>
        </is>
      </c>
      <c r="B5775" t="inlineStr">
        <is>
          <t>隔日到貨🔥 夏季必備 純色冰絲袖套 少女感色系 涼感 防曬 防紫外線 運動外出必備 穿戴舒適 香氛 百搭套指袖套</t>
        </is>
      </c>
      <c r="C5775">
        <f>IMAGE("https://cf.shopee.tw/file/tw-11134207-7r98y-lxtu6nbu4fn41b_tn")</f>
        <v/>
      </c>
      <c r="D5775" t="inlineStr">
        <is>
          <t>白</t>
        </is>
      </c>
      <c r="E5775" t="inlineStr"/>
      <c r="F5775">
        <f>IMAGE("https://cf.shopee.tw/file/tw-11134207-7r98r-lxtu6nbu5u7k54_tn")</f>
        <v/>
      </c>
    </row>
    <row r="5776">
      <c r="A5776" t="inlineStr">
        <is>
          <t>28905562268</t>
        </is>
      </c>
      <c r="B5776" t="inlineStr">
        <is>
          <t>隔日到貨🔥 夏季必備 純色冰絲袖套 少女感色系 涼感 防曬 防紫外線 運動外出必備 穿戴舒適 香氛 百搭套指袖套</t>
        </is>
      </c>
      <c r="C5776">
        <f>IMAGE("https://cf.shopee.tw/file/tw-11134207-7r98y-lxtu6nbu4fn41b_tn")</f>
        <v/>
      </c>
      <c r="D5776" t="inlineStr">
        <is>
          <t>灰</t>
        </is>
      </c>
      <c r="E5776" t="inlineStr"/>
      <c r="F5776">
        <f>IMAGE("https://cf.shopee.tw/file/tw-11134207-7r98p-lxtu6nbtrspy42_tn")</f>
        <v/>
      </c>
    </row>
    <row r="5777">
      <c r="A5777" t="inlineStr">
        <is>
          <t>28905562268</t>
        </is>
      </c>
      <c r="B5777" t="inlineStr">
        <is>
          <t>隔日到貨🔥 夏季必備 純色冰絲袖套 少女感色系 涼感 防曬 防紫外線 運動外出必備 穿戴舒適 香氛 百搭套指袖套</t>
        </is>
      </c>
      <c r="C5777">
        <f>IMAGE("https://cf.shopee.tw/file/tw-11134207-7r98y-lxtu6nbu4fn41b_tn")</f>
        <v/>
      </c>
      <c r="D5777" t="inlineStr">
        <is>
          <t>湖綠</t>
        </is>
      </c>
      <c r="E5777" t="inlineStr"/>
      <c r="F5777">
        <f>IMAGE("https://cf.shopee.tw/file/tw-11134207-7r991-lxtu6nbu78yu71_tn")</f>
        <v/>
      </c>
    </row>
    <row r="5778">
      <c r="A5778" t="inlineStr">
        <is>
          <t>28905562268</t>
        </is>
      </c>
      <c r="B5778" t="inlineStr">
        <is>
          <t>隔日到貨🔥 夏季必備 純色冰絲袖套 少女感色系 涼感 防曬 防紫外線 運動外出必備 穿戴舒適 香氛 百搭套指袖套</t>
        </is>
      </c>
      <c r="C5778">
        <f>IMAGE("https://cf.shopee.tw/file/tw-11134207-7r98y-lxtu6nbu4fn41b_tn")</f>
        <v/>
      </c>
      <c r="D5778" t="inlineStr">
        <is>
          <t>牛油果綠</t>
        </is>
      </c>
      <c r="E5778" t="inlineStr"/>
      <c r="F5778">
        <f>IMAGE("https://cf.shopee.tw/file/tw-11134207-7r98w-lxtu6nbulagg16_tn")</f>
        <v/>
      </c>
    </row>
    <row r="5779">
      <c r="A5779" t="inlineStr">
        <is>
          <t>28905562268</t>
        </is>
      </c>
      <c r="B5779" t="inlineStr">
        <is>
          <t>隔日到貨🔥 夏季必備 純色冰絲袖套 少女感色系 涼感 防曬 防紫外線 運動外出必備 穿戴舒適 香氛 百搭套指袖套</t>
        </is>
      </c>
      <c r="C5779">
        <f>IMAGE("https://cf.shopee.tw/file/tw-11134207-7r98y-lxtu6nbu4fn41b_tn")</f>
        <v/>
      </c>
      <c r="D5779" t="inlineStr">
        <is>
          <t>淺粉</t>
        </is>
      </c>
      <c r="E5779" t="inlineStr"/>
      <c r="F5779">
        <f>IMAGE("https://cf.shopee.tw/file/tw-11134207-7r98v-lxtu6nbump7q58_tn")</f>
        <v/>
      </c>
    </row>
    <row r="5780">
      <c r="A5780" t="inlineStr">
        <is>
          <t>28905562268</t>
        </is>
      </c>
      <c r="B5780" t="inlineStr">
        <is>
          <t>隔日到貨🔥 夏季必備 純色冰絲袖套 少女感色系 涼感 防曬 防紫外線 運動外出必備 穿戴舒適 香氛 百搭套指袖套</t>
        </is>
      </c>
      <c r="C5780">
        <f>IMAGE("https://cf.shopee.tw/file/tw-11134207-7r98y-lxtu6nbu4fn41b_tn")</f>
        <v/>
      </c>
      <c r="D5780" t="inlineStr">
        <is>
          <t>奶黃</t>
        </is>
      </c>
      <c r="E5780" t="inlineStr"/>
      <c r="F5780">
        <f>IMAGE("https://cf.shopee.tw/file/tw-11134207-7r98p-lxtu6nbv0qpc5d_tn")</f>
        <v/>
      </c>
    </row>
    <row r="5781">
      <c r="A5781" t="inlineStr">
        <is>
          <t>28905562268</t>
        </is>
      </c>
      <c r="B5781" t="inlineStr">
        <is>
          <t>隔日到貨🔥 夏季必備 純色冰絲袖套 少女感色系 涼感 防曬 防紫外線 運動外出必備 穿戴舒適 香氛 百搭套指袖套</t>
        </is>
      </c>
      <c r="C5781">
        <f>IMAGE("https://cf.shopee.tw/file/tw-11134207-7r98y-lxtu6nbu4fn41b_tn")</f>
        <v/>
      </c>
      <c r="D5781" t="inlineStr">
        <is>
          <t>黑</t>
        </is>
      </c>
      <c r="E5781" t="inlineStr"/>
      <c r="F5781">
        <f>IMAGE("https://cf.shopee.tw/file/tw-11134207-7r98p-lxtu6nbtqdyo06_tn")</f>
        <v/>
      </c>
    </row>
    <row r="5782">
      <c r="A5782" t="inlineStr">
        <is>
          <t>18427126030</t>
        </is>
      </c>
      <c r="B5782" t="inlineStr">
        <is>
          <t>隔日到貨🔥 相機保護殼 Airpods保護殼 1 2 3 pro pro2 A69 附掛鉤 軟殼 防摔殼 耳機殼</t>
        </is>
      </c>
      <c r="C5782">
        <f>IMAGE("https://cf.shopee.tw/file/99400f3b94676898604df7ede4690149_tn")</f>
        <v/>
      </c>
      <c r="D5782" t="inlineStr">
        <is>
          <t>相機款,Pro1代/Pro2代 (通用）</t>
        </is>
      </c>
      <c r="E5782" t="inlineStr"/>
      <c r="F5782">
        <f>IMAGE("https://cf.shopee.tw/file/ceb932f9e8ea7dbd9f5422c987970ffd_tn")</f>
        <v/>
      </c>
    </row>
    <row r="5783">
      <c r="A5783" t="inlineStr">
        <is>
          <t>18427126030</t>
        </is>
      </c>
      <c r="B5783" t="inlineStr">
        <is>
          <t>隔日到貨🔥 相機保護殼 Airpods保護殼 1 2 3 pro pro2 A69 附掛鉤 軟殼 防摔殼 耳機殼</t>
        </is>
      </c>
      <c r="C5783">
        <f>IMAGE("https://cf.shopee.tw/file/99400f3b94676898604df7ede4690149_tn")</f>
        <v/>
      </c>
      <c r="D5783" t="inlineStr">
        <is>
          <t>相機款,1代 / 2代</t>
        </is>
      </c>
      <c r="E5783" t="inlineStr">
        <is>
          <t>107126393467</t>
        </is>
      </c>
      <c r="F5783">
        <f>IMAGE("https://cf.shopee.tw/file/ceb932f9e8ea7dbd9f5422c987970ffd_tn")</f>
        <v/>
      </c>
    </row>
    <row r="5784">
      <c r="A5784" t="inlineStr">
        <is>
          <t>18427126030</t>
        </is>
      </c>
      <c r="B5784" t="inlineStr">
        <is>
          <t>隔日到貨🔥 相機保護殼 Airpods保護殼 1 2 3 pro pro2 A69 附掛鉤 軟殼 防摔殼 耳機殼</t>
        </is>
      </c>
      <c r="C5784">
        <f>IMAGE("https://cf.shopee.tw/file/99400f3b94676898604df7ede4690149_tn")</f>
        <v/>
      </c>
      <c r="D5784" t="inlineStr">
        <is>
          <t>相機款,3代</t>
        </is>
      </c>
      <c r="E5784" t="inlineStr"/>
      <c r="F5784">
        <f>IMAGE("https://cf.shopee.tw/file/ceb932f9e8ea7dbd9f5422c987970ffd_tn")</f>
        <v/>
      </c>
    </row>
    <row r="5785">
      <c r="A5785" t="inlineStr">
        <is>
          <t>22757156306</t>
        </is>
      </c>
      <c r="B5785" t="inlineStr">
        <is>
          <t>隔日到貨🔥 Airpods 保護套 毛絨眼鏡仔 附掛鉤 1 2 3 pro pro2 A22 軟殼 保護殼 蘋果</t>
        </is>
      </c>
      <c r="C5785">
        <f>IMAGE("https://cf.shopee.tw/file/tw-11134207-7r98o-lmlfa2xz0bkr12_tn")</f>
        <v/>
      </c>
      <c r="D5785" t="inlineStr">
        <is>
          <t>奶茶色,Pro1代 / Pro2代 (通用）</t>
        </is>
      </c>
      <c r="E5785" t="inlineStr"/>
      <c r="F5785">
        <f>IMAGE("https://cf.shopee.tw/file/tw-11134207-7r98y-lmlfa2xz1q57aa_tn")</f>
        <v/>
      </c>
    </row>
    <row r="5786">
      <c r="A5786" t="inlineStr">
        <is>
          <t>22757156306</t>
        </is>
      </c>
      <c r="B5786" t="inlineStr">
        <is>
          <t>隔日到貨🔥 Airpods 保護套 毛絨眼鏡仔 附掛鉤 1 2 3 pro pro2 A22 軟殼 保護殼 蘋果</t>
        </is>
      </c>
      <c r="C5786">
        <f>IMAGE("https://cf.shopee.tw/file/tw-11134207-7r98o-lmlfa2xz0bkr12_tn")</f>
        <v/>
      </c>
      <c r="D5786" t="inlineStr">
        <is>
          <t>白色,Pro1代 / Pro2代 (通用）</t>
        </is>
      </c>
      <c r="E5786" t="inlineStr"/>
      <c r="F5786">
        <f>IMAGE("https://cf.shopee.tw/file/tw-11134207-7r98t-lmlfa2xz1qc9a1_tn")</f>
        <v/>
      </c>
    </row>
    <row r="5787">
      <c r="A5787" t="inlineStr">
        <is>
          <t>22757156306</t>
        </is>
      </c>
      <c r="B5787" t="inlineStr">
        <is>
          <t>隔日到貨🔥 Airpods 保護套 毛絨眼鏡仔 附掛鉤 1 2 3 pro pro2 A22 軟殼 保護殼 蘋果</t>
        </is>
      </c>
      <c r="C5787">
        <f>IMAGE("https://cf.shopee.tw/file/tw-11134207-7r98o-lmlfa2xz0bkr12_tn")</f>
        <v/>
      </c>
      <c r="D5787" t="inlineStr">
        <is>
          <t>奶茶色,1代 / 2代</t>
        </is>
      </c>
      <c r="E5787" t="inlineStr"/>
      <c r="F5787">
        <f>IMAGE("https://cf.shopee.tw/file/tw-11134207-7r98y-lmlfa2xz1q57aa_tn")</f>
        <v/>
      </c>
    </row>
    <row r="5788">
      <c r="A5788" t="inlineStr">
        <is>
          <t>22757156306</t>
        </is>
      </c>
      <c r="B5788" t="inlineStr">
        <is>
          <t>隔日到貨🔥 Airpods 保護套 毛絨眼鏡仔 附掛鉤 1 2 3 pro pro2 A22 軟殼 保護殼 蘋果</t>
        </is>
      </c>
      <c r="C5788">
        <f>IMAGE("https://cf.shopee.tw/file/tw-11134207-7r98o-lmlfa2xz0bkr12_tn")</f>
        <v/>
      </c>
      <c r="D5788" t="inlineStr">
        <is>
          <t>奶茶色,3代</t>
        </is>
      </c>
      <c r="E5788" t="inlineStr">
        <is>
          <t>194636410431</t>
        </is>
      </c>
      <c r="F5788">
        <f>IMAGE("https://cf.shopee.tw/file/tw-11134207-7r98y-lmlfa2xz1q57aa_tn")</f>
        <v/>
      </c>
    </row>
    <row r="5789">
      <c r="A5789" t="inlineStr">
        <is>
          <t>22757156306</t>
        </is>
      </c>
      <c r="B5789" t="inlineStr">
        <is>
          <t>隔日到貨🔥 Airpods 保護套 毛絨眼鏡仔 附掛鉤 1 2 3 pro pro2 A22 軟殼 保護殼 蘋果</t>
        </is>
      </c>
      <c r="C5789">
        <f>IMAGE("https://cf.shopee.tw/file/tw-11134207-7r98o-lmlfa2xz0bkr12_tn")</f>
        <v/>
      </c>
      <c r="D5789" t="inlineStr">
        <is>
          <t>白色,1代 / 2代</t>
        </is>
      </c>
      <c r="E5789" t="inlineStr">
        <is>
          <t>187086046693</t>
        </is>
      </c>
      <c r="F5789">
        <f>IMAGE("https://cf.shopee.tw/file/tw-11134207-7r98t-lmlfa2xz1qc9a1_tn")</f>
        <v/>
      </c>
    </row>
    <row r="5790">
      <c r="A5790" t="inlineStr">
        <is>
          <t>22757156306</t>
        </is>
      </c>
      <c r="B5790" t="inlineStr">
        <is>
          <t>隔日到貨🔥 Airpods 保護套 毛絨眼鏡仔 附掛鉤 1 2 3 pro pro2 A22 軟殼 保護殼 蘋果</t>
        </is>
      </c>
      <c r="C5790">
        <f>IMAGE("https://cf.shopee.tw/file/tw-11134207-7r98o-lmlfa2xz0bkr12_tn")</f>
        <v/>
      </c>
      <c r="D5790" t="inlineStr">
        <is>
          <t>白色,3代</t>
        </is>
      </c>
      <c r="E5790" t="inlineStr">
        <is>
          <t>194636410433</t>
        </is>
      </c>
      <c r="F5790">
        <f>IMAGE("https://cf.shopee.tw/file/tw-11134207-7r98t-lmlfa2xz1qc9a1_tn")</f>
        <v/>
      </c>
    </row>
    <row r="5791">
      <c r="A5791" t="inlineStr">
        <is>
          <t>23933178634</t>
        </is>
      </c>
      <c r="B5791" t="inlineStr">
        <is>
          <t>隔日到貨🔥 韓國夏季 側邊熊厚底拖鞋 小熊拖鞋 休閒鞋 鞋子 厚底 居家拖鞋 室外拖鞋 防滑 耐磨 浴室拖鞋 拖鞋</t>
        </is>
      </c>
      <c r="C5791">
        <f>IMAGE("https://cf.shopee.tw/file/tw-11134207-23030-uqggn8fu2tov8a_tn")</f>
        <v/>
      </c>
      <c r="D5791" t="inlineStr">
        <is>
          <t>黑側邊熊,38-39 （腳長23-24公分）</t>
        </is>
      </c>
      <c r="E5791" t="inlineStr"/>
      <c r="F5791">
        <f>IMAGE("https://cf.shopee.tw/file/tw-11134207-23030-y06rt9n2stov71_tn")</f>
        <v/>
      </c>
    </row>
    <row r="5792">
      <c r="A5792" t="inlineStr">
        <is>
          <t>23933178634</t>
        </is>
      </c>
      <c r="B5792" t="inlineStr">
        <is>
          <t>隔日到貨🔥 韓國夏季 側邊熊厚底拖鞋 小熊拖鞋 休閒鞋 鞋子 厚底 居家拖鞋 室外拖鞋 防滑 耐磨 浴室拖鞋 拖鞋</t>
        </is>
      </c>
      <c r="C5792">
        <f>IMAGE("https://cf.shopee.tw/file/tw-11134207-23030-uqggn8fu2tov8a_tn")</f>
        <v/>
      </c>
      <c r="D5792" t="inlineStr">
        <is>
          <t>白側邊熊,38-39 （腳長23-24公分）</t>
        </is>
      </c>
      <c r="E5792" t="inlineStr"/>
      <c r="F5792">
        <f>IMAGE("https://cf.shopee.tw/file/tw-11134207-23030-i2wehrl2stov8d_tn")</f>
        <v/>
      </c>
    </row>
    <row r="5793">
      <c r="A5793" t="inlineStr">
        <is>
          <t>23933178634</t>
        </is>
      </c>
      <c r="B5793" t="inlineStr">
        <is>
          <t>隔日到貨🔥 韓國夏季 側邊熊厚底拖鞋 小熊拖鞋 休閒鞋 鞋子 厚底 居家拖鞋 室外拖鞋 防滑 耐磨 浴室拖鞋 拖鞋</t>
        </is>
      </c>
      <c r="C5793">
        <f>IMAGE("https://cf.shopee.tw/file/tw-11134207-23030-uqggn8fu2tov8a_tn")</f>
        <v/>
      </c>
      <c r="D5793" t="inlineStr">
        <is>
          <t>白側邊熊,40-41（腳長24.5-25.5公分）</t>
        </is>
      </c>
      <c r="E5793" t="inlineStr"/>
      <c r="F5793">
        <f>IMAGE("https://cf.shopee.tw/file/tw-11134207-23030-i2wehrl2stov8d_tn")</f>
        <v/>
      </c>
    </row>
    <row r="5794">
      <c r="A5794" t="inlineStr">
        <is>
          <t>23933178634</t>
        </is>
      </c>
      <c r="B5794" t="inlineStr">
        <is>
          <t>隔日到貨🔥 韓國夏季 側邊熊厚底拖鞋 小熊拖鞋 休閒鞋 鞋子 厚底 居家拖鞋 室外拖鞋 防滑 耐磨 浴室拖鞋 拖鞋</t>
        </is>
      </c>
      <c r="C5794">
        <f>IMAGE("https://cf.shopee.tw/file/tw-11134207-23030-uqggn8fu2tov8a_tn")</f>
        <v/>
      </c>
      <c r="D5794" t="inlineStr">
        <is>
          <t>黑側邊熊,40-41（腳長24.5-25.5公分）</t>
        </is>
      </c>
      <c r="E5794" t="inlineStr"/>
      <c r="F5794">
        <f>IMAGE("https://cf.shopee.tw/file/tw-11134207-23030-y06rt9n2stov71_tn")</f>
        <v/>
      </c>
    </row>
    <row r="5795">
      <c r="A5795" t="inlineStr">
        <is>
          <t>7103981235</t>
        </is>
      </c>
      <c r="B5795" t="inlineStr">
        <is>
          <t>隔日到貨🔥 摩艾石像 Airpods 耳機殼 A27 1/2代 pro 附掛鉤 耳機套 保護套 保護殼 軟殼 摩艾</t>
        </is>
      </c>
      <c r="C5795">
        <f>IMAGE("https://cf.shopee.tw/file/8df846610e78d748256d7ca382286142_tn")</f>
        <v/>
      </c>
      <c r="D5795" t="inlineStr">
        <is>
          <t>1代 / 2代</t>
        </is>
      </c>
      <c r="E5795" t="inlineStr"/>
      <c r="F5795">
        <f>IMAGE("https://cf.shopee.tw/file/9dd663de561ec82da8bd1e89a500c6e9_tn")</f>
        <v/>
      </c>
    </row>
    <row r="5796">
      <c r="A5796" t="inlineStr">
        <is>
          <t>7103981235</t>
        </is>
      </c>
      <c r="B5796" t="inlineStr">
        <is>
          <t>隔日到貨🔥 摩艾石像 Airpods 耳機殼 A27 1/2代 pro 附掛鉤 耳機套 保護套 保護殼 軟殼 摩艾</t>
        </is>
      </c>
      <c r="C5796">
        <f>IMAGE("https://cf.shopee.tw/file/8df846610e78d748256d7ca382286142_tn")</f>
        <v/>
      </c>
      <c r="D5796" t="inlineStr">
        <is>
          <t>Pro1代/Pro2代 (通用）</t>
        </is>
      </c>
      <c r="E5796" t="inlineStr"/>
      <c r="F5796">
        <f>IMAGE("https://cf.shopee.tw/file/196ff2806d519855929990a560c364bb_tn")</f>
        <v/>
      </c>
    </row>
    <row r="5797">
      <c r="A5797" t="inlineStr">
        <is>
          <t>7103981235</t>
        </is>
      </c>
      <c r="B5797" t="inlineStr">
        <is>
          <t>隔日到貨🔥 摩艾石像 Airpods 耳機殼 A27 1/2代 pro 附掛鉤 耳機套 保護套 保護殼 軟殼 摩艾</t>
        </is>
      </c>
      <c r="C5797">
        <f>IMAGE("https://cf.shopee.tw/file/8df846610e78d748256d7ca382286142_tn")</f>
        <v/>
      </c>
      <c r="D5797" t="inlineStr">
        <is>
          <t>3代</t>
        </is>
      </c>
      <c r="E5797" t="inlineStr"/>
      <c r="F5797">
        <f>IMAGE("https://cf.shopee.tw/file/6d75b1f2fbcd07f4b76cd8c415f408da_tn")</f>
        <v/>
      </c>
    </row>
    <row r="5798">
      <c r="A5798" t="inlineStr">
        <is>
          <t>9136126876</t>
        </is>
      </c>
      <c r="B5798" t="inlineStr">
        <is>
          <t>隔日到貨🔥 漸層色 Airpods 保護套 A28 Airpods pro 保護殼 硬殼 防摔殼 耳機套 矽膠殼</t>
        </is>
      </c>
      <c r="C5798">
        <f>IMAGE("https://cf.shopee.tw/file/abf64e1c458af3ba01b3e1af09c5d68c_tn")</f>
        <v/>
      </c>
      <c r="D5798" t="inlineStr">
        <is>
          <t>3.紫漸變粉,Pro1代/Pro2代 (通用）</t>
        </is>
      </c>
      <c r="E5798" t="inlineStr"/>
      <c r="F5798">
        <f>IMAGE("https://cf.shopee.tw/file/04c570688ad484c3d81520107f605aa1_tn")</f>
        <v/>
      </c>
    </row>
    <row r="5799">
      <c r="A5799" t="inlineStr">
        <is>
          <t>9136126876</t>
        </is>
      </c>
      <c r="B5799" t="inlineStr">
        <is>
          <t>隔日到貨🔥 漸層色 Airpods 保護套 A28 Airpods pro 保護殼 硬殼 防摔殼 耳機套 矽膠殼</t>
        </is>
      </c>
      <c r="C5799">
        <f>IMAGE("https://cf.shopee.tw/file/abf64e1c458af3ba01b3e1af09c5d68c_tn")</f>
        <v/>
      </c>
      <c r="D5799" t="inlineStr">
        <is>
          <t>3.紫漸變粉,3代</t>
        </is>
      </c>
      <c r="E5799" t="inlineStr"/>
      <c r="F5799">
        <f>IMAGE("https://cf.shopee.tw/file/04c570688ad484c3d81520107f605aa1_tn")</f>
        <v/>
      </c>
    </row>
    <row r="5800">
      <c r="A5800" t="inlineStr">
        <is>
          <t>9136126876</t>
        </is>
      </c>
      <c r="B5800" t="inlineStr">
        <is>
          <t>隔日到貨🔥 漸層色 Airpods 保護套 A28 Airpods pro 保護殼 硬殼 防摔殼 耳機套 矽膠殼</t>
        </is>
      </c>
      <c r="C5800">
        <f>IMAGE("https://cf.shopee.tw/file/abf64e1c458af3ba01b3e1af09c5d68c_tn")</f>
        <v/>
      </c>
      <c r="D5800" t="inlineStr">
        <is>
          <t>4.綠漸變藍,Pro1代/Pro2代 (通用）</t>
        </is>
      </c>
      <c r="E5800" t="inlineStr"/>
      <c r="F5800">
        <f>IMAGE("https://cf.shopee.tw/file/0981ec9f3ec8042763a9ba2229da143f_tn")</f>
        <v/>
      </c>
    </row>
    <row r="5801">
      <c r="A5801" t="inlineStr">
        <is>
          <t>9136126876</t>
        </is>
      </c>
      <c r="B5801" t="inlineStr">
        <is>
          <t>隔日到貨🔥 漸層色 Airpods 保護套 A28 Airpods pro 保護殼 硬殼 防摔殼 耳機套 矽膠殼</t>
        </is>
      </c>
      <c r="C5801">
        <f>IMAGE("https://cf.shopee.tw/file/abf64e1c458af3ba01b3e1af09c5d68c_tn")</f>
        <v/>
      </c>
      <c r="D5801" t="inlineStr">
        <is>
          <t>5.酒紅漸變藍,3代</t>
        </is>
      </c>
      <c r="E5801" t="inlineStr"/>
      <c r="F5801">
        <f>IMAGE("https://cf.shopee.tw/file/4021d3c97817468b9ac9e5d8565f8fbd_tn")</f>
        <v/>
      </c>
    </row>
    <row r="5802">
      <c r="A5802" t="inlineStr">
        <is>
          <t>9136126876</t>
        </is>
      </c>
      <c r="B5802" t="inlineStr">
        <is>
          <t>隔日到貨🔥 漸層色 Airpods 保護套 A28 Airpods pro 保護殼 硬殼 防摔殼 耳機套 矽膠殼</t>
        </is>
      </c>
      <c r="C5802">
        <f>IMAGE("https://cf.shopee.tw/file/abf64e1c458af3ba01b3e1af09c5d68c_tn")</f>
        <v/>
      </c>
      <c r="D5802" t="inlineStr">
        <is>
          <t>7.薄荷綠漸變黃,1代 / 2代</t>
        </is>
      </c>
      <c r="E5802" t="inlineStr"/>
      <c r="F5802">
        <f>IMAGE("https://cf.shopee.tw/file/92f079d73e4834e7b2fbd1981bd7a110_tn")</f>
        <v/>
      </c>
    </row>
    <row r="5803">
      <c r="A5803" t="inlineStr">
        <is>
          <t>9136126876</t>
        </is>
      </c>
      <c r="B5803" t="inlineStr">
        <is>
          <t>隔日到貨🔥 漸層色 Airpods 保護套 A28 Airpods pro 保護殼 硬殼 防摔殼 耳機套 矽膠殼</t>
        </is>
      </c>
      <c r="C5803">
        <f>IMAGE("https://cf.shopee.tw/file/abf64e1c458af3ba01b3e1af09c5d68c_tn")</f>
        <v/>
      </c>
      <c r="D5803" t="inlineStr">
        <is>
          <t>8.粉漸變天藍,Pro1代/Pro2代 (通用）</t>
        </is>
      </c>
      <c r="E5803" t="inlineStr"/>
      <c r="F5803">
        <f>IMAGE("https://cf.shopee.tw/file/3247189e5b0ecd5e4356c4128ff3cd95_tn")</f>
        <v/>
      </c>
    </row>
    <row r="5804">
      <c r="A5804" t="inlineStr">
        <is>
          <t>9136126876</t>
        </is>
      </c>
      <c r="B5804" t="inlineStr">
        <is>
          <t>隔日到貨🔥 漸層色 Airpods 保護套 A28 Airpods pro 保護殼 硬殼 防摔殼 耳機套 矽膠殼</t>
        </is>
      </c>
      <c r="C5804">
        <f>IMAGE("https://cf.shopee.tw/file/abf64e1c458af3ba01b3e1af09c5d68c_tn")</f>
        <v/>
      </c>
      <c r="D5804" t="inlineStr">
        <is>
          <t>8.粉漸變天藍,3代</t>
        </is>
      </c>
      <c r="E5804" t="inlineStr"/>
      <c r="F5804">
        <f>IMAGE("https://cf.shopee.tw/file/3247189e5b0ecd5e4356c4128ff3cd95_tn")</f>
        <v/>
      </c>
    </row>
    <row r="5805">
      <c r="A5805" t="inlineStr">
        <is>
          <t>9136126876</t>
        </is>
      </c>
      <c r="B5805" t="inlineStr">
        <is>
          <t>隔日到貨🔥 漸層色 Airpods 保護套 A28 Airpods pro 保護殼 硬殼 防摔殼 耳機套 矽膠殼</t>
        </is>
      </c>
      <c r="C5805">
        <f>IMAGE("https://cf.shopee.tw/file/abf64e1c458af3ba01b3e1af09c5d68c_tn")</f>
        <v/>
      </c>
      <c r="D5805" t="inlineStr">
        <is>
          <t>1.黑漸變紅,1代 / 2代</t>
        </is>
      </c>
      <c r="E5805" t="inlineStr"/>
      <c r="F5805">
        <f>IMAGE("https://cf.shopee.tw/file/0c6bce52208c95dd62c9d304e0a73be8_tn")</f>
        <v/>
      </c>
    </row>
    <row r="5806">
      <c r="A5806" t="inlineStr">
        <is>
          <t>9136126876</t>
        </is>
      </c>
      <c r="B5806" t="inlineStr">
        <is>
          <t>隔日到貨🔥 漸層色 Airpods 保護套 A28 Airpods pro 保護殼 硬殼 防摔殼 耳機套 矽膠殼</t>
        </is>
      </c>
      <c r="C5806">
        <f>IMAGE("https://cf.shopee.tw/file/abf64e1c458af3ba01b3e1af09c5d68c_tn")</f>
        <v/>
      </c>
      <c r="D5806" t="inlineStr">
        <is>
          <t>1.黑漸變紅,Pro1代/Pro2代 (通用）</t>
        </is>
      </c>
      <c r="E5806" t="inlineStr"/>
      <c r="F5806">
        <f>IMAGE("https://cf.shopee.tw/file/0c6bce52208c95dd62c9d304e0a73be8_tn")</f>
        <v/>
      </c>
    </row>
    <row r="5807">
      <c r="A5807" t="inlineStr">
        <is>
          <t>9136126876</t>
        </is>
      </c>
      <c r="B5807" t="inlineStr">
        <is>
          <t>隔日到貨🔥 漸層色 Airpods 保護套 A28 Airpods pro 保護殼 硬殼 防摔殼 耳機套 矽膠殼</t>
        </is>
      </c>
      <c r="C5807">
        <f>IMAGE("https://cf.shopee.tw/file/abf64e1c458af3ba01b3e1af09c5d68c_tn")</f>
        <v/>
      </c>
      <c r="D5807" t="inlineStr">
        <is>
          <t>1.黑漸變紅,3代</t>
        </is>
      </c>
      <c r="E5807" t="inlineStr"/>
      <c r="F5807">
        <f>IMAGE("https://cf.shopee.tw/file/0c6bce52208c95dd62c9d304e0a73be8_tn")</f>
        <v/>
      </c>
    </row>
    <row r="5808">
      <c r="A5808" t="inlineStr">
        <is>
          <t>9136126876</t>
        </is>
      </c>
      <c r="B5808" t="inlineStr">
        <is>
          <t>隔日到貨🔥 漸層色 Airpods 保護套 A28 Airpods pro 保護殼 硬殼 防摔殼 耳機套 矽膠殼</t>
        </is>
      </c>
      <c r="C5808">
        <f>IMAGE("https://cf.shopee.tw/file/abf64e1c458af3ba01b3e1af09c5d68c_tn")</f>
        <v/>
      </c>
      <c r="D5808" t="inlineStr">
        <is>
          <t>2.紫漸變灰,1代 / 2代</t>
        </is>
      </c>
      <c r="E5808" t="inlineStr"/>
      <c r="F5808">
        <f>IMAGE("https://cf.shopee.tw/file/50a8af5c330e69e2bfc330ac918dd373_tn")</f>
        <v/>
      </c>
    </row>
    <row r="5809">
      <c r="A5809" t="inlineStr">
        <is>
          <t>9136126876</t>
        </is>
      </c>
      <c r="B5809" t="inlineStr">
        <is>
          <t>隔日到貨🔥 漸層色 Airpods 保護套 A28 Airpods pro 保護殼 硬殼 防摔殼 耳機套 矽膠殼</t>
        </is>
      </c>
      <c r="C5809">
        <f>IMAGE("https://cf.shopee.tw/file/abf64e1c458af3ba01b3e1af09c5d68c_tn")</f>
        <v/>
      </c>
      <c r="D5809" t="inlineStr">
        <is>
          <t>2.紫漸變灰,Pro1代/Pro2代 (通用）</t>
        </is>
      </c>
      <c r="E5809" t="inlineStr"/>
      <c r="F5809">
        <f>IMAGE("https://cf.shopee.tw/file/50a8af5c330e69e2bfc330ac918dd373_tn")</f>
        <v/>
      </c>
    </row>
    <row r="5810">
      <c r="A5810" t="inlineStr">
        <is>
          <t>9136126876</t>
        </is>
      </c>
      <c r="B5810" t="inlineStr">
        <is>
          <t>隔日到貨🔥 漸層色 Airpods 保護套 A28 Airpods pro 保護殼 硬殼 防摔殼 耳機套 矽膠殼</t>
        </is>
      </c>
      <c r="C5810">
        <f>IMAGE("https://cf.shopee.tw/file/abf64e1c458af3ba01b3e1af09c5d68c_tn")</f>
        <v/>
      </c>
      <c r="D5810" t="inlineStr">
        <is>
          <t>2.紫漸變灰,3代</t>
        </is>
      </c>
      <c r="E5810" t="inlineStr"/>
      <c r="F5810">
        <f>IMAGE("https://cf.shopee.tw/file/50a8af5c330e69e2bfc330ac918dd373_tn")</f>
        <v/>
      </c>
    </row>
    <row r="5811">
      <c r="A5811" t="inlineStr">
        <is>
          <t>9136126876</t>
        </is>
      </c>
      <c r="B5811" t="inlineStr">
        <is>
          <t>隔日到貨🔥 漸層色 Airpods 保護套 A28 Airpods pro 保護殼 硬殼 防摔殼 耳機套 矽膠殼</t>
        </is>
      </c>
      <c r="C5811">
        <f>IMAGE("https://cf.shopee.tw/file/abf64e1c458af3ba01b3e1af09c5d68c_tn")</f>
        <v/>
      </c>
      <c r="D5811" t="inlineStr">
        <is>
          <t>3.紫漸變粉,1代 / 2代</t>
        </is>
      </c>
      <c r="E5811" t="inlineStr"/>
      <c r="F5811">
        <f>IMAGE("https://cf.shopee.tw/file/04c570688ad484c3d81520107f605aa1_tn")</f>
        <v/>
      </c>
    </row>
    <row r="5812">
      <c r="A5812" t="inlineStr">
        <is>
          <t>9136126876</t>
        </is>
      </c>
      <c r="B5812" t="inlineStr">
        <is>
          <t>隔日到貨🔥 漸層色 Airpods 保護套 A28 Airpods pro 保護殼 硬殼 防摔殼 耳機套 矽膠殼</t>
        </is>
      </c>
      <c r="C5812">
        <f>IMAGE("https://cf.shopee.tw/file/abf64e1c458af3ba01b3e1af09c5d68c_tn")</f>
        <v/>
      </c>
      <c r="D5812" t="inlineStr">
        <is>
          <t>4.綠漸變藍,1代 / 2代</t>
        </is>
      </c>
      <c r="E5812" t="inlineStr"/>
      <c r="F5812">
        <f>IMAGE("https://cf.shopee.tw/file/0981ec9f3ec8042763a9ba2229da143f_tn")</f>
        <v/>
      </c>
    </row>
    <row r="5813">
      <c r="A5813" t="inlineStr">
        <is>
          <t>9136126876</t>
        </is>
      </c>
      <c r="B5813" t="inlineStr">
        <is>
          <t>隔日到貨🔥 漸層色 Airpods 保護套 A28 Airpods pro 保護殼 硬殼 防摔殼 耳機套 矽膠殼</t>
        </is>
      </c>
      <c r="C5813">
        <f>IMAGE("https://cf.shopee.tw/file/abf64e1c458af3ba01b3e1af09c5d68c_tn")</f>
        <v/>
      </c>
      <c r="D5813" t="inlineStr">
        <is>
          <t>4.綠漸變藍,3代</t>
        </is>
      </c>
      <c r="E5813" t="inlineStr"/>
      <c r="F5813">
        <f>IMAGE("https://cf.shopee.tw/file/0981ec9f3ec8042763a9ba2229da143f_tn")</f>
        <v/>
      </c>
    </row>
    <row r="5814">
      <c r="A5814" t="inlineStr">
        <is>
          <t>9136126876</t>
        </is>
      </c>
      <c r="B5814" t="inlineStr">
        <is>
          <t>隔日到貨🔥 漸層色 Airpods 保護套 A28 Airpods pro 保護殼 硬殼 防摔殼 耳機套 矽膠殼</t>
        </is>
      </c>
      <c r="C5814">
        <f>IMAGE("https://cf.shopee.tw/file/abf64e1c458af3ba01b3e1af09c5d68c_tn")</f>
        <v/>
      </c>
      <c r="D5814" t="inlineStr">
        <is>
          <t>5.酒紅漸變藍,1代 / 2代</t>
        </is>
      </c>
      <c r="E5814" t="inlineStr"/>
      <c r="F5814">
        <f>IMAGE("https://cf.shopee.tw/file/4021d3c97817468b9ac9e5d8565f8fbd_tn")</f>
        <v/>
      </c>
    </row>
    <row r="5815">
      <c r="A5815" t="inlineStr">
        <is>
          <t>9136126876</t>
        </is>
      </c>
      <c r="B5815" t="inlineStr">
        <is>
          <t>隔日到貨🔥 漸層色 Airpods 保護套 A28 Airpods pro 保護殼 硬殼 防摔殼 耳機套 矽膠殼</t>
        </is>
      </c>
      <c r="C5815">
        <f>IMAGE("https://cf.shopee.tw/file/abf64e1c458af3ba01b3e1af09c5d68c_tn")</f>
        <v/>
      </c>
      <c r="D5815" t="inlineStr">
        <is>
          <t>5.酒紅漸變藍,Pro1代/Pro2代 (通用）</t>
        </is>
      </c>
      <c r="E5815" t="inlineStr"/>
      <c r="F5815">
        <f>IMAGE("https://cf.shopee.tw/file/4021d3c97817468b9ac9e5d8565f8fbd_tn")</f>
        <v/>
      </c>
    </row>
    <row r="5816">
      <c r="A5816" t="inlineStr">
        <is>
          <t>9136126876</t>
        </is>
      </c>
      <c r="B5816" t="inlineStr">
        <is>
          <t>隔日到貨🔥 漸層色 Airpods 保護套 A28 Airpods pro 保護殼 硬殼 防摔殼 耳機套 矽膠殼</t>
        </is>
      </c>
      <c r="C5816">
        <f>IMAGE("https://cf.shopee.tw/file/abf64e1c458af3ba01b3e1af09c5d68c_tn")</f>
        <v/>
      </c>
      <c r="D5816" t="inlineStr">
        <is>
          <t>6.黃漸變橙,1代 / 2代</t>
        </is>
      </c>
      <c r="E5816" t="inlineStr"/>
      <c r="F5816">
        <f>IMAGE("https://cf.shopee.tw/file/acccaa262788c6945e6dc0da93e92335_tn")</f>
        <v/>
      </c>
    </row>
    <row r="5817">
      <c r="A5817" t="inlineStr">
        <is>
          <t>9136126876</t>
        </is>
      </c>
      <c r="B5817" t="inlineStr">
        <is>
          <t>隔日到貨🔥 漸層色 Airpods 保護套 A28 Airpods pro 保護殼 硬殼 防摔殼 耳機套 矽膠殼</t>
        </is>
      </c>
      <c r="C5817">
        <f>IMAGE("https://cf.shopee.tw/file/abf64e1c458af3ba01b3e1af09c5d68c_tn")</f>
        <v/>
      </c>
      <c r="D5817" t="inlineStr">
        <is>
          <t>6.黃漸變橙,Pro1代/Pro2代 (通用）</t>
        </is>
      </c>
      <c r="E5817" t="inlineStr">
        <is>
          <t>54587580059</t>
        </is>
      </c>
      <c r="F5817">
        <f>IMAGE("https://cf.shopee.tw/file/acccaa262788c6945e6dc0da93e92335_tn")</f>
        <v/>
      </c>
    </row>
    <row r="5818">
      <c r="A5818" t="inlineStr">
        <is>
          <t>9136126876</t>
        </is>
      </c>
      <c r="B5818" t="inlineStr">
        <is>
          <t>隔日到貨🔥 漸層色 Airpods 保護套 A28 Airpods pro 保護殼 硬殼 防摔殼 耳機套 矽膠殼</t>
        </is>
      </c>
      <c r="C5818">
        <f>IMAGE("https://cf.shopee.tw/file/abf64e1c458af3ba01b3e1af09c5d68c_tn")</f>
        <v/>
      </c>
      <c r="D5818" t="inlineStr">
        <is>
          <t>6.黃漸變橙,3代</t>
        </is>
      </c>
      <c r="E5818" t="inlineStr"/>
      <c r="F5818">
        <f>IMAGE("https://cf.shopee.tw/file/acccaa262788c6945e6dc0da93e92335_tn")</f>
        <v/>
      </c>
    </row>
    <row r="5819">
      <c r="A5819" t="inlineStr">
        <is>
          <t>9136126876</t>
        </is>
      </c>
      <c r="B5819" t="inlineStr">
        <is>
          <t>隔日到貨🔥 漸層色 Airpods 保護套 A28 Airpods pro 保護殼 硬殼 防摔殼 耳機套 矽膠殼</t>
        </is>
      </c>
      <c r="C5819">
        <f>IMAGE("https://cf.shopee.tw/file/abf64e1c458af3ba01b3e1af09c5d68c_tn")</f>
        <v/>
      </c>
      <c r="D5819" t="inlineStr">
        <is>
          <t>7.薄荷綠漸變黃,Pro1代/Pro2代 (通用）</t>
        </is>
      </c>
      <c r="E5819" t="inlineStr"/>
      <c r="F5819">
        <f>IMAGE("https://cf.shopee.tw/file/92f079d73e4834e7b2fbd1981bd7a110_tn")</f>
        <v/>
      </c>
    </row>
    <row r="5820">
      <c r="A5820" t="inlineStr">
        <is>
          <t>9136126876</t>
        </is>
      </c>
      <c r="B5820" t="inlineStr">
        <is>
          <t>隔日到貨🔥 漸層色 Airpods 保護套 A28 Airpods pro 保護殼 硬殼 防摔殼 耳機套 矽膠殼</t>
        </is>
      </c>
      <c r="C5820">
        <f>IMAGE("https://cf.shopee.tw/file/abf64e1c458af3ba01b3e1af09c5d68c_tn")</f>
        <v/>
      </c>
      <c r="D5820" t="inlineStr">
        <is>
          <t>7.薄荷綠漸變黃,3代</t>
        </is>
      </c>
      <c r="E5820" t="inlineStr"/>
      <c r="F5820">
        <f>IMAGE("https://cf.shopee.tw/file/92f079d73e4834e7b2fbd1981bd7a110_tn")</f>
        <v/>
      </c>
    </row>
    <row r="5821">
      <c r="A5821" t="inlineStr">
        <is>
          <t>9136126876</t>
        </is>
      </c>
      <c r="B5821" t="inlineStr">
        <is>
          <t>隔日到貨🔥 漸層色 Airpods 保護套 A28 Airpods pro 保護殼 硬殼 防摔殼 耳機套 矽膠殼</t>
        </is>
      </c>
      <c r="C5821">
        <f>IMAGE("https://cf.shopee.tw/file/abf64e1c458af3ba01b3e1af09c5d68c_tn")</f>
        <v/>
      </c>
      <c r="D5821" t="inlineStr">
        <is>
          <t>8.粉漸變天藍,1代 / 2代</t>
        </is>
      </c>
      <c r="E5821" t="inlineStr"/>
      <c r="F5821">
        <f>IMAGE("https://cf.shopee.tw/file/3247189e5b0ecd5e4356c4128ff3cd95_tn")</f>
        <v/>
      </c>
    </row>
    <row r="5822">
      <c r="A5822" t="inlineStr">
        <is>
          <t>10433825419</t>
        </is>
      </c>
      <c r="B5822" t="inlineStr">
        <is>
          <t>隔日到貨🔥 透明殼 Airpods pro 1/2代 軟殼 保護殼 防摔殼 A16 附掛飾 保護套 耳機殼 耳機套</t>
        </is>
      </c>
      <c r="C5822">
        <f>IMAGE("https://cf.shopee.tw/file/d6329d9b45933da01ef4416d90183de4_tn")</f>
        <v/>
      </c>
      <c r="D5822" t="inlineStr">
        <is>
          <t>1.麵包熊,Pro1代/Pro2代 (通用）</t>
        </is>
      </c>
      <c r="E5822" t="inlineStr"/>
      <c r="F5822">
        <f>IMAGE("https://cf.shopee.tw/file/d9f30f89e2a1d404b95e35beb63d54d4_tn")</f>
        <v/>
      </c>
    </row>
    <row r="5823">
      <c r="A5823" t="inlineStr">
        <is>
          <t>10433825419</t>
        </is>
      </c>
      <c r="B5823" t="inlineStr">
        <is>
          <t>隔日到貨🔥 透明殼 Airpods pro 1/2代 軟殼 保護殼 防摔殼 A16 附掛飾 保護套 耳機殼 耳機套</t>
        </is>
      </c>
      <c r="C5823">
        <f>IMAGE("https://cf.shopee.tw/file/d6329d9b45933da01ef4416d90183de4_tn")</f>
        <v/>
      </c>
      <c r="D5823" t="inlineStr">
        <is>
          <t>3.奶茶熊,1代 / 2代</t>
        </is>
      </c>
      <c r="E5823" t="inlineStr"/>
      <c r="F5823">
        <f>IMAGE("https://cf.shopee.tw/file/9b5ba7faf2f03b72c043de4fcf4fb221_tn")</f>
        <v/>
      </c>
    </row>
    <row r="5824">
      <c r="A5824" t="inlineStr">
        <is>
          <t>10433825419</t>
        </is>
      </c>
      <c r="B5824" t="inlineStr">
        <is>
          <t>隔日到貨🔥 透明殼 Airpods pro 1/2代 軟殼 保護殼 防摔殼 A16 附掛飾 保護套 耳機殼 耳機套</t>
        </is>
      </c>
      <c r="C5824">
        <f>IMAGE("https://cf.shopee.tw/file/d6329d9b45933da01ef4416d90183de4_tn")</f>
        <v/>
      </c>
      <c r="D5824" t="inlineStr">
        <is>
          <t>4.三隻熊,Pro1代/Pro2代 (通用）</t>
        </is>
      </c>
      <c r="E5824" t="inlineStr"/>
      <c r="F5824">
        <f>IMAGE("https://cf.shopee.tw/file/c6b075140cd763e484ec342f6a27fa09_tn")</f>
        <v/>
      </c>
    </row>
    <row r="5825">
      <c r="A5825" t="inlineStr">
        <is>
          <t>10433825419</t>
        </is>
      </c>
      <c r="B5825" t="inlineStr">
        <is>
          <t>隔日到貨🔥 透明殼 Airpods pro 1/2代 軟殼 保護殼 防摔殼 A16 附掛飾 保護套 耳機殼 耳機套</t>
        </is>
      </c>
      <c r="C5825">
        <f>IMAGE("https://cf.shopee.tw/file/d6329d9b45933da01ef4416d90183de4_tn")</f>
        <v/>
      </c>
      <c r="D5825" t="inlineStr">
        <is>
          <t>5.ipad熊,Pro1代/Pro2代 (通用）</t>
        </is>
      </c>
      <c r="E5825" t="inlineStr"/>
      <c r="F5825">
        <f>IMAGE("https://cf.shopee.tw/file/280106bfc2d734a650e6b78cb444e696_tn")</f>
        <v/>
      </c>
    </row>
    <row r="5826">
      <c r="A5826" t="inlineStr">
        <is>
          <t>10433825419</t>
        </is>
      </c>
      <c r="B5826" t="inlineStr">
        <is>
          <t>隔日到貨🔥 透明殼 Airpods pro 1/2代 軟殼 保護殼 防摔殼 A16 附掛飾 保護套 耳機殼 耳機套</t>
        </is>
      </c>
      <c r="C5826">
        <f>IMAGE("https://cf.shopee.tw/file/d6329d9b45933da01ef4416d90183de4_tn")</f>
        <v/>
      </c>
      <c r="D5826" t="inlineStr">
        <is>
          <t>1.麵包熊,1代 / 2代</t>
        </is>
      </c>
      <c r="E5826" t="inlineStr"/>
      <c r="F5826">
        <f>IMAGE("https://cf.shopee.tw/file/d9f30f89e2a1d404b95e35beb63d54d4_tn")</f>
        <v/>
      </c>
    </row>
    <row r="5827">
      <c r="A5827" t="inlineStr">
        <is>
          <t>10433825419</t>
        </is>
      </c>
      <c r="B5827" t="inlineStr">
        <is>
          <t>隔日到貨🔥 透明殼 Airpods pro 1/2代 軟殼 保護殼 防摔殼 A16 附掛飾 保護套 耳機殼 耳機套</t>
        </is>
      </c>
      <c r="C5827">
        <f>IMAGE("https://cf.shopee.tw/file/d6329d9b45933da01ef4416d90183de4_tn")</f>
        <v/>
      </c>
      <c r="D5827" t="inlineStr">
        <is>
          <t>2.夢卜兔,1代 / 2代</t>
        </is>
      </c>
      <c r="E5827" t="inlineStr">
        <is>
          <t>57037917092</t>
        </is>
      </c>
      <c r="F5827">
        <f>IMAGE("https://cf.shopee.tw/file/735b7e3f049259bd8ef271d143277a1b_tn")</f>
        <v/>
      </c>
    </row>
    <row r="5828">
      <c r="A5828" t="inlineStr">
        <is>
          <t>10433825419</t>
        </is>
      </c>
      <c r="B5828" t="inlineStr">
        <is>
          <t>隔日到貨🔥 透明殼 Airpods pro 1/2代 軟殼 保護殼 防摔殼 A16 附掛飾 保護套 耳機殼 耳機套</t>
        </is>
      </c>
      <c r="C5828">
        <f>IMAGE("https://cf.shopee.tw/file/d6329d9b45933da01ef4416d90183de4_tn")</f>
        <v/>
      </c>
      <c r="D5828" t="inlineStr">
        <is>
          <t>2.夢卜兔,Pro1代/Pro2代 (通用）</t>
        </is>
      </c>
      <c r="E5828" t="inlineStr"/>
      <c r="F5828">
        <f>IMAGE("https://cf.shopee.tw/file/735b7e3f049259bd8ef271d143277a1b_tn")</f>
        <v/>
      </c>
    </row>
    <row r="5829">
      <c r="A5829" t="inlineStr">
        <is>
          <t>10433825419</t>
        </is>
      </c>
      <c r="B5829" t="inlineStr">
        <is>
          <t>隔日到貨🔥 透明殼 Airpods pro 1/2代 軟殼 保護殼 防摔殼 A16 附掛飾 保護套 耳機殼 耳機套</t>
        </is>
      </c>
      <c r="C5829">
        <f>IMAGE("https://cf.shopee.tw/file/d6329d9b45933da01ef4416d90183de4_tn")</f>
        <v/>
      </c>
      <c r="D5829" t="inlineStr">
        <is>
          <t>3.奶茶熊,Pro1代/Pro2代 (通用）</t>
        </is>
      </c>
      <c r="E5829" t="inlineStr">
        <is>
          <t>57037917095</t>
        </is>
      </c>
      <c r="F5829">
        <f>IMAGE("https://cf.shopee.tw/file/9b5ba7faf2f03b72c043de4fcf4fb221_tn")</f>
        <v/>
      </c>
    </row>
    <row r="5830">
      <c r="A5830" t="inlineStr">
        <is>
          <t>10433825419</t>
        </is>
      </c>
      <c r="B5830" t="inlineStr">
        <is>
          <t>隔日到貨🔥 透明殼 Airpods pro 1/2代 軟殼 保護殼 防摔殼 A16 附掛飾 保護套 耳機殼 耳機套</t>
        </is>
      </c>
      <c r="C5830">
        <f>IMAGE("https://cf.shopee.tw/file/d6329d9b45933da01ef4416d90183de4_tn")</f>
        <v/>
      </c>
      <c r="D5830" t="inlineStr">
        <is>
          <t>4.三隻熊,1代 / 2代</t>
        </is>
      </c>
      <c r="E5830" t="inlineStr"/>
      <c r="F5830">
        <f>IMAGE("https://cf.shopee.tw/file/c6b075140cd763e484ec342f6a27fa09_tn")</f>
        <v/>
      </c>
    </row>
    <row r="5831">
      <c r="A5831" t="inlineStr">
        <is>
          <t>10433825419</t>
        </is>
      </c>
      <c r="B5831" t="inlineStr">
        <is>
          <t>隔日到貨🔥 透明殼 Airpods pro 1/2代 軟殼 保護殼 防摔殼 A16 附掛飾 保護套 耳機殼 耳機套</t>
        </is>
      </c>
      <c r="C5831">
        <f>IMAGE("https://cf.shopee.tw/file/d6329d9b45933da01ef4416d90183de4_tn")</f>
        <v/>
      </c>
      <c r="D5831" t="inlineStr">
        <is>
          <t>5.ipad熊,1代 / 2代</t>
        </is>
      </c>
      <c r="E5831" t="inlineStr"/>
      <c r="F5831">
        <f>IMAGE("https://cf.shopee.tw/file/280106bfc2d734a650e6b78cb444e696_tn")</f>
        <v/>
      </c>
    </row>
    <row r="5832">
      <c r="A5832" t="inlineStr">
        <is>
          <t>20147081692</t>
        </is>
      </c>
      <c r="B5832" t="inlineStr">
        <is>
          <t>隔日到貨🔥 Airpods 保護套 1代 2代 3代 pro pro2 軟殼 保護殼 A15 防摔殼 透明殼 耳機殼</t>
        </is>
      </c>
      <c r="C5832">
        <f>IMAGE("https://cf.shopee.tw/file/sg-11134201-23020-us8i2myon1mv46_tn")</f>
        <v/>
      </c>
      <c r="D5832" t="inlineStr">
        <is>
          <t>Pro1代 / Pro2代 (通用）</t>
        </is>
      </c>
      <c r="E5832" t="inlineStr"/>
      <c r="F5832">
        <f>IMAGE("https://cf.shopee.tw/file/sg-11134201-22090-fdntv15kjwhv7b_tn")</f>
        <v/>
      </c>
    </row>
    <row r="5833">
      <c r="A5833" t="inlineStr">
        <is>
          <t>20147081692</t>
        </is>
      </c>
      <c r="B5833" t="inlineStr">
        <is>
          <t>隔日到貨🔥 Airpods 保護套 1代 2代 3代 pro pro2 軟殼 保護殼 A15 防摔殼 透明殼 耳機殼</t>
        </is>
      </c>
      <c r="C5833">
        <f>IMAGE("https://cf.shopee.tw/file/sg-11134201-23020-us8i2myon1mv46_tn")</f>
        <v/>
      </c>
      <c r="D5833" t="inlineStr">
        <is>
          <t>［3代］</t>
        </is>
      </c>
      <c r="E5833" t="inlineStr"/>
      <c r="F5833">
        <f>IMAGE("https://cf.shopee.tw/file/sg-11134201-22090-beh7wndljwhv2d_tn")</f>
        <v/>
      </c>
    </row>
    <row r="5834">
      <c r="A5834" t="inlineStr">
        <is>
          <t>20147081692</t>
        </is>
      </c>
      <c r="B5834" t="inlineStr">
        <is>
          <t>隔日到貨🔥 Airpods 保護套 1代 2代 3代 pro pro2 軟殼 保護殼 A15 防摔殼 透明殼 耳機殼</t>
        </is>
      </c>
      <c r="C5834">
        <f>IMAGE("https://cf.shopee.tw/file/sg-11134201-23020-us8i2myon1mv46_tn")</f>
        <v/>
      </c>
      <c r="D5834" t="inlineStr">
        <is>
          <t>1代 / 2代</t>
        </is>
      </c>
      <c r="E5834" t="inlineStr"/>
      <c r="F5834">
        <f>IMAGE("https://cf.shopee.tw/file/sg-11134201-22090-9mtul69kjwhvee_tn")</f>
        <v/>
      </c>
    </row>
    <row r="5835">
      <c r="A5835" t="inlineStr">
        <is>
          <t>20147081692</t>
        </is>
      </c>
      <c r="B5835" t="inlineStr">
        <is>
          <t>隔日到貨🔥 Airpods 保護套 1代 2代 3代 pro pro2 軟殼 保護殼 A15 防摔殼 透明殼 耳機殼</t>
        </is>
      </c>
      <c r="C5835">
        <f>IMAGE("https://cf.shopee.tw/file/sg-11134201-23020-us8i2myon1mv46_tn")</f>
        <v/>
      </c>
      <c r="D5835" t="inlineStr">
        <is>
          <t>加購圖上櫻桃吊飾</t>
        </is>
      </c>
      <c r="E5835" t="inlineStr"/>
      <c r="F5835">
        <f>IMAGE("https://cf.shopee.tw/file/f42e5842775864b445c2dbdbf04f6cc1_tn")</f>
        <v/>
      </c>
    </row>
    <row r="5836">
      <c r="A5836" t="inlineStr">
        <is>
          <t>23142995784</t>
        </is>
      </c>
      <c r="B5836" t="inlineStr">
        <is>
          <t>隔日到貨🔥 韓系鍊條包 ins可放長夾 小方包 菱格包 斜背包 側背包 B47 單肩包 小包 包包 女包 好看包 百搭</t>
        </is>
      </c>
      <c r="C5836">
        <f>IMAGE("https://cf.shopee.tw/file/tw-11134207-7qul2-lh7pemqaqyi446_tn")</f>
        <v/>
      </c>
      <c r="D5836" t="inlineStr">
        <is>
          <t>白色</t>
        </is>
      </c>
      <c r="E5836" t="inlineStr"/>
      <c r="F5836">
        <f>IMAGE("https://cf.shopee.tw/file/tw-11134207-7qul8-lh1lhu3wyvxl3f_tn")</f>
        <v/>
      </c>
    </row>
    <row r="5837">
      <c r="A5837" t="inlineStr">
        <is>
          <t>23142995784</t>
        </is>
      </c>
      <c r="B5837" t="inlineStr">
        <is>
          <t>隔日到貨🔥 韓系鍊條包 ins可放長夾 小方包 菱格包 斜背包 側背包 B47 單肩包 小包 包包 女包 好看包 百搭</t>
        </is>
      </c>
      <c r="C5837">
        <f>IMAGE("https://cf.shopee.tw/file/tw-11134207-7qul2-lh7pemqaqyi446_tn")</f>
        <v/>
      </c>
      <c r="D5837" t="inlineStr">
        <is>
          <t>藍色</t>
        </is>
      </c>
      <c r="E5837" t="inlineStr"/>
      <c r="F5837">
        <f>IMAGE("https://cf.shopee.tw/file/tw-11134207-7qukx-lh1lhu46j19o5c_tn")</f>
        <v/>
      </c>
    </row>
    <row r="5838">
      <c r="A5838" t="inlineStr">
        <is>
          <t>23142995784</t>
        </is>
      </c>
      <c r="B5838" t="inlineStr">
        <is>
          <t>隔日到貨🔥 韓系鍊條包 ins可放長夾 小方包 菱格包 斜背包 側背包 B47 單肩包 小包 包包 女包 好看包 百搭</t>
        </is>
      </c>
      <c r="C5838">
        <f>IMAGE("https://cf.shopee.tw/file/tw-11134207-7qul2-lh7pemqaqyi446_tn")</f>
        <v/>
      </c>
      <c r="D5838" t="inlineStr">
        <is>
          <t>黑色</t>
        </is>
      </c>
      <c r="E5838" t="inlineStr"/>
      <c r="F5838">
        <f>IMAGE("https://cf.shopee.tw/file/tw-11134207-7qul0-lh1lhu3wjfop20_tn")</f>
        <v/>
      </c>
    </row>
    <row r="5839">
      <c r="A5839" t="inlineStr">
        <is>
          <t>23142995784</t>
        </is>
      </c>
      <c r="B5839" t="inlineStr">
        <is>
          <t>隔日到貨🔥 韓系鍊條包 ins可放長夾 小方包 菱格包 斜背包 側背包 B47 單肩包 小包 包包 女包 好看包 百搭</t>
        </is>
      </c>
      <c r="C5839">
        <f>IMAGE("https://cf.shopee.tw/file/tw-11134207-7qul2-lh7pemqaqyi446_tn")</f>
        <v/>
      </c>
      <c r="D5839" t="inlineStr">
        <is>
          <t>紅色</t>
        </is>
      </c>
      <c r="E5839" t="inlineStr"/>
      <c r="F5839">
        <f>IMAGE("https://cf.shopee.tw/file/tw-11134207-7qul7-lh1lhu46j12h6a_tn")</f>
        <v/>
      </c>
    </row>
    <row r="5840">
      <c r="A5840" t="inlineStr">
        <is>
          <t>23875310544</t>
        </is>
      </c>
      <c r="B5840" t="inlineStr">
        <is>
          <t>隔日到貨🔥 工裝後背包 學生背包 大容量 防水 學生 背包 百搭 尼龍 B50 手提 雙肩包 背包 書包 潮流 後背</t>
        </is>
      </c>
      <c r="C5840">
        <f>IMAGE("https://cf.shopee.tw/file/tw-11134207-7qul3-ljtqwoukngp938_tn")</f>
        <v/>
      </c>
      <c r="D5840" t="inlineStr">
        <is>
          <t>黑色</t>
        </is>
      </c>
      <c r="E5840" t="inlineStr"/>
      <c r="F5840">
        <f>IMAGE("https://cf.shopee.tw/file/tw-11134207-7r98q-lqrtch9y6qrm61_tn")</f>
        <v/>
      </c>
    </row>
    <row r="5841">
      <c r="A5841" t="inlineStr">
        <is>
          <t>23875310544</t>
        </is>
      </c>
      <c r="B5841" t="inlineStr">
        <is>
          <t>隔日到貨🔥 工裝後背包 學生背包 大容量 防水 學生 背包 百搭 尼龍 B50 手提 雙肩包 背包 書包 潮流 後背</t>
        </is>
      </c>
      <c r="C5841">
        <f>IMAGE("https://cf.shopee.tw/file/tw-11134207-7qul3-ljtqwoukngp938_tn")</f>
        <v/>
      </c>
      <c r="D5841" t="inlineStr">
        <is>
          <t>白色</t>
        </is>
      </c>
      <c r="E5841" t="inlineStr">
        <is>
          <t>235467274267</t>
        </is>
      </c>
      <c r="F5841">
        <f>IMAGE("https://cf.shopee.tw/file/tw-11134207-7qul2-ljsl19ufvnpic0_tn")</f>
        <v/>
      </c>
    </row>
    <row r="5842">
      <c r="A5842" t="inlineStr">
        <is>
          <t>23875310544</t>
        </is>
      </c>
      <c r="B5842" t="inlineStr">
        <is>
          <t>隔日到貨🔥 工裝後背包 學生背包 大容量 防水 學生 背包 百搭 尼龍 B50 手提 雙肩包 背包 書包 潮流 後背</t>
        </is>
      </c>
      <c r="C5842">
        <f>IMAGE("https://cf.shopee.tw/file/tw-11134207-7qul3-ljtqwoukngp938_tn")</f>
        <v/>
      </c>
      <c r="D5842" t="inlineStr">
        <is>
          <t>紫色</t>
        </is>
      </c>
      <c r="E5842" t="inlineStr"/>
      <c r="F5842">
        <f>IMAGE("https://cf.shopee.tw/file/tw-11134207-7qul6-ljsl3n3h339p12_tn")</f>
        <v/>
      </c>
    </row>
    <row r="5843">
      <c r="A5843" t="inlineStr">
        <is>
          <t>23875310544</t>
        </is>
      </c>
      <c r="B5843" t="inlineStr">
        <is>
          <t>隔日到貨🔥 工裝後背包 學生背包 大容量 防水 學生 背包 百搭 尼龍 B50 手提 雙肩包 背包 書包 潮流 後背</t>
        </is>
      </c>
      <c r="C5843">
        <f>IMAGE("https://cf.shopee.tw/file/tw-11134207-7qul3-ljtqwoukngp938_tn")</f>
        <v/>
      </c>
      <c r="D5843" t="inlineStr">
        <is>
          <t>藍色</t>
        </is>
      </c>
      <c r="E5843" t="inlineStr"/>
      <c r="F5843">
        <f>IMAGE("https://cf.shopee.tw/file/tw-11134207-7qukz-ljsl3n3h4hu57a_tn")</f>
        <v/>
      </c>
    </row>
    <row r="5844">
      <c r="A5844" t="inlineStr">
        <is>
          <t>4996216269</t>
        </is>
      </c>
      <c r="B5844" t="inlineStr">
        <is>
          <t>隔日到貨🔥 韓國夏季 卡通小熊拖鞋 休閒鞋 鞋子 厚底 居家拖鞋 室外拖鞋 防滑 耐磨 浴室拖鞋 拖鞋</t>
        </is>
      </c>
      <c r="C5844">
        <f>IMAGE("https://cf.shopee.tw/file/d118ff4a78504abd8dbb32ff0775e076_tn")</f>
        <v/>
      </c>
      <c r="D5844" t="inlineStr">
        <is>
          <t>黑色,38-39（腳長23-24公分）</t>
        </is>
      </c>
      <c r="E5844" t="inlineStr"/>
      <c r="F5844">
        <f>IMAGE("https://cf.shopee.tw/file/06c48e55928e5bc29eec696852621d79_tn")</f>
        <v/>
      </c>
    </row>
    <row r="5845">
      <c r="A5845" t="inlineStr">
        <is>
          <t>4996216269</t>
        </is>
      </c>
      <c r="B5845" t="inlineStr">
        <is>
          <t>隔日到貨🔥 韓國夏季 卡通小熊拖鞋 休閒鞋 鞋子 厚底 居家拖鞋 室外拖鞋 防滑 耐磨 浴室拖鞋 拖鞋</t>
        </is>
      </c>
      <c r="C5845">
        <f>IMAGE("https://cf.shopee.tw/file/d118ff4a78504abd8dbb32ff0775e076_tn")</f>
        <v/>
      </c>
      <c r="D5845" t="inlineStr">
        <is>
          <t>黑色,40-41（腳長24.5-25.5公分）</t>
        </is>
      </c>
      <c r="E5845" t="inlineStr"/>
      <c r="F5845">
        <f>IMAGE("https://cf.shopee.tw/file/06c48e55928e5bc29eec696852621d79_tn")</f>
        <v/>
      </c>
    </row>
    <row r="5846">
      <c r="A5846" t="inlineStr">
        <is>
          <t>4996216269</t>
        </is>
      </c>
      <c r="B5846" t="inlineStr">
        <is>
          <t>隔日到貨🔥 韓國夏季 卡通小熊拖鞋 休閒鞋 鞋子 厚底 居家拖鞋 室外拖鞋 防滑 耐磨 浴室拖鞋 拖鞋</t>
        </is>
      </c>
      <c r="C5846">
        <f>IMAGE("https://cf.shopee.tw/file/d118ff4a78504abd8dbb32ff0775e076_tn")</f>
        <v/>
      </c>
      <c r="D5846" t="inlineStr">
        <is>
          <t>白色,38-39（腳長23-24公分）</t>
        </is>
      </c>
      <c r="E5846" t="inlineStr"/>
      <c r="F5846">
        <f>IMAGE("https://cf.shopee.tw/file/4ad24cf9cab43b10d98dab2a1cc256d0_tn")</f>
        <v/>
      </c>
    </row>
    <row r="5847">
      <c r="A5847" t="inlineStr">
        <is>
          <t>4996216269</t>
        </is>
      </c>
      <c r="B5847" t="inlineStr">
        <is>
          <t>隔日到貨🔥 韓國夏季 卡通小熊拖鞋 休閒鞋 鞋子 厚底 居家拖鞋 室外拖鞋 防滑 耐磨 浴室拖鞋 拖鞋</t>
        </is>
      </c>
      <c r="C5847">
        <f>IMAGE("https://cf.shopee.tw/file/d118ff4a78504abd8dbb32ff0775e076_tn")</f>
        <v/>
      </c>
      <c r="D5847" t="inlineStr">
        <is>
          <t>白色,40-41（腳長24.5-25.5公分）</t>
        </is>
      </c>
      <c r="E5847" t="inlineStr"/>
      <c r="F5847">
        <f>IMAGE("https://cf.shopee.tw/file/4ad24cf9cab43b10d98dab2a1cc256d0_tn")</f>
        <v/>
      </c>
    </row>
    <row r="5848">
      <c r="A5848" t="inlineStr">
        <is>
          <t>8190636889</t>
        </is>
      </c>
      <c r="B5848" t="inlineStr">
        <is>
          <t>隔日到貨🔥 透明殼 Airpods pro 1/2代 軟殼 保護殼 防摔殼 A12 附掛飾 保護套 耳機殼 耳機套</t>
        </is>
      </c>
      <c r="C5848">
        <f>IMAGE("https://cf.shopee.tw/file/47f9e6b3efbf2e5e6677801ab7b152a9_tn")</f>
        <v/>
      </c>
      <c r="D5848" t="inlineStr">
        <is>
          <t>3.干飯兔,Pro/Pro2 (通用)</t>
        </is>
      </c>
      <c r="E5848" t="inlineStr"/>
      <c r="F5848">
        <f>IMAGE("https://cf.shopee.tw/file/sg-11134201-22110-zwneuzjp8vjve8_tn")</f>
        <v/>
      </c>
    </row>
    <row r="5849">
      <c r="A5849" t="inlineStr">
        <is>
          <t>8190636889</t>
        </is>
      </c>
      <c r="B5849" t="inlineStr">
        <is>
          <t>隔日到貨🔥 透明殼 Airpods pro 1/2代 軟殼 保護殼 防摔殼 A12 附掛飾 保護套 耳機殼 耳機套</t>
        </is>
      </c>
      <c r="C5849">
        <f>IMAGE("https://cf.shopee.tw/file/47f9e6b3efbf2e5e6677801ab7b152a9_tn")</f>
        <v/>
      </c>
      <c r="D5849" t="inlineStr">
        <is>
          <t>5.草莓,1代 / 2代</t>
        </is>
      </c>
      <c r="E5849" t="inlineStr"/>
      <c r="F5849">
        <f>IMAGE("https://cf.shopee.tw/file/96fde1ffba3431703d219b0fb77bc366_tn")</f>
        <v/>
      </c>
    </row>
    <row r="5850">
      <c r="A5850" t="inlineStr">
        <is>
          <t>8190636889</t>
        </is>
      </c>
      <c r="B5850" t="inlineStr">
        <is>
          <t>隔日到貨🔥 透明殼 Airpods pro 1/2代 軟殼 保護殼 防摔殼 A12 附掛飾 保護套 耳機殼 耳機套</t>
        </is>
      </c>
      <c r="C5850">
        <f>IMAGE("https://cf.shopee.tw/file/47f9e6b3efbf2e5e6677801ab7b152a9_tn")</f>
        <v/>
      </c>
      <c r="D5850" t="inlineStr">
        <is>
          <t>5.草莓,Pro/Pro2 (通用)</t>
        </is>
      </c>
      <c r="E5850" t="inlineStr"/>
      <c r="F5850">
        <f>IMAGE("https://cf.shopee.tw/file/96fde1ffba3431703d219b0fb77bc366_tn")</f>
        <v/>
      </c>
    </row>
    <row r="5851">
      <c r="A5851" t="inlineStr">
        <is>
          <t>8190636889</t>
        </is>
      </c>
      <c r="B5851" t="inlineStr">
        <is>
          <t>隔日到貨🔥 透明殼 Airpods pro 1/2代 軟殼 保護殼 防摔殼 A12 附掛飾 保護套 耳機殼 耳機套</t>
        </is>
      </c>
      <c r="C5851">
        <f>IMAGE("https://cf.shopee.tw/file/47f9e6b3efbf2e5e6677801ab7b152a9_tn")</f>
        <v/>
      </c>
      <c r="D5851" t="inlineStr">
        <is>
          <t>6.桃子,Pro/Pro2 (通用)</t>
        </is>
      </c>
      <c r="E5851" t="inlineStr"/>
      <c r="F5851">
        <f>IMAGE("https://cf.shopee.tw/file/9cb97269c9d97c1819fb7ccd34674b10_tn")</f>
        <v/>
      </c>
    </row>
    <row r="5852">
      <c r="A5852" t="inlineStr">
        <is>
          <t>8190636889</t>
        </is>
      </c>
      <c r="B5852" t="inlineStr">
        <is>
          <t>隔日到貨🔥 透明殼 Airpods pro 1/2代 軟殼 保護殼 防摔殼 A12 附掛飾 保護套 耳機殼 耳機套</t>
        </is>
      </c>
      <c r="C5852">
        <f>IMAGE("https://cf.shopee.tw/file/47f9e6b3efbf2e5e6677801ab7b152a9_tn")</f>
        <v/>
      </c>
      <c r="D5852" t="inlineStr">
        <is>
          <t>7.牛油果,Pro/Pro2 (通用)</t>
        </is>
      </c>
      <c r="E5852" t="inlineStr"/>
      <c r="F5852">
        <f>IMAGE("https://cf.shopee.tw/file/869d61bab0253494fb3347bcd470165a_tn")</f>
        <v/>
      </c>
    </row>
    <row r="5853">
      <c r="A5853" t="inlineStr">
        <is>
          <t>8190636889</t>
        </is>
      </c>
      <c r="B5853" t="inlineStr">
        <is>
          <t>隔日到貨🔥 透明殼 Airpods pro 1/2代 軟殼 保護殼 防摔殼 A12 附掛飾 保護套 耳機殼 耳機套</t>
        </is>
      </c>
      <c r="C5853">
        <f>IMAGE("https://cf.shopee.tw/file/47f9e6b3efbf2e5e6677801ab7b152a9_tn")</f>
        <v/>
      </c>
      <c r="D5853" t="inlineStr">
        <is>
          <t>8.女宇航員,1代 / 2代</t>
        </is>
      </c>
      <c r="E5853" t="inlineStr"/>
      <c r="F5853">
        <f>IMAGE("https://cf.shopee.tw/file/9f67625ce3e932db5577d77449bcd38b_tn")</f>
        <v/>
      </c>
    </row>
    <row r="5854">
      <c r="A5854" t="inlineStr">
        <is>
          <t>8190636889</t>
        </is>
      </c>
      <c r="B5854" t="inlineStr">
        <is>
          <t>隔日到貨🔥 透明殼 Airpods pro 1/2代 軟殼 保護殼 防摔殼 A12 附掛飾 保護套 耳機殼 耳機套</t>
        </is>
      </c>
      <c r="C5854">
        <f>IMAGE("https://cf.shopee.tw/file/47f9e6b3efbf2e5e6677801ab7b152a9_tn")</f>
        <v/>
      </c>
      <c r="D5854" t="inlineStr">
        <is>
          <t>10.音樂小兔,Pro/Pro2 (通用)</t>
        </is>
      </c>
      <c r="E5854" t="inlineStr"/>
      <c r="F5854">
        <f>IMAGE("https://cf.shopee.tw/file/sg-11134201-22110-1yf8dw2p8vjv79_tn")</f>
        <v/>
      </c>
    </row>
    <row r="5855">
      <c r="A5855" t="inlineStr">
        <is>
          <t>8190636889</t>
        </is>
      </c>
      <c r="B5855" t="inlineStr">
        <is>
          <t>隔日到貨🔥 透明殼 Airpods pro 1/2代 軟殼 保護殼 防摔殼 A12 附掛飾 保護套 耳機殼 耳機套</t>
        </is>
      </c>
      <c r="C5855">
        <f>IMAGE("https://cf.shopee.tw/file/47f9e6b3efbf2e5e6677801ab7b152a9_tn")</f>
        <v/>
      </c>
      <c r="D5855" t="inlineStr">
        <is>
          <t>12.飛機宇航員,1代 / 2代</t>
        </is>
      </c>
      <c r="E5855" t="inlineStr"/>
      <c r="F5855">
        <f>IMAGE("https://cf.shopee.tw/file/ad819d5da691c44246c70e2e8e20b18b_tn")</f>
        <v/>
      </c>
    </row>
    <row r="5856">
      <c r="A5856" t="inlineStr">
        <is>
          <t>8190636889</t>
        </is>
      </c>
      <c r="B5856" t="inlineStr">
        <is>
          <t>隔日到貨🔥 透明殼 Airpods pro 1/2代 軟殼 保護殼 防摔殼 A12 附掛飾 保護套 耳機殼 耳機套</t>
        </is>
      </c>
      <c r="C5856">
        <f>IMAGE("https://cf.shopee.tw/file/47f9e6b3efbf2e5e6677801ab7b152a9_tn")</f>
        <v/>
      </c>
      <c r="D5856" t="inlineStr">
        <is>
          <t>12.飛機宇航員,Pro/Pro2 (通用)</t>
        </is>
      </c>
      <c r="E5856" t="inlineStr"/>
      <c r="F5856">
        <f>IMAGE("https://cf.shopee.tw/file/ad819d5da691c44246c70e2e8e20b18b_tn")</f>
        <v/>
      </c>
    </row>
    <row r="5857">
      <c r="A5857" t="inlineStr">
        <is>
          <t>8190636889</t>
        </is>
      </c>
      <c r="B5857" t="inlineStr">
        <is>
          <t>隔日到貨🔥 透明殼 Airpods pro 1/2代 軟殼 保護殼 防摔殼 A12 附掛飾 保護套 耳機殼 耳機套</t>
        </is>
      </c>
      <c r="C5857">
        <f>IMAGE("https://cf.shopee.tw/file/47f9e6b3efbf2e5e6677801ab7b152a9_tn")</f>
        <v/>
      </c>
      <c r="D5857" t="inlineStr">
        <is>
          <t>13.小狗,1代 / 2代</t>
        </is>
      </c>
      <c r="E5857" t="inlineStr"/>
      <c r="F5857">
        <f>IMAGE("https://cf.shopee.tw/file/7b2fc0f8152a88bd15714bae918183dd_tn")</f>
        <v/>
      </c>
    </row>
    <row r="5858">
      <c r="A5858" t="inlineStr">
        <is>
          <t>8190636889</t>
        </is>
      </c>
      <c r="B5858" t="inlineStr">
        <is>
          <t>隔日到貨🔥 透明殼 Airpods pro 1/2代 軟殼 保護殼 防摔殼 A12 附掛飾 保護套 耳機殼 耳機套</t>
        </is>
      </c>
      <c r="C5858">
        <f>IMAGE("https://cf.shopee.tw/file/47f9e6b3efbf2e5e6677801ab7b152a9_tn")</f>
        <v/>
      </c>
      <c r="D5858" t="inlineStr">
        <is>
          <t>13.小狗,Pro/Pro2 (通用)</t>
        </is>
      </c>
      <c r="E5858" t="inlineStr"/>
      <c r="F5858">
        <f>IMAGE("https://cf.shopee.tw/file/7b2fc0f8152a88bd15714bae918183dd_tn")</f>
        <v/>
      </c>
    </row>
    <row r="5859">
      <c r="A5859" t="inlineStr">
        <is>
          <t>8190636889</t>
        </is>
      </c>
      <c r="B5859" t="inlineStr">
        <is>
          <t>隔日到貨🔥 透明殼 Airpods pro 1/2代 軟殼 保護殼 防摔殼 A12 附掛飾 保護套 耳機殼 耳機套</t>
        </is>
      </c>
      <c r="C5859">
        <f>IMAGE("https://cf.shopee.tw/file/47f9e6b3efbf2e5e6677801ab7b152a9_tn")</f>
        <v/>
      </c>
      <c r="D5859" t="inlineStr">
        <is>
          <t>1.忙碌熊,1代 / 2代</t>
        </is>
      </c>
      <c r="E5859" t="inlineStr">
        <is>
          <t>84389152466</t>
        </is>
      </c>
      <c r="F5859">
        <f>IMAGE("https://cf.shopee.tw/file/sg-11134201-22110-kiwg3rbp8vjv38_tn")</f>
        <v/>
      </c>
    </row>
    <row r="5860">
      <c r="A5860" t="inlineStr">
        <is>
          <t>8190636889</t>
        </is>
      </c>
      <c r="B5860" t="inlineStr">
        <is>
          <t>隔日到貨🔥 透明殼 Airpods pro 1/2代 軟殼 保護殼 防摔殼 A12 附掛飾 保護套 耳機殼 耳機套</t>
        </is>
      </c>
      <c r="C5860">
        <f>IMAGE("https://cf.shopee.tw/file/47f9e6b3efbf2e5e6677801ab7b152a9_tn")</f>
        <v/>
      </c>
      <c r="D5860" t="inlineStr">
        <is>
          <t>1.忙碌熊,Pro/Pro2 (通用)</t>
        </is>
      </c>
      <c r="E5860" t="inlineStr"/>
      <c r="F5860">
        <f>IMAGE("https://cf.shopee.tw/file/sg-11134201-22110-kiwg3rbp8vjv38_tn")</f>
        <v/>
      </c>
    </row>
    <row r="5861">
      <c r="A5861" t="inlineStr">
        <is>
          <t>8190636889</t>
        </is>
      </c>
      <c r="B5861" t="inlineStr">
        <is>
          <t>隔日到貨🔥 透明殼 Airpods pro 1/2代 軟殼 保護殼 防摔殼 A12 附掛飾 保護套 耳機殼 耳機套</t>
        </is>
      </c>
      <c r="C5861">
        <f>IMAGE("https://cf.shopee.tw/file/47f9e6b3efbf2e5e6677801ab7b152a9_tn")</f>
        <v/>
      </c>
      <c r="D5861" t="inlineStr">
        <is>
          <t>2.悠閒兔,1代 / 2代</t>
        </is>
      </c>
      <c r="E5861" t="inlineStr">
        <is>
          <t>84389152453</t>
        </is>
      </c>
      <c r="F5861">
        <f>IMAGE("https://cf.shopee.tw/file/sg-11134201-22110-sirlcsfp8vjv07_tn")</f>
        <v/>
      </c>
    </row>
    <row r="5862">
      <c r="A5862" t="inlineStr">
        <is>
          <t>8190636889</t>
        </is>
      </c>
      <c r="B5862" t="inlineStr">
        <is>
          <t>隔日到貨🔥 透明殼 Airpods pro 1/2代 軟殼 保護殼 防摔殼 A12 附掛飾 保護套 耳機殼 耳機套</t>
        </is>
      </c>
      <c r="C5862">
        <f>IMAGE("https://cf.shopee.tw/file/47f9e6b3efbf2e5e6677801ab7b152a9_tn")</f>
        <v/>
      </c>
      <c r="D5862" t="inlineStr">
        <is>
          <t>2.悠閒兔,Pro/Pro2 (通用)</t>
        </is>
      </c>
      <c r="E5862" t="inlineStr"/>
      <c r="F5862">
        <f>IMAGE("https://cf.shopee.tw/file/sg-11134201-22110-sirlcsfp8vjv07_tn")</f>
        <v/>
      </c>
    </row>
    <row r="5863">
      <c r="A5863" t="inlineStr">
        <is>
          <t>8190636889</t>
        </is>
      </c>
      <c r="B5863" t="inlineStr">
        <is>
          <t>隔日到貨🔥 透明殼 Airpods pro 1/2代 軟殼 保護殼 防摔殼 A12 附掛飾 保護套 耳機殼 耳機套</t>
        </is>
      </c>
      <c r="C5863">
        <f>IMAGE("https://cf.shopee.tw/file/47f9e6b3efbf2e5e6677801ab7b152a9_tn")</f>
        <v/>
      </c>
      <c r="D5863" t="inlineStr">
        <is>
          <t>3.干飯兔,1代 / 2代</t>
        </is>
      </c>
      <c r="E5863" t="inlineStr">
        <is>
          <t>84389152447</t>
        </is>
      </c>
      <c r="F5863">
        <f>IMAGE("https://cf.shopee.tw/file/sg-11134201-22110-zwneuzjp8vjve8_tn")</f>
        <v/>
      </c>
    </row>
    <row r="5864">
      <c r="A5864" t="inlineStr">
        <is>
          <t>8190636889</t>
        </is>
      </c>
      <c r="B5864" t="inlineStr">
        <is>
          <t>隔日到貨🔥 透明殼 Airpods pro 1/2代 軟殼 保護殼 防摔殼 A12 附掛飾 保護套 耳機殼 耳機套</t>
        </is>
      </c>
      <c r="C5864">
        <f>IMAGE("https://cf.shopee.tw/file/47f9e6b3efbf2e5e6677801ab7b152a9_tn")</f>
        <v/>
      </c>
      <c r="D5864" t="inlineStr">
        <is>
          <t>4.干飯熊,1代 / 2代</t>
        </is>
      </c>
      <c r="E5864" t="inlineStr"/>
      <c r="F5864">
        <f>IMAGE("https://cf.shopee.tw/file/sg-11134201-22110-otjh9omp8vjve9_tn")</f>
        <v/>
      </c>
    </row>
    <row r="5865">
      <c r="A5865" t="inlineStr">
        <is>
          <t>8190636889</t>
        </is>
      </c>
      <c r="B5865" t="inlineStr">
        <is>
          <t>隔日到貨🔥 透明殼 Airpods pro 1/2代 軟殼 保護殼 防摔殼 A12 附掛飾 保護套 耳機殼 耳機套</t>
        </is>
      </c>
      <c r="C5865">
        <f>IMAGE("https://cf.shopee.tw/file/47f9e6b3efbf2e5e6677801ab7b152a9_tn")</f>
        <v/>
      </c>
      <c r="D5865" t="inlineStr">
        <is>
          <t>4.干飯熊,Pro/Pro2 (通用)</t>
        </is>
      </c>
      <c r="E5865" t="inlineStr"/>
      <c r="F5865">
        <f>IMAGE("https://cf.shopee.tw/file/sg-11134201-22110-otjh9omp8vjve9_tn")</f>
        <v/>
      </c>
    </row>
    <row r="5866">
      <c r="A5866" t="inlineStr">
        <is>
          <t>8190636889</t>
        </is>
      </c>
      <c r="B5866" t="inlineStr">
        <is>
          <t>隔日到貨🔥 透明殼 Airpods pro 1/2代 軟殼 保護殼 防摔殼 A12 附掛飾 保護套 耳機殼 耳機套</t>
        </is>
      </c>
      <c r="C5866">
        <f>IMAGE("https://cf.shopee.tw/file/47f9e6b3efbf2e5e6677801ab7b152a9_tn")</f>
        <v/>
      </c>
      <c r="D5866" t="inlineStr">
        <is>
          <t>6.桃子,1代 / 2代</t>
        </is>
      </c>
      <c r="E5866" t="inlineStr"/>
      <c r="F5866">
        <f>IMAGE("https://cf.shopee.tw/file/9cb97269c9d97c1819fb7ccd34674b10_tn")</f>
        <v/>
      </c>
    </row>
    <row r="5867">
      <c r="A5867" t="inlineStr">
        <is>
          <t>8190636889</t>
        </is>
      </c>
      <c r="B5867" t="inlineStr">
        <is>
          <t>隔日到貨🔥 透明殼 Airpods pro 1/2代 軟殼 保護殼 防摔殼 A12 附掛飾 保護套 耳機殼 耳機套</t>
        </is>
      </c>
      <c r="C5867">
        <f>IMAGE("https://cf.shopee.tw/file/47f9e6b3efbf2e5e6677801ab7b152a9_tn")</f>
        <v/>
      </c>
      <c r="D5867" t="inlineStr">
        <is>
          <t>7.牛油果,1代 / 2代</t>
        </is>
      </c>
      <c r="E5867" t="inlineStr"/>
      <c r="F5867">
        <f>IMAGE("https://cf.shopee.tw/file/869d61bab0253494fb3347bcd470165a_tn")</f>
        <v/>
      </c>
    </row>
    <row r="5868">
      <c r="A5868" t="inlineStr">
        <is>
          <t>8190636889</t>
        </is>
      </c>
      <c r="B5868" t="inlineStr">
        <is>
          <t>隔日到貨🔥 透明殼 Airpods pro 1/2代 軟殼 保護殼 防摔殼 A12 附掛飾 保護套 耳機殼 耳機套</t>
        </is>
      </c>
      <c r="C5868">
        <f>IMAGE("https://cf.shopee.tw/file/47f9e6b3efbf2e5e6677801ab7b152a9_tn")</f>
        <v/>
      </c>
      <c r="D5868" t="inlineStr">
        <is>
          <t>8.女宇航員,Pro/Pro2 (通用)</t>
        </is>
      </c>
      <c r="E5868" t="inlineStr"/>
      <c r="F5868">
        <f>IMAGE("https://cf.shopee.tw/file/9f67625ce3e932db5577d77449bcd38b_tn")</f>
        <v/>
      </c>
    </row>
    <row r="5869">
      <c r="A5869" t="inlineStr">
        <is>
          <t>8190636889</t>
        </is>
      </c>
      <c r="B5869" t="inlineStr">
        <is>
          <t>隔日到貨🔥 透明殼 Airpods pro 1/2代 軟殼 保護殼 防摔殼 A12 附掛飾 保護套 耳機殼 耳機套</t>
        </is>
      </c>
      <c r="C5869">
        <f>IMAGE("https://cf.shopee.tw/file/47f9e6b3efbf2e5e6677801ab7b152a9_tn")</f>
        <v/>
      </c>
      <c r="D5869" t="inlineStr">
        <is>
          <t>9.音樂小熊,1代 / 2代</t>
        </is>
      </c>
      <c r="E5869" t="inlineStr"/>
      <c r="F5869">
        <f>IMAGE("https://cf.shopee.tw/file/sg-11134201-22110-z7d4jvxp8vjva4_tn")</f>
        <v/>
      </c>
    </row>
    <row r="5870">
      <c r="A5870" t="inlineStr">
        <is>
          <t>8190636889</t>
        </is>
      </c>
      <c r="B5870" t="inlineStr">
        <is>
          <t>隔日到貨🔥 透明殼 Airpods pro 1/2代 軟殼 保護殼 防摔殼 A12 附掛飾 保護套 耳機殼 耳機套</t>
        </is>
      </c>
      <c r="C5870">
        <f>IMAGE("https://cf.shopee.tw/file/47f9e6b3efbf2e5e6677801ab7b152a9_tn")</f>
        <v/>
      </c>
      <c r="D5870" t="inlineStr">
        <is>
          <t>9.音樂小熊,Pro/Pro2 (通用)</t>
        </is>
      </c>
      <c r="E5870" t="inlineStr"/>
      <c r="F5870">
        <f>IMAGE("https://cf.shopee.tw/file/sg-11134201-22110-z7d4jvxp8vjva4_tn")</f>
        <v/>
      </c>
    </row>
    <row r="5871">
      <c r="A5871" t="inlineStr">
        <is>
          <t>8190636889</t>
        </is>
      </c>
      <c r="B5871" t="inlineStr">
        <is>
          <t>隔日到貨🔥 透明殼 Airpods pro 1/2代 軟殼 保護殼 防摔殼 A12 附掛飾 保護套 耳機殼 耳機套</t>
        </is>
      </c>
      <c r="C5871">
        <f>IMAGE("https://cf.shopee.tw/file/47f9e6b3efbf2e5e6677801ab7b152a9_tn")</f>
        <v/>
      </c>
      <c r="D5871" t="inlineStr">
        <is>
          <t>10.音樂小兔,1代 / 2代</t>
        </is>
      </c>
      <c r="E5871" t="inlineStr"/>
      <c r="F5871">
        <f>IMAGE("https://cf.shopee.tw/file/sg-11134201-22110-1yf8dw2p8vjv79_tn")</f>
        <v/>
      </c>
    </row>
    <row r="5872">
      <c r="A5872" t="inlineStr">
        <is>
          <t>8190636889</t>
        </is>
      </c>
      <c r="B5872" t="inlineStr">
        <is>
          <t>隔日到貨🔥 透明殼 Airpods pro 1/2代 軟殼 保護殼 防摔殼 A12 附掛飾 保護套 耳機殼 耳機套</t>
        </is>
      </c>
      <c r="C5872">
        <f>IMAGE("https://cf.shopee.tw/file/47f9e6b3efbf2e5e6677801ab7b152a9_tn")</f>
        <v/>
      </c>
      <c r="D5872" t="inlineStr">
        <is>
          <t>11.宇航牛,1代 / 2代</t>
        </is>
      </c>
      <c r="E5872" t="inlineStr"/>
      <c r="F5872">
        <f>IMAGE("https://cf.shopee.tw/file/f529f307bf797c328fe1c267c9bd71fd_tn")</f>
        <v/>
      </c>
    </row>
    <row r="5873">
      <c r="A5873" t="inlineStr">
        <is>
          <t>8190636889</t>
        </is>
      </c>
      <c r="B5873" t="inlineStr">
        <is>
          <t>隔日到貨🔥 透明殼 Airpods pro 1/2代 軟殼 保護殼 防摔殼 A12 附掛飾 保護套 耳機殼 耳機套</t>
        </is>
      </c>
      <c r="C5873">
        <f>IMAGE("https://cf.shopee.tw/file/47f9e6b3efbf2e5e6677801ab7b152a9_tn")</f>
        <v/>
      </c>
      <c r="D5873" t="inlineStr">
        <is>
          <t>11.宇航牛,Pro/Pro2 (通用)</t>
        </is>
      </c>
      <c r="E5873" t="inlineStr">
        <is>
          <t>84389152452</t>
        </is>
      </c>
      <c r="F5873">
        <f>IMAGE("https://cf.shopee.tw/file/f529f307bf797c328fe1c267c9bd71fd_tn")</f>
        <v/>
      </c>
    </row>
    <row r="5874">
      <c r="A5874" t="inlineStr">
        <is>
          <t>3826074193</t>
        </is>
      </c>
      <c r="B5874" t="inlineStr">
        <is>
          <t>隔日到貨🔥 草莓 菜瓜布 廚房用 洗碗刷 洗鍋刷 廚房必備 廚房用品 廚房清潔 廚房菜瓜布</t>
        </is>
      </c>
      <c r="C5874">
        <f>IMAGE("https://cf.shopee.tw/file/524bb653433d156e0d2b12a5a0f85d1d_tn")</f>
        <v/>
      </c>
      <c r="D5874" t="inlineStr">
        <is>
          <t>橙色</t>
        </is>
      </c>
      <c r="E5874" t="inlineStr"/>
      <c r="F5874">
        <f>IMAGE("https://cf.shopee.tw/file/91ba981a675c3790e03c206ce7d69fff_tn")</f>
        <v/>
      </c>
    </row>
    <row r="5875">
      <c r="A5875" t="inlineStr">
        <is>
          <t>3826074193</t>
        </is>
      </c>
      <c r="B5875" t="inlineStr">
        <is>
          <t>隔日到貨🔥 草莓 菜瓜布 廚房用 洗碗刷 洗鍋刷 廚房必備 廚房用品 廚房清潔 廚房菜瓜布</t>
        </is>
      </c>
      <c r="C5875">
        <f>IMAGE("https://cf.shopee.tw/file/524bb653433d156e0d2b12a5a0f85d1d_tn")</f>
        <v/>
      </c>
      <c r="D5875" t="inlineStr">
        <is>
          <t>玫紅</t>
        </is>
      </c>
      <c r="E5875" t="inlineStr"/>
      <c r="F5875">
        <f>IMAGE("https://cf.shopee.tw/file/8822860cca64e0fbadb6bb20c73452a3_tn")</f>
        <v/>
      </c>
    </row>
    <row r="5876">
      <c r="A5876" t="inlineStr">
        <is>
          <t>3826074193</t>
        </is>
      </c>
      <c r="B5876" t="inlineStr">
        <is>
          <t>隔日到貨🔥 草莓 菜瓜布 廚房用 洗碗刷 洗鍋刷 廚房必備 廚房用品 廚房清潔 廚房菜瓜布</t>
        </is>
      </c>
      <c r="C5876">
        <f>IMAGE("https://cf.shopee.tw/file/524bb653433d156e0d2b12a5a0f85d1d_tn")</f>
        <v/>
      </c>
      <c r="D5876" t="inlineStr">
        <is>
          <t>黃色</t>
        </is>
      </c>
      <c r="E5876" t="inlineStr"/>
      <c r="F5876">
        <f>IMAGE("https://cf.shopee.tw/file/502484330962ab7e69636abf29690838_tn")</f>
        <v/>
      </c>
    </row>
    <row r="5877">
      <c r="A5877" t="inlineStr">
        <is>
          <t>3826074193</t>
        </is>
      </c>
      <c r="B5877" t="inlineStr">
        <is>
          <t>隔日到貨🔥 草莓 菜瓜布 廚房用 洗碗刷 洗鍋刷 廚房必備 廚房用品 廚房清潔 廚房菜瓜布</t>
        </is>
      </c>
      <c r="C5877">
        <f>IMAGE("https://cf.shopee.tw/file/524bb653433d156e0d2b12a5a0f85d1d_tn")</f>
        <v/>
      </c>
      <c r="D5877" t="inlineStr">
        <is>
          <t>紅色</t>
        </is>
      </c>
      <c r="E5877" t="inlineStr"/>
      <c r="F5877">
        <f>IMAGE("https://cf.shopee.tw/file/3bff8055b376c727f86f5e88e56098e2_tn")</f>
        <v/>
      </c>
    </row>
    <row r="5878">
      <c r="A5878" t="inlineStr">
        <is>
          <t>4261732013</t>
        </is>
      </c>
      <c r="B5878" t="inlineStr">
        <is>
          <t>隔日到貨🔥 韓版瓜皮毛帽 短毛帽 針織毛帽 情侶帽 男女毛帽 ins 韓系穿搭 水兵帽 素面毛帽 短毛帽 瓜皮</t>
        </is>
      </c>
      <c r="C5878">
        <f>IMAGE("https://cf.shopee.tw/file/67cecc3349992e9e0929e1cdfa5561cd_tn")</f>
        <v/>
      </c>
      <c r="D5878" t="inlineStr">
        <is>
          <t>米白色</t>
        </is>
      </c>
      <c r="E5878" t="inlineStr"/>
      <c r="F5878">
        <f>IMAGE("https://cf.shopee.tw/file/0e6c89b623bea2d914d4e3480108cea0_tn")</f>
        <v/>
      </c>
    </row>
    <row r="5879">
      <c r="A5879" t="inlineStr">
        <is>
          <t>4261732013</t>
        </is>
      </c>
      <c r="B5879" t="inlineStr">
        <is>
          <t>隔日到貨🔥 韓版瓜皮毛帽 短毛帽 針織毛帽 情侶帽 男女毛帽 ins 韓系穿搭 水兵帽 素面毛帽 短毛帽 瓜皮</t>
        </is>
      </c>
      <c r="C5879">
        <f>IMAGE("https://cf.shopee.tw/file/67cecc3349992e9e0929e1cdfa5561cd_tn")</f>
        <v/>
      </c>
      <c r="D5879" t="inlineStr">
        <is>
          <t>黑色</t>
        </is>
      </c>
      <c r="E5879" t="inlineStr"/>
      <c r="F5879">
        <f>IMAGE("https://cf.shopee.tw/file/bb4f91f2acc36b9c259dc98c4cb4bff9_tn")</f>
        <v/>
      </c>
    </row>
    <row r="5880">
      <c r="A5880" t="inlineStr">
        <is>
          <t>4261732013</t>
        </is>
      </c>
      <c r="B5880" t="inlineStr">
        <is>
          <t>隔日到貨🔥 韓版瓜皮毛帽 短毛帽 針織毛帽 情侶帽 男女毛帽 ins 韓系穿搭 水兵帽 素面毛帽 短毛帽 瓜皮</t>
        </is>
      </c>
      <c r="C5880">
        <f>IMAGE("https://cf.shopee.tw/file/67cecc3349992e9e0929e1cdfa5561cd_tn")</f>
        <v/>
      </c>
      <c r="D5880" t="inlineStr">
        <is>
          <t>黃色</t>
        </is>
      </c>
      <c r="E5880" t="inlineStr"/>
      <c r="F5880">
        <f>IMAGE("https://cf.shopee.tw/file/83564bf6730aa82021d3c61f2be134cb_tn")</f>
        <v/>
      </c>
    </row>
    <row r="5881">
      <c r="A5881" t="inlineStr">
        <is>
          <t>4261732013</t>
        </is>
      </c>
      <c r="B5881" t="inlineStr">
        <is>
          <t>隔日到貨🔥 韓版瓜皮毛帽 短毛帽 針織毛帽 情侶帽 男女毛帽 ins 韓系穿搭 水兵帽 素面毛帽 短毛帽 瓜皮</t>
        </is>
      </c>
      <c r="C5881">
        <f>IMAGE("https://cf.shopee.tw/file/67cecc3349992e9e0929e1cdfa5561cd_tn")</f>
        <v/>
      </c>
      <c r="D5881" t="inlineStr">
        <is>
          <t>灰色</t>
        </is>
      </c>
      <c r="E5881" t="inlineStr"/>
      <c r="F5881">
        <f>IMAGE("https://cf.shopee.tw/file/de2de4d536c5ca982f396dadb68ddef3_tn")</f>
        <v/>
      </c>
    </row>
    <row r="5882">
      <c r="A5882" t="inlineStr">
        <is>
          <t>4261732013</t>
        </is>
      </c>
      <c r="B5882" t="inlineStr">
        <is>
          <t>隔日到貨🔥 韓版瓜皮毛帽 短毛帽 針織毛帽 情侶帽 男女毛帽 ins 韓系穿搭 水兵帽 素面毛帽 短毛帽 瓜皮</t>
        </is>
      </c>
      <c r="C5882">
        <f>IMAGE("https://cf.shopee.tw/file/67cecc3349992e9e0929e1cdfa5561cd_tn")</f>
        <v/>
      </c>
      <c r="D5882" t="inlineStr">
        <is>
          <t>酒紅色</t>
        </is>
      </c>
      <c r="E5882" t="inlineStr"/>
      <c r="F5882">
        <f>IMAGE("https://cf.shopee.tw/file/63a396f19abee5d6a369061c7436cbae_tn")</f>
        <v/>
      </c>
    </row>
    <row r="5883">
      <c r="A5883" t="inlineStr">
        <is>
          <t>4261732013</t>
        </is>
      </c>
      <c r="B5883" t="inlineStr">
        <is>
          <t>隔日到貨🔥 韓版瓜皮毛帽 短毛帽 針織毛帽 情侶帽 男女毛帽 ins 韓系穿搭 水兵帽 素面毛帽 短毛帽 瓜皮</t>
        </is>
      </c>
      <c r="C5883">
        <f>IMAGE("https://cf.shopee.tw/file/67cecc3349992e9e0929e1cdfa5561cd_tn")</f>
        <v/>
      </c>
      <c r="D5883" t="inlineStr">
        <is>
          <t>寶藍色</t>
        </is>
      </c>
      <c r="E5883" t="inlineStr"/>
      <c r="F5883">
        <f>IMAGE("https://cf.shopee.tw/file/01b3774b68dc40f3c901345c11e1fd9d_tn")</f>
        <v/>
      </c>
    </row>
    <row r="5884">
      <c r="A5884" t="inlineStr">
        <is>
          <t>4261732013</t>
        </is>
      </c>
      <c r="B5884" t="inlineStr">
        <is>
          <t>隔日到貨🔥 韓版瓜皮毛帽 短毛帽 針織毛帽 情侶帽 男女毛帽 ins 韓系穿搭 水兵帽 素面毛帽 短毛帽 瓜皮</t>
        </is>
      </c>
      <c r="C5884">
        <f>IMAGE("https://cf.shopee.tw/file/67cecc3349992e9e0929e1cdfa5561cd_tn")</f>
        <v/>
      </c>
      <c r="D5884" t="inlineStr">
        <is>
          <t>墨綠色</t>
        </is>
      </c>
      <c r="E5884" t="inlineStr"/>
      <c r="F5884">
        <f>IMAGE("https://cf.shopee.tw/file/42c35e6b948ba4dcb280a4eaab0b979f_tn")</f>
        <v/>
      </c>
    </row>
    <row r="5885">
      <c r="A5885" t="inlineStr">
        <is>
          <t>9410853869</t>
        </is>
      </c>
      <c r="B5885" t="inlineStr">
        <is>
          <t>隔日到貨🔥 ins 韓妞休閒大容量 後背包 雙肩 學生 背包 百搭 尼龍 雙肩包 背包 少女 書包 後背</t>
        </is>
      </c>
      <c r="C5885">
        <f>IMAGE("https://cf.shopee.tw/file/a1cfc71e6dfe6d9ebea9f96483df04e2_tn")</f>
        <v/>
      </c>
      <c r="D5885" t="inlineStr">
        <is>
          <t>卡其色</t>
        </is>
      </c>
      <c r="E5885" t="inlineStr"/>
      <c r="F5885">
        <f>IMAGE("https://cf.shopee.tw/file/58f3038493c11ac46a7ff5f9be34ab30_tn")</f>
        <v/>
      </c>
    </row>
    <row r="5886">
      <c r="A5886" t="inlineStr">
        <is>
          <t>9410853869</t>
        </is>
      </c>
      <c r="B5886" t="inlineStr">
        <is>
          <t>隔日到貨🔥 ins 韓妞休閒大容量 後背包 雙肩 學生 背包 百搭 尼龍 雙肩包 背包 少女 書包 後背</t>
        </is>
      </c>
      <c r="C5886">
        <f>IMAGE("https://cf.shopee.tw/file/a1cfc71e6dfe6d9ebea9f96483df04e2_tn")</f>
        <v/>
      </c>
      <c r="D5886" t="inlineStr">
        <is>
          <t>天空藍</t>
        </is>
      </c>
      <c r="E5886" t="inlineStr"/>
      <c r="F5886">
        <f>IMAGE("https://cf.shopee.tw/file/19a35dcbb8ccbf71ee4221cd3a731c93_tn")</f>
        <v/>
      </c>
    </row>
    <row r="5887">
      <c r="A5887" t="inlineStr">
        <is>
          <t>9410853869</t>
        </is>
      </c>
      <c r="B5887" t="inlineStr">
        <is>
          <t>隔日到貨🔥 ins 韓妞休閒大容量 後背包 雙肩 學生 背包 百搭 尼龍 雙肩包 背包 少女 書包 後背</t>
        </is>
      </c>
      <c r="C5887">
        <f>IMAGE("https://cf.shopee.tw/file/a1cfc71e6dfe6d9ebea9f96483df04e2_tn")</f>
        <v/>
      </c>
      <c r="D5887" t="inlineStr">
        <is>
          <t>粉色</t>
        </is>
      </c>
      <c r="E5887" t="inlineStr"/>
      <c r="F5887">
        <f>IMAGE("https://cf.shopee.tw/file/b3711a2e216e6407492839077f394ea5_tn")</f>
        <v/>
      </c>
    </row>
    <row r="5888">
      <c r="A5888" t="inlineStr">
        <is>
          <t>9410853869</t>
        </is>
      </c>
      <c r="B5888" t="inlineStr">
        <is>
          <t>隔日到貨🔥 ins 韓妞休閒大容量 後背包 雙肩 學生 背包 百搭 尼龍 雙肩包 背包 少女 書包 後背</t>
        </is>
      </c>
      <c r="C5888">
        <f>IMAGE("https://cf.shopee.tw/file/a1cfc71e6dfe6d9ebea9f96483df04e2_tn")</f>
        <v/>
      </c>
      <c r="D5888" t="inlineStr">
        <is>
          <t>黑色</t>
        </is>
      </c>
      <c r="E5888" t="inlineStr"/>
      <c r="F5888">
        <f>IMAGE("https://cf.shopee.tw/file/48a6cf7364886be24503a2b6958c0e5c_tn")</f>
        <v/>
      </c>
    </row>
    <row r="5889">
      <c r="A5889" t="inlineStr">
        <is>
          <t>9636086643</t>
        </is>
      </c>
      <c r="B5889" t="inlineStr">
        <is>
          <t>隔日到貨🔥 夏日必備 西裝短褲 高腰 闊腿 五分 短褲 附皮帶 寬鬆 顯瘦 ins 韓版 女生短褲 褲子 女褲</t>
        </is>
      </c>
      <c r="C5889">
        <f>IMAGE("https://cf.shopee.tw/file/d0b822f6162f95c9195403f59ef4eabd_tn")</f>
        <v/>
      </c>
      <c r="D5889" t="inlineStr">
        <is>
          <t>卡其色,S</t>
        </is>
      </c>
      <c r="E5889" t="inlineStr"/>
      <c r="F5889">
        <f>IMAGE("https://cf.shopee.tw/file/d0b822f6162f95c9195403f59ef4eabd_tn")</f>
        <v/>
      </c>
    </row>
    <row r="5890">
      <c r="A5890" t="inlineStr">
        <is>
          <t>9636086643</t>
        </is>
      </c>
      <c r="B5890" t="inlineStr">
        <is>
          <t>隔日到貨🔥 夏日必備 西裝短褲 高腰 闊腿 五分 短褲 附皮帶 寬鬆 顯瘦 ins 韓版 女生短褲 褲子 女褲</t>
        </is>
      </c>
      <c r="C5890">
        <f>IMAGE("https://cf.shopee.tw/file/d0b822f6162f95c9195403f59ef4eabd_tn")</f>
        <v/>
      </c>
      <c r="D5890" t="inlineStr">
        <is>
          <t>卡其色,M</t>
        </is>
      </c>
      <c r="E5890" t="inlineStr"/>
      <c r="F5890">
        <f>IMAGE("https://cf.shopee.tw/file/d0b822f6162f95c9195403f59ef4eabd_tn")</f>
        <v/>
      </c>
    </row>
    <row r="5891">
      <c r="A5891" t="inlineStr">
        <is>
          <t>9636086643</t>
        </is>
      </c>
      <c r="B5891" t="inlineStr">
        <is>
          <t>隔日到貨🔥 夏日必備 西裝短褲 高腰 闊腿 五分 短褲 附皮帶 寬鬆 顯瘦 ins 韓版 女生短褲 褲子 女褲</t>
        </is>
      </c>
      <c r="C5891">
        <f>IMAGE("https://cf.shopee.tw/file/d0b822f6162f95c9195403f59ef4eabd_tn")</f>
        <v/>
      </c>
      <c r="D5891" t="inlineStr">
        <is>
          <t>卡其色,L</t>
        </is>
      </c>
      <c r="E5891" t="inlineStr"/>
      <c r="F5891">
        <f>IMAGE("https://cf.shopee.tw/file/d0b822f6162f95c9195403f59ef4eabd_tn")</f>
        <v/>
      </c>
    </row>
    <row r="5892">
      <c r="A5892" t="inlineStr">
        <is>
          <t>9636086643</t>
        </is>
      </c>
      <c r="B5892" t="inlineStr">
        <is>
          <t>隔日到貨🔥 夏日必備 西裝短褲 高腰 闊腿 五分 短褲 附皮帶 寬鬆 顯瘦 ins 韓版 女生短褲 褲子 女褲</t>
        </is>
      </c>
      <c r="C5892">
        <f>IMAGE("https://cf.shopee.tw/file/d0b822f6162f95c9195403f59ef4eabd_tn")</f>
        <v/>
      </c>
      <c r="D5892" t="inlineStr">
        <is>
          <t>白色,S</t>
        </is>
      </c>
      <c r="E5892" t="inlineStr"/>
      <c r="F5892">
        <f>IMAGE("https://cf.shopee.tw/file/f3456dbee94530eb36b6c15796ca4c21_tn")</f>
        <v/>
      </c>
    </row>
    <row r="5893">
      <c r="A5893" t="inlineStr">
        <is>
          <t>9636086643</t>
        </is>
      </c>
      <c r="B5893" t="inlineStr">
        <is>
          <t>隔日到貨🔥 夏日必備 西裝短褲 高腰 闊腿 五分 短褲 附皮帶 寬鬆 顯瘦 ins 韓版 女生短褲 褲子 女褲</t>
        </is>
      </c>
      <c r="C5893">
        <f>IMAGE("https://cf.shopee.tw/file/d0b822f6162f95c9195403f59ef4eabd_tn")</f>
        <v/>
      </c>
      <c r="D5893" t="inlineStr">
        <is>
          <t>白色,M</t>
        </is>
      </c>
      <c r="E5893" t="inlineStr"/>
      <c r="F5893">
        <f>IMAGE("https://cf.shopee.tw/file/f3456dbee94530eb36b6c15796ca4c21_tn")</f>
        <v/>
      </c>
    </row>
    <row r="5894">
      <c r="A5894" t="inlineStr">
        <is>
          <t>9636086643</t>
        </is>
      </c>
      <c r="B5894" t="inlineStr">
        <is>
          <t>隔日到貨🔥 夏日必備 西裝短褲 高腰 闊腿 五分 短褲 附皮帶 寬鬆 顯瘦 ins 韓版 女生短褲 褲子 女褲</t>
        </is>
      </c>
      <c r="C5894">
        <f>IMAGE("https://cf.shopee.tw/file/d0b822f6162f95c9195403f59ef4eabd_tn")</f>
        <v/>
      </c>
      <c r="D5894" t="inlineStr">
        <is>
          <t>白色,L</t>
        </is>
      </c>
      <c r="E5894" t="inlineStr"/>
      <c r="F5894">
        <f>IMAGE("https://cf.shopee.tw/file/f3456dbee94530eb36b6c15796ca4c21_tn")</f>
        <v/>
      </c>
    </row>
    <row r="5895">
      <c r="A5895" t="inlineStr">
        <is>
          <t>9636086643</t>
        </is>
      </c>
      <c r="B5895" t="inlineStr">
        <is>
          <t>隔日到貨🔥 夏日必備 西裝短褲 高腰 闊腿 五分 短褲 附皮帶 寬鬆 顯瘦 ins 韓版 女生短褲 褲子 女褲</t>
        </is>
      </c>
      <c r="C5895">
        <f>IMAGE("https://cf.shopee.tw/file/d0b822f6162f95c9195403f59ef4eabd_tn")</f>
        <v/>
      </c>
      <c r="D5895" t="inlineStr">
        <is>
          <t>黑色,S</t>
        </is>
      </c>
      <c r="E5895" t="inlineStr"/>
      <c r="F5895">
        <f>IMAGE("https://cf.shopee.tw/file/0ad648143fa71a67d8774e35cc5f85b4_tn")</f>
        <v/>
      </c>
    </row>
    <row r="5896">
      <c r="A5896" t="inlineStr">
        <is>
          <t>9636086643</t>
        </is>
      </c>
      <c r="B5896" t="inlineStr">
        <is>
          <t>隔日到貨🔥 夏日必備 西裝短褲 高腰 闊腿 五分 短褲 附皮帶 寬鬆 顯瘦 ins 韓版 女生短褲 褲子 女褲</t>
        </is>
      </c>
      <c r="C5896">
        <f>IMAGE("https://cf.shopee.tw/file/d0b822f6162f95c9195403f59ef4eabd_tn")</f>
        <v/>
      </c>
      <c r="D5896" t="inlineStr">
        <is>
          <t>黑色,M</t>
        </is>
      </c>
      <c r="E5896" t="inlineStr"/>
      <c r="F5896">
        <f>IMAGE("https://cf.shopee.tw/file/0ad648143fa71a67d8774e35cc5f85b4_tn")</f>
        <v/>
      </c>
    </row>
    <row r="5897">
      <c r="A5897" t="inlineStr">
        <is>
          <t>9636086643</t>
        </is>
      </c>
      <c r="B5897" t="inlineStr">
        <is>
          <t>隔日到貨🔥 夏日必備 西裝短褲 高腰 闊腿 五分 短褲 附皮帶 寬鬆 顯瘦 ins 韓版 女生短褲 褲子 女褲</t>
        </is>
      </c>
      <c r="C5897">
        <f>IMAGE("https://cf.shopee.tw/file/d0b822f6162f95c9195403f59ef4eabd_tn")</f>
        <v/>
      </c>
      <c r="D5897" t="inlineStr">
        <is>
          <t>黑色,L</t>
        </is>
      </c>
      <c r="E5897" t="inlineStr"/>
      <c r="F5897">
        <f>IMAGE("https://cf.shopee.tw/file/0ad648143fa71a67d8774e35cc5f85b4_tn")</f>
        <v/>
      </c>
    </row>
    <row r="5898">
      <c r="A5898" t="inlineStr">
        <is>
          <t>3025381294</t>
        </is>
      </c>
      <c r="B5898" t="inlineStr">
        <is>
          <t>隔日到貨🔥 夏日必備 復古直筒格紋褲 網美高腰拖地 長褲 格子褲 格紋褲 西裝褲 直筒褲 寬褲 韓版 顯瘦 高腰</t>
        </is>
      </c>
      <c r="C5898">
        <f>IMAGE("https://cf.shopee.tw/file/25567993775e49d0e954c718f9272ef8_tn")</f>
        <v/>
      </c>
      <c r="D5898" t="inlineStr">
        <is>
          <t>藍色格紋,S</t>
        </is>
      </c>
      <c r="E5898" t="inlineStr"/>
      <c r="F5898">
        <f>IMAGE("https://cf.shopee.tw/file/e16172264b530b875c04952181fb5de8_tn")</f>
        <v/>
      </c>
    </row>
    <row r="5899">
      <c r="A5899" t="inlineStr">
        <is>
          <t>3025381294</t>
        </is>
      </c>
      <c r="B5899" t="inlineStr">
        <is>
          <t>隔日到貨🔥 夏日必備 復古直筒格紋褲 網美高腰拖地 長褲 格子褲 格紋褲 西裝褲 直筒褲 寬褲 韓版 顯瘦 高腰</t>
        </is>
      </c>
      <c r="C5899">
        <f>IMAGE("https://cf.shopee.tw/file/25567993775e49d0e954c718f9272ef8_tn")</f>
        <v/>
      </c>
      <c r="D5899" t="inlineStr">
        <is>
          <t>藍色格紋,M</t>
        </is>
      </c>
      <c r="E5899" t="inlineStr"/>
      <c r="F5899">
        <f>IMAGE("https://cf.shopee.tw/file/e16172264b530b875c04952181fb5de8_tn")</f>
        <v/>
      </c>
    </row>
    <row r="5900">
      <c r="A5900" t="inlineStr">
        <is>
          <t>3344296786</t>
        </is>
      </c>
      <c r="B5900" t="inlineStr">
        <is>
          <t>隔日到貨🔥 韓版防水後背包 夏季熱銷款 ins 雙肩包 學生 背包 百搭 尼龍 簡約 背包 少女 書包 後背</t>
        </is>
      </c>
      <c r="C5900">
        <f>IMAGE("https://cf.shopee.tw/file/462e3990ebc5e9cade72dd198d6fad34_tn")</f>
        <v/>
      </c>
      <c r="D5900" t="inlineStr">
        <is>
          <t>黃色</t>
        </is>
      </c>
      <c r="E5900" t="inlineStr"/>
      <c r="F5900">
        <f>IMAGE("https://cf.shopee.tw/file/48e294b385fa3984ea9d6c9a04560c74_tn")</f>
        <v/>
      </c>
    </row>
    <row r="5901">
      <c r="A5901" t="inlineStr">
        <is>
          <t>3344296786</t>
        </is>
      </c>
      <c r="B5901" t="inlineStr">
        <is>
          <t>隔日到貨🔥 韓版防水後背包 夏季熱銷款 ins 雙肩包 學生 背包 百搭 尼龍 簡約 背包 少女 書包 後背</t>
        </is>
      </c>
      <c r="C5901">
        <f>IMAGE("https://cf.shopee.tw/file/462e3990ebc5e9cade72dd198d6fad34_tn")</f>
        <v/>
      </c>
      <c r="D5901" t="inlineStr">
        <is>
          <t>藍色</t>
        </is>
      </c>
      <c r="E5901" t="inlineStr"/>
      <c r="F5901">
        <f>IMAGE("https://cf.shopee.tw/file/71098523674ed62d2d967786c0dd7e94_tn")</f>
        <v/>
      </c>
    </row>
    <row r="5902">
      <c r="A5902" t="inlineStr">
        <is>
          <t>3344296786</t>
        </is>
      </c>
      <c r="B5902" t="inlineStr">
        <is>
          <t>隔日到貨🔥 韓版防水後背包 夏季熱銷款 ins 雙肩包 學生 背包 百搭 尼龍 簡約 背包 少女 書包 後背</t>
        </is>
      </c>
      <c r="C5902">
        <f>IMAGE("https://cf.shopee.tw/file/462e3990ebc5e9cade72dd198d6fad34_tn")</f>
        <v/>
      </c>
      <c r="D5902" t="inlineStr">
        <is>
          <t>綠色</t>
        </is>
      </c>
      <c r="E5902" t="inlineStr"/>
      <c r="F5902">
        <f>IMAGE("https://cf.shopee.tw/file/11f168cee4e61e22bc241ab428225702_tn")</f>
        <v/>
      </c>
    </row>
    <row r="5903">
      <c r="A5903" t="inlineStr">
        <is>
          <t>3344296786</t>
        </is>
      </c>
      <c r="B5903" t="inlineStr">
        <is>
          <t>隔日到貨🔥 韓版防水後背包 夏季熱銷款 ins 雙肩包 學生 背包 百搭 尼龍 簡約 背包 少女 書包 後背</t>
        </is>
      </c>
      <c r="C5903">
        <f>IMAGE("https://cf.shopee.tw/file/462e3990ebc5e9cade72dd198d6fad34_tn")</f>
        <v/>
      </c>
      <c r="D5903" t="inlineStr">
        <is>
          <t>橘色</t>
        </is>
      </c>
      <c r="E5903" t="inlineStr"/>
      <c r="F5903">
        <f>IMAGE("https://cf.shopee.tw/file/aa2ad8b411dfb066a31f74ba95afb713_tn")</f>
        <v/>
      </c>
    </row>
    <row r="5904">
      <c r="A5904" t="inlineStr">
        <is>
          <t>3344296786</t>
        </is>
      </c>
      <c r="B5904" t="inlineStr">
        <is>
          <t>隔日到貨🔥 韓版防水後背包 夏季熱銷款 ins 雙肩包 學生 背包 百搭 尼龍 簡約 背包 少女 書包 後背</t>
        </is>
      </c>
      <c r="C5904">
        <f>IMAGE("https://cf.shopee.tw/file/462e3990ebc5e9cade72dd198d6fad34_tn")</f>
        <v/>
      </c>
      <c r="D5904" t="inlineStr">
        <is>
          <t>粉色</t>
        </is>
      </c>
      <c r="E5904" t="inlineStr"/>
      <c r="F5904">
        <f>IMAGE("https://cf.shopee.tw/file/7c0c7545afa1b525ebc963b6f8fd4c11_tn")</f>
        <v/>
      </c>
    </row>
    <row r="5905">
      <c r="A5905" t="inlineStr">
        <is>
          <t>3344296786</t>
        </is>
      </c>
      <c r="B5905" t="inlineStr">
        <is>
          <t>隔日到貨🔥 韓版防水後背包 夏季熱銷款 ins 雙肩包 學生 背包 百搭 尼龍 簡約 背包 少女 書包 後背</t>
        </is>
      </c>
      <c r="C5905">
        <f>IMAGE("https://cf.shopee.tw/file/462e3990ebc5e9cade72dd198d6fad34_tn")</f>
        <v/>
      </c>
      <c r="D5905" t="inlineStr">
        <is>
          <t>黑色</t>
        </is>
      </c>
      <c r="E5905" t="inlineStr"/>
      <c r="F5905">
        <f>IMAGE("https://cf.shopee.tw/file/a612fba2e23705f1fc8325adf6b57653_tn")</f>
        <v/>
      </c>
    </row>
    <row r="5906">
      <c r="A5906" t="inlineStr">
        <is>
          <t>3344296786</t>
        </is>
      </c>
      <c r="B5906" t="inlineStr">
        <is>
          <t>隔日到貨🔥 韓版防水後背包 夏季熱銷款 ins 雙肩包 學生 背包 百搭 尼龍 簡約 背包 少女 書包 後背</t>
        </is>
      </c>
      <c r="C5906">
        <f>IMAGE("https://cf.shopee.tw/file/462e3990ebc5e9cade72dd198d6fad34_tn")</f>
        <v/>
      </c>
      <c r="D5906" t="inlineStr">
        <is>
          <t>⚠️這款缺的顏色不會補了</t>
        </is>
      </c>
      <c r="E5906" t="inlineStr"/>
      <c r="F5906">
        <f>IMAGE("https://cf.shopee.tw/file/234398656a4b6a49a86758daf21cd2d4_tn")</f>
        <v/>
      </c>
    </row>
    <row r="5907">
      <c r="A5907" t="inlineStr">
        <is>
          <t>4618794868</t>
        </is>
      </c>
      <c r="B5907" t="inlineStr">
        <is>
          <t>隔日到貨🔥 刺繡 S字母 老帽 可調整 歐美 百搭 鴨舌帽 棒球帽 潮帽 帽子 遮陽帽 好看帽 潮流帽 S</t>
        </is>
      </c>
      <c r="C5907">
        <f>IMAGE("https://cf.shopee.tw/file/caecbffb1287a1347d19cd42a72ebf65_tn")</f>
        <v/>
      </c>
      <c r="D5907" t="inlineStr">
        <is>
          <t>1.黑色</t>
        </is>
      </c>
      <c r="E5907" t="inlineStr"/>
      <c r="F5907">
        <f>IMAGE("https://cf.shopee.tw/file/75dac3939ff1fc237941cfdcc02d9f40_tn")</f>
        <v/>
      </c>
    </row>
    <row r="5908">
      <c r="A5908" t="inlineStr">
        <is>
          <t>4618794868</t>
        </is>
      </c>
      <c r="B5908" t="inlineStr">
        <is>
          <t>隔日到貨🔥 刺繡 S字母 老帽 可調整 歐美 百搭 鴨舌帽 棒球帽 潮帽 帽子 遮陽帽 好看帽 潮流帽 S</t>
        </is>
      </c>
      <c r="C5908">
        <f>IMAGE("https://cf.shopee.tw/file/caecbffb1287a1347d19cd42a72ebf65_tn")</f>
        <v/>
      </c>
      <c r="D5908" t="inlineStr">
        <is>
          <t>2.白色</t>
        </is>
      </c>
      <c r="E5908" t="inlineStr"/>
      <c r="F5908">
        <f>IMAGE("https://cf.shopee.tw/file/ce3d2aca594f42860d22690b2155ae4c_tn")</f>
        <v/>
      </c>
    </row>
    <row r="5909">
      <c r="A5909" t="inlineStr">
        <is>
          <t>16600845814</t>
        </is>
      </c>
      <c r="B5909" t="inlineStr">
        <is>
          <t>隔日到貨🔥 韓風 熱銷款 ins 小熊滑鼠墊 比熊 少女 可愛 滑鼠墊 治癒系 情侣滑鼠墊 韓版小物</t>
        </is>
      </c>
      <c r="C5909">
        <f>IMAGE("https://cf.shopee.tw/file/854ab33188079e552580e3d0fa3e7987_tn")</f>
        <v/>
      </c>
      <c r="D5909" t="inlineStr">
        <is>
          <t>2. 眼睛熊</t>
        </is>
      </c>
      <c r="E5909" t="inlineStr"/>
      <c r="F5909">
        <f>IMAGE("https://cf.shopee.tw/file/89118daf5722d8ce35e38620d33c9509_tn")</f>
        <v/>
      </c>
    </row>
    <row r="5910">
      <c r="A5910" t="inlineStr">
        <is>
          <t>16600845814</t>
        </is>
      </c>
      <c r="B5910" t="inlineStr">
        <is>
          <t>隔日到貨🔥 韓風 熱銷款 ins 小熊滑鼠墊 比熊 少女 可愛 滑鼠墊 治癒系 情侣滑鼠墊 韓版小物</t>
        </is>
      </c>
      <c r="C5910">
        <f>IMAGE("https://cf.shopee.tw/file/854ab33188079e552580e3d0fa3e7987_tn")</f>
        <v/>
      </c>
      <c r="D5910" t="inlineStr">
        <is>
          <t>3. 怂怂熊</t>
        </is>
      </c>
      <c r="E5910" t="inlineStr"/>
      <c r="F5910">
        <f>IMAGE("https://cf.shopee.tw/file/4f2871614c1453b7e61c292b225bc13b_tn")</f>
        <v/>
      </c>
    </row>
    <row r="5911">
      <c r="A5911" t="inlineStr">
        <is>
          <t>16600845814</t>
        </is>
      </c>
      <c r="B5911" t="inlineStr">
        <is>
          <t>隔日到貨🔥 韓風 熱銷款 ins 小熊滑鼠墊 比熊 少女 可愛 滑鼠墊 治癒系 情侣滑鼠墊 韓版小物</t>
        </is>
      </c>
      <c r="C5911">
        <f>IMAGE("https://cf.shopee.tw/file/854ab33188079e552580e3d0fa3e7987_tn")</f>
        <v/>
      </c>
      <c r="D5911" t="inlineStr">
        <is>
          <t>4. 櫻桃熊</t>
        </is>
      </c>
      <c r="E5911" t="inlineStr"/>
      <c r="F5911">
        <f>IMAGE("https://cf.shopee.tw/file/8cc1341d1482b453ae1702e10d5a5365_tn")</f>
        <v/>
      </c>
    </row>
    <row r="5912">
      <c r="A5912" t="inlineStr">
        <is>
          <t>16600845814</t>
        </is>
      </c>
      <c r="B5912" t="inlineStr">
        <is>
          <t>隔日到貨🔥 韓風 熱銷款 ins 小熊滑鼠墊 比熊 少女 可愛 滑鼠墊 治癒系 情侣滑鼠墊 韓版小物</t>
        </is>
      </c>
      <c r="C5912">
        <f>IMAGE("https://cf.shopee.tw/file/854ab33188079e552580e3d0fa3e7987_tn")</f>
        <v/>
      </c>
      <c r="D5912" t="inlineStr">
        <is>
          <t>5. 賣萌熊</t>
        </is>
      </c>
      <c r="E5912" t="inlineStr"/>
      <c r="F5912">
        <f>IMAGE("https://cf.shopee.tw/file/f298b6983de02ae16d23450fbd1e607e_tn")</f>
        <v/>
      </c>
    </row>
    <row r="5913">
      <c r="A5913" t="inlineStr">
        <is>
          <t>16600845814</t>
        </is>
      </c>
      <c r="B5913" t="inlineStr">
        <is>
          <t>隔日到貨🔥 韓風 熱銷款 ins 小熊滑鼠墊 比熊 少女 可愛 滑鼠墊 治癒系 情侣滑鼠墊 韓版小物</t>
        </is>
      </c>
      <c r="C5913">
        <f>IMAGE("https://cf.shopee.tw/file/854ab33188079e552580e3d0fa3e7987_tn")</f>
        <v/>
      </c>
      <c r="D5913" t="inlineStr">
        <is>
          <t>6. 布丁狗</t>
        </is>
      </c>
      <c r="E5913" t="inlineStr"/>
      <c r="F5913">
        <f>IMAGE("https://cf.shopee.tw/file/27591217a587e7cf86ae10e813a3dfe6_tn")</f>
        <v/>
      </c>
    </row>
    <row r="5914">
      <c r="A5914" t="inlineStr">
        <is>
          <t>16600845814</t>
        </is>
      </c>
      <c r="B5914" t="inlineStr">
        <is>
          <t>隔日到貨🔥 韓風 熱銷款 ins 小熊滑鼠墊 比熊 少女 可愛 滑鼠墊 治癒系 情侣滑鼠墊 韓版小物</t>
        </is>
      </c>
      <c r="C5914">
        <f>IMAGE("https://cf.shopee.tw/file/854ab33188079e552580e3d0fa3e7987_tn")</f>
        <v/>
      </c>
      <c r="D5914" t="inlineStr">
        <is>
          <t>7. 屁屁熊</t>
        </is>
      </c>
      <c r="E5914" t="inlineStr"/>
      <c r="F5914">
        <f>IMAGE("https://cf.shopee.tw/file/e39dde139c6ac6c2964908003aa42f0b_tn")</f>
        <v/>
      </c>
    </row>
    <row r="5915">
      <c r="A5915" t="inlineStr">
        <is>
          <t>16600845814</t>
        </is>
      </c>
      <c r="B5915" t="inlineStr">
        <is>
          <t>隔日到貨🔥 韓風 熱銷款 ins 小熊滑鼠墊 比熊 少女 可愛 滑鼠墊 治癒系 情侣滑鼠墊 韓版小物</t>
        </is>
      </c>
      <c r="C5915">
        <f>IMAGE("https://cf.shopee.tw/file/854ab33188079e552580e3d0fa3e7987_tn")</f>
        <v/>
      </c>
      <c r="D5915" t="inlineStr">
        <is>
          <t>8. 笑臉兔</t>
        </is>
      </c>
      <c r="E5915" t="inlineStr"/>
      <c r="F5915">
        <f>IMAGE("https://cf.shopee.tw/file/70c3f45eff1e215f5fa12ffd2d21ffdf_tn")</f>
        <v/>
      </c>
    </row>
    <row r="5916">
      <c r="A5916" t="inlineStr">
        <is>
          <t>16600845814</t>
        </is>
      </c>
      <c r="B5916" t="inlineStr">
        <is>
          <t>隔日到貨🔥 韓風 熱銷款 ins 小熊滑鼠墊 比熊 少女 可愛 滑鼠墊 治癒系 情侣滑鼠墊 韓版小物</t>
        </is>
      </c>
      <c r="C5916">
        <f>IMAGE("https://cf.shopee.tw/file/854ab33188079e552580e3d0fa3e7987_tn")</f>
        <v/>
      </c>
      <c r="D5916" t="inlineStr">
        <is>
          <t>1. 小女孩</t>
        </is>
      </c>
      <c r="E5916" t="inlineStr"/>
      <c r="F5916">
        <f>IMAGE("https://cf.shopee.tw/file/86177656544a9b5fd757ec0a976b3e9a_tn")</f>
        <v/>
      </c>
    </row>
    <row r="5917">
      <c r="A5917" t="inlineStr">
        <is>
          <t>21479533548</t>
        </is>
      </c>
      <c r="B5917" t="inlineStr">
        <is>
          <t>隔日到貨🔥 馬卡龍色系 充電頭保護套 20w 保護套 快充專用 保護套 iPhone 蘋果充電頭專用 充電器周邊</t>
        </is>
      </c>
      <c r="C5917">
        <f>IMAGE("https://cf.shopee.tw/file/tw-11134207-7qul0-lghuzk6i2l1d8f_tn")</f>
        <v/>
      </c>
      <c r="D5917" t="inlineStr">
        <is>
          <t>黃色</t>
        </is>
      </c>
      <c r="E5917" t="inlineStr"/>
      <c r="F5917">
        <f>IMAGE("https://cf.shopee.tw/file/tw-11134207-7qul4-lghn2564b01td6_tn")</f>
        <v/>
      </c>
    </row>
    <row r="5918">
      <c r="A5918" t="inlineStr">
        <is>
          <t>21479533548</t>
        </is>
      </c>
      <c r="B5918" t="inlineStr">
        <is>
          <t>隔日到貨🔥 馬卡龍色系 充電頭保護套 20w 保護套 快充專用 保護套 iPhone 蘋果充電頭專用 充電器周邊</t>
        </is>
      </c>
      <c r="C5918">
        <f>IMAGE("https://cf.shopee.tw/file/tw-11134207-7qul0-lghuzk6i2l1d8f_tn")</f>
        <v/>
      </c>
      <c r="D5918" t="inlineStr">
        <is>
          <t>黑色</t>
        </is>
      </c>
      <c r="E5918" t="inlineStr"/>
      <c r="F5918">
        <f>IMAGE("https://cf.shopee.tw/file/tw-11134207-7qul5-lghn25789dkx89_tn")</f>
        <v/>
      </c>
    </row>
    <row r="5919">
      <c r="A5919" t="inlineStr">
        <is>
          <t>21479533548</t>
        </is>
      </c>
      <c r="B5919" t="inlineStr">
        <is>
          <t>隔日到貨🔥 馬卡龍色系 充電頭保護套 20w 保護套 快充專用 保護套 iPhone 蘋果充電頭專用 充電器周邊</t>
        </is>
      </c>
      <c r="C5919">
        <f>IMAGE("https://cf.shopee.tw/file/tw-11134207-7qul0-lghuzk6i2l1d8f_tn")</f>
        <v/>
      </c>
      <c r="D5919" t="inlineStr">
        <is>
          <t>橙色</t>
        </is>
      </c>
      <c r="E5919" t="inlineStr"/>
      <c r="F5919">
        <f>IMAGE("https://cf.shopee.tw/file/tw-11134207-7qula-lghnc0s1vim900_tn")</f>
        <v/>
      </c>
    </row>
    <row r="5920">
      <c r="A5920" t="inlineStr">
        <is>
          <t>21479533548</t>
        </is>
      </c>
      <c r="B5920" t="inlineStr">
        <is>
          <t>隔日到貨🔥 馬卡龍色系 充電頭保護套 20w 保護套 快充專用 保護套 iPhone 蘋果充電頭專用 充電器周邊</t>
        </is>
      </c>
      <c r="C5920">
        <f>IMAGE("https://cf.shopee.tw/file/tw-11134207-7qul0-lghuzk6i2l1d8f_tn")</f>
        <v/>
      </c>
      <c r="D5920" t="inlineStr">
        <is>
          <t>白色</t>
        </is>
      </c>
      <c r="E5920" t="inlineStr"/>
      <c r="F5920">
        <f>IMAGE("https://cf.shopee.tw/file/tw-11134207-7qukz-lghnc0s1wx6p3c_tn")</f>
        <v/>
      </c>
    </row>
    <row r="5921">
      <c r="A5921" t="inlineStr">
        <is>
          <t>21479533548</t>
        </is>
      </c>
      <c r="B5921" t="inlineStr">
        <is>
          <t>隔日到貨🔥 馬卡龍色系 充電頭保護套 20w 保護套 快充專用 保護套 iPhone 蘋果充電頭專用 充電器周邊</t>
        </is>
      </c>
      <c r="C5921">
        <f>IMAGE("https://cf.shopee.tw/file/tw-11134207-7qul0-lghuzk6i2l1d8f_tn")</f>
        <v/>
      </c>
      <c r="D5921" t="inlineStr">
        <is>
          <t>藍色</t>
        </is>
      </c>
      <c r="E5921" t="inlineStr"/>
      <c r="F5921">
        <f>IMAGE("https://cf.shopee.tw/file/tw-11134207-7qul6-lghnc87szoyycf_tn")</f>
        <v/>
      </c>
    </row>
    <row r="5922">
      <c r="A5922" t="inlineStr">
        <is>
          <t>21479533548</t>
        </is>
      </c>
      <c r="B5922" t="inlineStr">
        <is>
          <t>隔日到貨🔥 馬卡龍色系 充電頭保護套 20w 保護套 快充專用 保護套 iPhone 蘋果充電頭專用 充電器周邊</t>
        </is>
      </c>
      <c r="C5922">
        <f>IMAGE("https://cf.shopee.tw/file/tw-11134207-7qul0-lghuzk6i2l1d8f_tn")</f>
        <v/>
      </c>
      <c r="D5922" t="inlineStr">
        <is>
          <t>紫色</t>
        </is>
      </c>
      <c r="E5922" t="inlineStr"/>
      <c r="F5922">
        <f>IMAGE("https://cf.shopee.tw/file/tw-11134207-7qul3-lghnc87t13je6a_tn")</f>
        <v/>
      </c>
    </row>
    <row r="5923">
      <c r="A5923" t="inlineStr">
        <is>
          <t>21479533548</t>
        </is>
      </c>
      <c r="B5923" t="inlineStr">
        <is>
          <t>隔日到貨🔥 馬卡龍色系 充電頭保護套 20w 保護套 快充專用 保護套 iPhone 蘋果充電頭專用 充電器周邊</t>
        </is>
      </c>
      <c r="C5923">
        <f>IMAGE("https://cf.shopee.tw/file/tw-11134207-7qul0-lghuzk6i2l1d8f_tn")</f>
        <v/>
      </c>
      <c r="D5923" t="inlineStr">
        <is>
          <t>綠色</t>
        </is>
      </c>
      <c r="E5923" t="inlineStr">
        <is>
          <t>231577187396</t>
        </is>
      </c>
      <c r="F5923">
        <f>IMAGE("https://cf.shopee.tw/file/tw-11134207-7qul6-lghn256ealfl0f_tn")</f>
        <v/>
      </c>
    </row>
    <row r="5924">
      <c r="A5924" t="inlineStr">
        <is>
          <t>21479533548</t>
        </is>
      </c>
      <c r="B5924" t="inlineStr">
        <is>
          <t>隔日到貨🔥 馬卡龍色系 充電頭保護套 20w 保護套 快充專用 保護套 iPhone 蘋果充電頭專用 充電器周邊</t>
        </is>
      </c>
      <c r="C5924">
        <f>IMAGE("https://cf.shopee.tw/file/tw-11134207-7qul0-lghuzk6i2l1d8f_tn")</f>
        <v/>
      </c>
      <c r="D5924" t="inlineStr">
        <is>
          <t>粉色</t>
        </is>
      </c>
      <c r="E5924" t="inlineStr">
        <is>
          <t>231577187394</t>
        </is>
      </c>
      <c r="F5924">
        <f>IMAGE("https://cf.shopee.tw/file/tw-11134207-7qul3-lghn256obley25_tn")</f>
        <v/>
      </c>
    </row>
    <row r="5925">
      <c r="A5925" t="inlineStr">
        <is>
          <t>4725607720</t>
        </is>
      </c>
      <c r="B5925" t="inlineStr">
        <is>
          <t>隔日到貨🔥 純色 後背包 雙肩 學生 背包 百搭 尼龍 手提 卡通 簡約 背包 少女 書包 後背 ins 韓風</t>
        </is>
      </c>
      <c r="C5925">
        <f>IMAGE("https://cf.shopee.tw/file/37bf69e731c3cf9082cb462024da8ef3_tn")</f>
        <v/>
      </c>
      <c r="D5925" t="inlineStr">
        <is>
          <t>黃色</t>
        </is>
      </c>
      <c r="E5925" t="inlineStr"/>
      <c r="F5925">
        <f>IMAGE("https://cf.shopee.tw/file/f05328d1d83022c9acfec21377ae96b0_tn")</f>
        <v/>
      </c>
    </row>
    <row r="5926">
      <c r="A5926" t="inlineStr">
        <is>
          <t>4725607720</t>
        </is>
      </c>
      <c r="B5926" t="inlineStr">
        <is>
          <t>隔日到貨🔥 純色 後背包 雙肩 學生 背包 百搭 尼龍 手提 卡通 簡約 背包 少女 書包 後背 ins 韓風</t>
        </is>
      </c>
      <c r="C5926">
        <f>IMAGE("https://cf.shopee.tw/file/37bf69e731c3cf9082cb462024da8ef3_tn")</f>
        <v/>
      </c>
      <c r="D5926" t="inlineStr">
        <is>
          <t>藍色</t>
        </is>
      </c>
      <c r="E5926" t="inlineStr"/>
      <c r="F5926">
        <f>IMAGE("https://cf.shopee.tw/file/8f16dca2a83269f163fe9048581524f2_tn")</f>
        <v/>
      </c>
    </row>
    <row r="5927">
      <c r="A5927" t="inlineStr">
        <is>
          <t>4725607720</t>
        </is>
      </c>
      <c r="B5927" t="inlineStr">
        <is>
          <t>隔日到貨🔥 純色 後背包 雙肩 學生 背包 百搭 尼龍 手提 卡通 簡約 背包 少女 書包 後背 ins 韓風</t>
        </is>
      </c>
      <c r="C5927">
        <f>IMAGE("https://cf.shopee.tw/file/37bf69e731c3cf9082cb462024da8ef3_tn")</f>
        <v/>
      </c>
      <c r="D5927" t="inlineStr">
        <is>
          <t>綠色</t>
        </is>
      </c>
      <c r="E5927" t="inlineStr"/>
      <c r="F5927">
        <f>IMAGE("https://cf.shopee.tw/file/e817ac70412efe5e0f684913f12f4704_tn")</f>
        <v/>
      </c>
    </row>
    <row r="5928">
      <c r="A5928" t="inlineStr">
        <is>
          <t>4725607720</t>
        </is>
      </c>
      <c r="B5928" t="inlineStr">
        <is>
          <t>隔日到貨🔥 純色 後背包 雙肩 學生 背包 百搭 尼龍 手提 卡通 簡約 背包 少女 書包 後背 ins 韓風</t>
        </is>
      </c>
      <c r="C5928">
        <f>IMAGE("https://cf.shopee.tw/file/37bf69e731c3cf9082cb462024da8ef3_tn")</f>
        <v/>
      </c>
      <c r="D5928" t="inlineStr">
        <is>
          <t>黑色</t>
        </is>
      </c>
      <c r="E5928" t="inlineStr"/>
      <c r="F5928">
        <f>IMAGE("https://cf.shopee.tw/file/6af32f32b657bfd97b853690d46e3037_tn")</f>
        <v/>
      </c>
    </row>
    <row r="5929">
      <c r="A5929" t="inlineStr">
        <is>
          <t>4840977130</t>
        </is>
      </c>
      <c r="B5929" t="inlineStr">
        <is>
          <t>隔日到貨🔥 夏日必備 蝴蝶結大沿帽 漁夫帽 韓版夏天遮陽帽 沙灘帽 海灘帽 防曬 太陽帽 沙灘帽 帽子 ins</t>
        </is>
      </c>
      <c r="C5929">
        <f>IMAGE("https://cf.shopee.tw/file/4c4cc09d48090635d14966ea7f1dddd4_tn")</f>
        <v/>
      </c>
      <c r="D5929" t="inlineStr">
        <is>
          <t>黑色</t>
        </is>
      </c>
      <c r="E5929" t="inlineStr"/>
      <c r="F5929">
        <f>IMAGE("https://cf.shopee.tw/file/4c4cc09d48090635d14966ea7f1dddd4_tn")</f>
        <v/>
      </c>
    </row>
    <row r="5930">
      <c r="A5930" t="inlineStr">
        <is>
          <t>4840977130</t>
        </is>
      </c>
      <c r="B5930" t="inlineStr">
        <is>
          <t>隔日到貨🔥 夏日必備 蝴蝶結大沿帽 漁夫帽 韓版夏天遮陽帽 沙灘帽 海灘帽 防曬 太陽帽 沙灘帽 帽子 ins</t>
        </is>
      </c>
      <c r="C5930">
        <f>IMAGE("https://cf.shopee.tw/file/4c4cc09d48090635d14966ea7f1dddd4_tn")</f>
        <v/>
      </c>
      <c r="D5930" t="inlineStr">
        <is>
          <t>米色</t>
        </is>
      </c>
      <c r="E5930" t="inlineStr"/>
      <c r="F5930">
        <f>IMAGE("https://cf.shopee.tw/file/e75a2528fcc78bbde5bf7d0c5102a0c5_tn")</f>
        <v/>
      </c>
    </row>
    <row r="5931">
      <c r="A5931" t="inlineStr">
        <is>
          <t>4840977130</t>
        </is>
      </c>
      <c r="B5931" t="inlineStr">
        <is>
          <t>隔日到貨🔥 夏日必備 蝴蝶結大沿帽 漁夫帽 韓版夏天遮陽帽 沙灘帽 海灘帽 防曬 太陽帽 沙灘帽 帽子 ins</t>
        </is>
      </c>
      <c r="C5931">
        <f>IMAGE("https://cf.shopee.tw/file/4c4cc09d48090635d14966ea7f1dddd4_tn")</f>
        <v/>
      </c>
      <c r="D5931" t="inlineStr">
        <is>
          <t>卡其色</t>
        </is>
      </c>
      <c r="E5931" t="inlineStr"/>
      <c r="F5931">
        <f>IMAGE("https://cf.shopee.tw/file/a5acab21fd83fea11c50d4525bc65c09_tn")</f>
        <v/>
      </c>
    </row>
    <row r="5932">
      <c r="A5932" t="inlineStr">
        <is>
          <t>4840977130</t>
        </is>
      </c>
      <c r="B5932" t="inlineStr">
        <is>
          <t>隔日到貨🔥 夏日必備 蝴蝶結大沿帽 漁夫帽 韓版夏天遮陽帽 沙灘帽 海灘帽 防曬 太陽帽 沙灘帽 帽子 ins</t>
        </is>
      </c>
      <c r="C5932">
        <f>IMAGE("https://cf.shopee.tw/file/4c4cc09d48090635d14966ea7f1dddd4_tn")</f>
        <v/>
      </c>
      <c r="D5932" t="inlineStr">
        <is>
          <t>粉色</t>
        </is>
      </c>
      <c r="E5932" t="inlineStr"/>
      <c r="F5932">
        <f>IMAGE("https://cf.shopee.tw/file/5c62e07d4303f9fef594bc2bfca338d8_tn")</f>
        <v/>
      </c>
    </row>
    <row r="5933">
      <c r="A5933" t="inlineStr">
        <is>
          <t>4840977130</t>
        </is>
      </c>
      <c r="B5933" t="inlineStr">
        <is>
          <t>隔日到貨🔥 夏日必備 蝴蝶結大沿帽 漁夫帽 韓版夏天遮陽帽 沙灘帽 海灘帽 防曬 太陽帽 沙灘帽 帽子 ins</t>
        </is>
      </c>
      <c r="C5933">
        <f>IMAGE("https://cf.shopee.tw/file/4c4cc09d48090635d14966ea7f1dddd4_tn")</f>
        <v/>
      </c>
      <c r="D5933" t="inlineStr">
        <is>
          <t>紅色</t>
        </is>
      </c>
      <c r="E5933" t="inlineStr"/>
      <c r="F5933">
        <f>IMAGE("https://cf.shopee.tw/file/779ee15212f4c5aeccae48f7ddecaf2c_tn")</f>
        <v/>
      </c>
    </row>
    <row r="5934">
      <c r="A5934" t="inlineStr">
        <is>
          <t>5238870770</t>
        </is>
      </c>
      <c r="B5934" t="inlineStr">
        <is>
          <t>隔日到貨🔥 可愛柯基造型 地墊 門廳腳墊 踏墊 玄關入門踏墊 家用地毯 浴室腳墊 廚房腳墊 地墊</t>
        </is>
      </c>
      <c r="C5934">
        <f>IMAGE("https://cf.shopee.tw/file/99aa7c94a89e26811b3c4314fe9f1ae4_tn")</f>
        <v/>
      </c>
      <c r="D5934" t="inlineStr">
        <is>
          <t>1.柯基屁屁</t>
        </is>
      </c>
      <c r="E5934" t="inlineStr"/>
      <c r="F5934">
        <f>IMAGE("https://cf.shopee.tw/file/87bb21fbbb86d9fd6dd774fe5ed5e712_tn")</f>
        <v/>
      </c>
    </row>
    <row r="5935">
      <c r="A5935" t="inlineStr">
        <is>
          <t>5238870770</t>
        </is>
      </c>
      <c r="B5935" t="inlineStr">
        <is>
          <t>隔日到貨🔥 可愛柯基造型 地墊 門廳腳墊 踏墊 玄關入門踏墊 家用地毯 浴室腳墊 廚房腳墊 地墊</t>
        </is>
      </c>
      <c r="C5935">
        <f>IMAGE("https://cf.shopee.tw/file/99aa7c94a89e26811b3c4314fe9f1ae4_tn")</f>
        <v/>
      </c>
      <c r="D5935" t="inlineStr">
        <is>
          <t>2.柯基愛心</t>
        </is>
      </c>
      <c r="E5935" t="inlineStr"/>
      <c r="F5935">
        <f>IMAGE("https://cf.shopee.tw/file/10a2743d7d2292c0fe60af8d783b0bdd_tn")</f>
        <v/>
      </c>
    </row>
    <row r="5936">
      <c r="A5936" t="inlineStr">
        <is>
          <t>5238870770</t>
        </is>
      </c>
      <c r="B5936" t="inlineStr">
        <is>
          <t>隔日到貨🔥 可愛柯基造型 地墊 門廳腳墊 踏墊 玄關入門踏墊 家用地毯 浴室腳墊 廚房腳墊 地墊</t>
        </is>
      </c>
      <c r="C5936">
        <f>IMAGE("https://cf.shopee.tw/file/99aa7c94a89e26811b3c4314fe9f1ae4_tn")</f>
        <v/>
      </c>
      <c r="D5936" t="inlineStr">
        <is>
          <t>3.柯基歡迎</t>
        </is>
      </c>
      <c r="E5936" t="inlineStr"/>
      <c r="F5936">
        <f>IMAGE("https://cf.shopee.tw/file/84f5b946fc8307aa08d1ace19fa9445f_tn")</f>
        <v/>
      </c>
    </row>
    <row r="5937">
      <c r="A5937" t="inlineStr">
        <is>
          <t>5238870770</t>
        </is>
      </c>
      <c r="B5937" t="inlineStr">
        <is>
          <t>隔日到貨🔥 可愛柯基造型 地墊 門廳腳墊 踏墊 玄關入門踏墊 家用地毯 浴室腳墊 廚房腳墊 地墊</t>
        </is>
      </c>
      <c r="C5937">
        <f>IMAGE("https://cf.shopee.tw/file/99aa7c94a89e26811b3c4314fe9f1ae4_tn")</f>
        <v/>
      </c>
      <c r="D5937" t="inlineStr">
        <is>
          <t>4.可愛喵喵</t>
        </is>
      </c>
      <c r="E5937" t="inlineStr"/>
      <c r="F5937">
        <f>IMAGE("https://cf.shopee.tw/file/5af6c6dd2366fefe37850a9f630e31db_tn")</f>
        <v/>
      </c>
    </row>
    <row r="5938">
      <c r="A5938" t="inlineStr">
        <is>
          <t>5238870770</t>
        </is>
      </c>
      <c r="B5938" t="inlineStr">
        <is>
          <t>隔日到貨🔥 可愛柯基造型 地墊 門廳腳墊 踏墊 玄關入門踏墊 家用地毯 浴室腳墊 廚房腳墊 地墊</t>
        </is>
      </c>
      <c r="C5938">
        <f>IMAGE("https://cf.shopee.tw/file/99aa7c94a89e26811b3c4314fe9f1ae4_tn")</f>
        <v/>
      </c>
      <c r="D5938" t="inlineStr">
        <is>
          <t>5.六隻小貓</t>
        </is>
      </c>
      <c r="E5938" t="inlineStr"/>
      <c r="F5938">
        <f>IMAGE("https://cf.shopee.tw/file/3f469bb06d039da2d4cc4d687144bf00_tn")</f>
        <v/>
      </c>
    </row>
    <row r="5939">
      <c r="A5939" t="inlineStr">
        <is>
          <t>5526828409</t>
        </is>
      </c>
      <c r="B5939" t="inlineStr">
        <is>
          <t>隔日到貨🔥 創意 卡通 杯墊 杯蓋 熊大 莎莉 馬克杯蓋 防熱杯墊</t>
        </is>
      </c>
      <c r="C5939">
        <f>IMAGE("https://cf.shopee.tw/file/b1fd8873e077ab01ac51dd183bdff83d_tn")</f>
        <v/>
      </c>
      <c r="D5939" t="inlineStr">
        <is>
          <t>1.熊大（杯蓋+杯墊）</t>
        </is>
      </c>
      <c r="E5939" t="inlineStr"/>
      <c r="F5939">
        <f>IMAGE("https://cf.shopee.tw/file/8096285e89179290a68eee167037e073_tn")</f>
        <v/>
      </c>
    </row>
    <row r="5940">
      <c r="A5940" t="inlineStr">
        <is>
          <t>5526828409</t>
        </is>
      </c>
      <c r="B5940" t="inlineStr">
        <is>
          <t>隔日到貨🔥 創意 卡通 杯墊 杯蓋 熊大 莎莉 馬克杯蓋 防熱杯墊</t>
        </is>
      </c>
      <c r="C5940">
        <f>IMAGE("https://cf.shopee.tw/file/b1fd8873e077ab01ac51dd183bdff83d_tn")</f>
        <v/>
      </c>
      <c r="D5940" t="inlineStr">
        <is>
          <t>2.女熊大（杯蓋+杯墊）</t>
        </is>
      </c>
      <c r="E5940" t="inlineStr"/>
      <c r="F5940">
        <f>IMAGE("https://cf.shopee.tw/file/c6d2107ff7bb9f6f257e3c3016e0a72d_tn")</f>
        <v/>
      </c>
    </row>
    <row r="5941">
      <c r="A5941" t="inlineStr">
        <is>
          <t>5526828409</t>
        </is>
      </c>
      <c r="B5941" t="inlineStr">
        <is>
          <t>隔日到貨🔥 創意 卡通 杯墊 杯蓋 熊大 莎莉 馬克杯蓋 防熱杯墊</t>
        </is>
      </c>
      <c r="C5941">
        <f>IMAGE("https://cf.shopee.tw/file/b1fd8873e077ab01ac51dd183bdff83d_tn")</f>
        <v/>
      </c>
      <c r="D5941" t="inlineStr">
        <is>
          <t>3.莎麗鵝（杯蓋+杯墊）</t>
        </is>
      </c>
      <c r="E5941" t="inlineStr"/>
      <c r="F5941">
        <f>IMAGE("https://cf.shopee.tw/file/de27382e85ed98c1c8d2a2df2b5c9823_tn")</f>
        <v/>
      </c>
    </row>
    <row r="5942">
      <c r="A5942" t="inlineStr">
        <is>
          <t>5526828409</t>
        </is>
      </c>
      <c r="B5942" t="inlineStr">
        <is>
          <t>隔日到貨🔥 創意 卡通 杯墊 杯蓋 熊大 莎莉 馬克杯蓋 防熱杯墊</t>
        </is>
      </c>
      <c r="C5942">
        <f>IMAGE("https://cf.shopee.tw/file/b1fd8873e077ab01ac51dd183bdff83d_tn")</f>
        <v/>
      </c>
      <c r="D5942" t="inlineStr">
        <is>
          <t>4.白兔（杯蓋+杯墊）</t>
        </is>
      </c>
      <c r="E5942" t="inlineStr"/>
      <c r="F5942">
        <f>IMAGE("https://cf.shopee.tw/file/a97b5e02527731e2486b9a317feda0b7_tn")</f>
        <v/>
      </c>
    </row>
    <row r="5943">
      <c r="A5943" t="inlineStr">
        <is>
          <t>5593392320</t>
        </is>
      </c>
      <c r="B5943" t="inlineStr">
        <is>
          <t>隔日到貨🔥 氣質碎花吊帶連身裙 洋裝 新款 夏季 長裙 A字裙 中長裙 女裝 碎花 連身裙</t>
        </is>
      </c>
      <c r="C5943">
        <f>IMAGE("https://cf.shopee.tw/file/52b7544ad91d80d5cf6b5377f2618d16_tn")</f>
        <v/>
      </c>
      <c r="D5943" t="inlineStr">
        <is>
          <t>白色,M</t>
        </is>
      </c>
      <c r="E5943" t="inlineStr"/>
      <c r="F5943">
        <f>IMAGE("https://cf.shopee.tw/file/bdb9478a6968001ff0a2fc1b355f92e9_tn")</f>
        <v/>
      </c>
    </row>
    <row r="5944">
      <c r="A5944" t="inlineStr">
        <is>
          <t>5593392320</t>
        </is>
      </c>
      <c r="B5944" t="inlineStr">
        <is>
          <t>隔日到貨🔥 氣質碎花吊帶連身裙 洋裝 新款 夏季 長裙 A字裙 中長裙 女裝 碎花 連身裙</t>
        </is>
      </c>
      <c r="C5944">
        <f>IMAGE("https://cf.shopee.tw/file/52b7544ad91d80d5cf6b5377f2618d16_tn")</f>
        <v/>
      </c>
      <c r="D5944" t="inlineStr">
        <is>
          <t>白色,L</t>
        </is>
      </c>
      <c r="E5944" t="inlineStr"/>
      <c r="F5944">
        <f>IMAGE("https://cf.shopee.tw/file/bdb9478a6968001ff0a2fc1b355f92e9_tn")</f>
        <v/>
      </c>
    </row>
    <row r="5945">
      <c r="A5945" t="inlineStr">
        <is>
          <t>7525578671</t>
        </is>
      </c>
      <c r="B5945" t="inlineStr">
        <is>
          <t>隔日到貨🔥 純色 後背包 雙肩 學生 背包 百搭 尼龍 手提 簡約 背包 少女 書包 後背 ins</t>
        </is>
      </c>
      <c r="C5945">
        <f>IMAGE("https://cf.shopee.tw/file/4c60f25f3e48988b09b491f29e204cb8_tn")</f>
        <v/>
      </c>
      <c r="D5945" t="inlineStr">
        <is>
          <t>綠色</t>
        </is>
      </c>
      <c r="E5945" t="inlineStr"/>
      <c r="F5945">
        <f>IMAGE("https://cf.shopee.tw/file/a776c4b534572368d46e2852330d5c5d_tn")</f>
        <v/>
      </c>
    </row>
    <row r="5946">
      <c r="A5946" t="inlineStr">
        <is>
          <t>7525578671</t>
        </is>
      </c>
      <c r="B5946" t="inlineStr">
        <is>
          <t>隔日到貨🔥 純色 後背包 雙肩 學生 背包 百搭 尼龍 手提 簡約 背包 少女 書包 後背 ins</t>
        </is>
      </c>
      <c r="C5946">
        <f>IMAGE("https://cf.shopee.tw/file/4c60f25f3e48988b09b491f29e204cb8_tn")</f>
        <v/>
      </c>
      <c r="D5946" t="inlineStr">
        <is>
          <t>卡其色(實品顏色較深)</t>
        </is>
      </c>
      <c r="E5946" t="inlineStr"/>
      <c r="F5946">
        <f>IMAGE("https://cf.shopee.tw/file/62991e3635a0bb75e8eec3837ae1e7b3_tn")</f>
        <v/>
      </c>
    </row>
    <row r="5947">
      <c r="A5947" t="inlineStr">
        <is>
          <t>7525578671</t>
        </is>
      </c>
      <c r="B5947" t="inlineStr">
        <is>
          <t>隔日到貨🔥 純色 後背包 雙肩 學生 背包 百搭 尼龍 手提 簡約 背包 少女 書包 後背 ins</t>
        </is>
      </c>
      <c r="C5947">
        <f>IMAGE("https://cf.shopee.tw/file/4c60f25f3e48988b09b491f29e204cb8_tn")</f>
        <v/>
      </c>
      <c r="D5947" t="inlineStr">
        <is>
          <t>粉色</t>
        </is>
      </c>
      <c r="E5947" t="inlineStr"/>
      <c r="F5947">
        <f>IMAGE("https://cf.shopee.tw/file/c98d439f5b66728153a200e93e4276f1_tn")</f>
        <v/>
      </c>
    </row>
    <row r="5948">
      <c r="A5948" t="inlineStr">
        <is>
          <t>7525578671</t>
        </is>
      </c>
      <c r="B5948" t="inlineStr">
        <is>
          <t>隔日到貨🔥 純色 後背包 雙肩 學生 背包 百搭 尼龍 手提 簡約 背包 少女 書包 後背 ins</t>
        </is>
      </c>
      <c r="C5948">
        <f>IMAGE("https://cf.shopee.tw/file/4c60f25f3e48988b09b491f29e204cb8_tn")</f>
        <v/>
      </c>
      <c r="D5948" t="inlineStr">
        <is>
          <t>黑色</t>
        </is>
      </c>
      <c r="E5948" t="inlineStr"/>
      <c r="F5948">
        <f>IMAGE("https://cf.shopee.tw/file/1dfaf5abc57ed5b548cb21ee46760668_tn")</f>
        <v/>
      </c>
    </row>
    <row r="5949">
      <c r="A5949" t="inlineStr">
        <is>
          <t>7525578671</t>
        </is>
      </c>
      <c r="B5949" t="inlineStr">
        <is>
          <t>隔日到貨🔥 純色 後背包 雙肩 學生 背包 百搭 尼龍 手提 簡約 背包 少女 書包 後背 ins</t>
        </is>
      </c>
      <c r="C5949">
        <f>IMAGE("https://cf.shopee.tw/file/4c60f25f3e48988b09b491f29e204cb8_tn")</f>
        <v/>
      </c>
      <c r="D5949" t="inlineStr">
        <is>
          <t>⚠️15吋筆電放不下</t>
        </is>
      </c>
      <c r="E5949" t="inlineStr"/>
      <c r="F5949">
        <f>IMAGE("https://cf.shopee.tw/file/a817a433c7b1fc6464fa8f9c414c9b8d_tn")</f>
        <v/>
      </c>
    </row>
    <row r="5950">
      <c r="A5950" t="inlineStr">
        <is>
          <t>7902605541</t>
        </is>
      </c>
      <c r="B5950" t="inlineStr">
        <is>
          <t>隔日到貨🔥 日系 恐龍 雙肩包 🎒 學生 背包 百搭 帆布 背包 後背包 ins 怪獸 背包 少女 書包 後背</t>
        </is>
      </c>
      <c r="C5950">
        <f>IMAGE("https://cf.shopee.tw/file/372afd0b5025a4135ae17af755086cac_tn")</f>
        <v/>
      </c>
      <c r="D5950" t="inlineStr">
        <is>
          <t>1.黃色</t>
        </is>
      </c>
      <c r="E5950" t="inlineStr"/>
      <c r="F5950">
        <f>IMAGE("https://cf.shopee.tw/file/282dda6a7cdae2bf1147b9298a6700d1_tn")</f>
        <v/>
      </c>
    </row>
    <row r="5951">
      <c r="A5951" t="inlineStr">
        <is>
          <t>7902605541</t>
        </is>
      </c>
      <c r="B5951" t="inlineStr">
        <is>
          <t>隔日到貨🔥 日系 恐龍 雙肩包 🎒 學生 背包 百搭 帆布 背包 後背包 ins 怪獸 背包 少女 書包 後背</t>
        </is>
      </c>
      <c r="C5951">
        <f>IMAGE("https://cf.shopee.tw/file/372afd0b5025a4135ae17af755086cac_tn")</f>
        <v/>
      </c>
      <c r="D5951" t="inlineStr">
        <is>
          <t>2.黑色</t>
        </is>
      </c>
      <c r="E5951" t="inlineStr"/>
      <c r="F5951">
        <f>IMAGE("https://cf.shopee.tw/file/1928fd7fe327564d835c52cf15864899_tn")</f>
        <v/>
      </c>
    </row>
    <row r="5952">
      <c r="A5952" t="inlineStr">
        <is>
          <t>7902605541</t>
        </is>
      </c>
      <c r="B5952" t="inlineStr">
        <is>
          <t>隔日到貨🔥 日系 恐龍 雙肩包 🎒 學生 背包 百搭 帆布 背包 後背包 ins 怪獸 背包 少女 書包 後背</t>
        </is>
      </c>
      <c r="C5952">
        <f>IMAGE("https://cf.shopee.tw/file/372afd0b5025a4135ae17af755086cac_tn")</f>
        <v/>
      </c>
      <c r="D5952" t="inlineStr">
        <is>
          <t>3.白色</t>
        </is>
      </c>
      <c r="E5952" t="inlineStr"/>
      <c r="F5952">
        <f>IMAGE("https://cf.shopee.tw/file/3ce2c1a6df5384f22a9cf7ce45ea2eee_tn")</f>
        <v/>
      </c>
    </row>
    <row r="5953">
      <c r="A5953" t="inlineStr">
        <is>
          <t>8235589504</t>
        </is>
      </c>
      <c r="B5953" t="inlineStr">
        <is>
          <t>隔日到貨🔥 韓版網紅 ins 髮圈 大腸髮圈 髮飾 頭飾 復古 簡約 學生髮飾</t>
        </is>
      </c>
      <c r="C5953">
        <f>IMAGE("https://cf.shopee.tw/file/fbed0d77e78035c49391f074d0751569_tn")</f>
        <v/>
      </c>
      <c r="D5953" t="inlineStr">
        <is>
          <t>黃色</t>
        </is>
      </c>
      <c r="E5953" t="inlineStr"/>
      <c r="F5953">
        <f>IMAGE("https://cf.shopee.tw/file/408345923678da6c024f101c76946ffe_tn")</f>
        <v/>
      </c>
    </row>
    <row r="5954">
      <c r="A5954" t="inlineStr">
        <is>
          <t>8235589504</t>
        </is>
      </c>
      <c r="B5954" t="inlineStr">
        <is>
          <t>隔日到貨🔥 韓版網紅 ins 髮圈 大腸髮圈 髮飾 頭飾 復古 簡約 學生髮飾</t>
        </is>
      </c>
      <c r="C5954">
        <f>IMAGE("https://cf.shopee.tw/file/fbed0d77e78035c49391f074d0751569_tn")</f>
        <v/>
      </c>
      <c r="D5954" t="inlineStr">
        <is>
          <t>紅色</t>
        </is>
      </c>
      <c r="E5954" t="inlineStr"/>
      <c r="F5954">
        <f>IMAGE("https://cf.shopee.tw/file/a47f19c8411c8c9cbd00345309025be3_tn")</f>
        <v/>
      </c>
    </row>
    <row r="5955">
      <c r="A5955" t="inlineStr">
        <is>
          <t>8235589504</t>
        </is>
      </c>
      <c r="B5955" t="inlineStr">
        <is>
          <t>隔日到貨🔥 韓版網紅 ins 髮圈 大腸髮圈 髮飾 頭飾 復古 簡約 學生髮飾</t>
        </is>
      </c>
      <c r="C5955">
        <f>IMAGE("https://cf.shopee.tw/file/fbed0d77e78035c49391f074d0751569_tn")</f>
        <v/>
      </c>
      <c r="D5955" t="inlineStr">
        <is>
          <t>藍色</t>
        </is>
      </c>
      <c r="E5955" t="inlineStr"/>
      <c r="F5955">
        <f>IMAGE("https://cf.shopee.tw/file/cf7f28e7b1944efec006a9b9f01b7c63_tn")</f>
        <v/>
      </c>
    </row>
    <row r="5956">
      <c r="A5956" t="inlineStr">
        <is>
          <t>8235589504</t>
        </is>
      </c>
      <c r="B5956" t="inlineStr">
        <is>
          <t>隔日到貨🔥 韓版網紅 ins 髮圈 大腸髮圈 髮飾 頭飾 復古 簡約 學生髮飾</t>
        </is>
      </c>
      <c r="C5956">
        <f>IMAGE("https://cf.shopee.tw/file/fbed0d77e78035c49391f074d0751569_tn")</f>
        <v/>
      </c>
      <c r="D5956" t="inlineStr">
        <is>
          <t>軍綠</t>
        </is>
      </c>
      <c r="E5956" t="inlineStr"/>
      <c r="F5956">
        <f>IMAGE("https://cf.shopee.tw/file/ccf1fa8b58590fb49c4fb2e9341ce41a_tn")</f>
        <v/>
      </c>
    </row>
    <row r="5957">
      <c r="A5957" t="inlineStr">
        <is>
          <t>8235589504</t>
        </is>
      </c>
      <c r="B5957" t="inlineStr">
        <is>
          <t>隔日到貨🔥 韓版網紅 ins 髮圈 大腸髮圈 髮飾 頭飾 復古 簡約 學生髮飾</t>
        </is>
      </c>
      <c r="C5957">
        <f>IMAGE("https://cf.shopee.tw/file/fbed0d77e78035c49391f074d0751569_tn")</f>
        <v/>
      </c>
      <c r="D5957" t="inlineStr">
        <is>
          <t>咖啡</t>
        </is>
      </c>
      <c r="E5957" t="inlineStr"/>
      <c r="F5957">
        <f>IMAGE("https://cf.shopee.tw/file/e9b4566e98c16e44a9458a85b74ed421_tn")</f>
        <v/>
      </c>
    </row>
    <row r="5958">
      <c r="A5958" t="inlineStr">
        <is>
          <t>8265287121</t>
        </is>
      </c>
      <c r="B5958" t="inlineStr">
        <is>
          <t>隔日到貨🔥 ins風 牛皮紙袋收納袋 化妝刷 收納桶 化妝桶 收納盒 收納袋 口紅眉筆刷子</t>
        </is>
      </c>
      <c r="C5958">
        <f>IMAGE("https://cf.shopee.tw/file/ed2dbbcd6d4bd93c1390b689607c9c00_tn")</f>
        <v/>
      </c>
      <c r="D5958" t="inlineStr">
        <is>
          <t>牛皮紙收納袋</t>
        </is>
      </c>
      <c r="E5958" t="inlineStr"/>
      <c r="F5958">
        <f>IMAGE("https://cf.shopee.tw/file/30c9607bfefb88b4b726f39078afb641_tn")</f>
        <v/>
      </c>
    </row>
    <row r="5959">
      <c r="A5959" t="inlineStr">
        <is>
          <t>10657722506</t>
        </is>
      </c>
      <c r="B5959" t="inlineStr">
        <is>
          <t>隔日到貨🔥 韓版 熱銷款 ins 泰迪滑鼠墊 比熊 少女 可愛 滑鼠墊 治愈系 情侣滑鼠墊 韓風小物</t>
        </is>
      </c>
      <c r="C5959">
        <f>IMAGE("https://cf.shopee.tw/file/948b670d855f736e3f1f6e6122bb5c07_tn")</f>
        <v/>
      </c>
      <c r="D5959" t="inlineStr">
        <is>
          <t>泰迪</t>
        </is>
      </c>
      <c r="E5959" t="inlineStr"/>
      <c r="F5959">
        <f>IMAGE("https://cf.shopee.tw/file/a9c229718528d4b6716a09ca1fa0e3b9_tn")</f>
        <v/>
      </c>
    </row>
    <row r="5960">
      <c r="A5960" t="inlineStr">
        <is>
          <t>10657722506</t>
        </is>
      </c>
      <c r="B5960" t="inlineStr">
        <is>
          <t>隔日到貨🔥 韓版 熱銷款 ins 泰迪滑鼠墊 比熊 少女 可愛 滑鼠墊 治愈系 情侣滑鼠墊 韓風小物</t>
        </is>
      </c>
      <c r="C5960">
        <f>IMAGE("https://cf.shopee.tw/file/948b670d855f736e3f1f6e6122bb5c07_tn")</f>
        <v/>
      </c>
      <c r="D5960" t="inlineStr">
        <is>
          <t>比熊</t>
        </is>
      </c>
      <c r="E5960" t="inlineStr"/>
      <c r="F5960">
        <f>IMAGE("https://cf.shopee.tw/file/65041a2e07bdd42abc82604bacdfcbf8_tn")</f>
        <v/>
      </c>
    </row>
    <row r="5961">
      <c r="A5961" t="inlineStr">
        <is>
          <t>13550666541</t>
        </is>
      </c>
      <c r="B5961" t="inlineStr">
        <is>
          <t>隔日到貨🔥 環保小羊皮 飾品盒 收納包 磁扣 柔軟好質感 防潑水</t>
        </is>
      </c>
      <c r="C5961">
        <f>IMAGE("https://cf.shopee.tw/file/ad6cc6f36350360ce9f2a027e4b9d720_tn")</f>
        <v/>
      </c>
      <c r="D5961" t="inlineStr">
        <is>
          <t>粉白色</t>
        </is>
      </c>
      <c r="E5961" t="inlineStr"/>
      <c r="F5961">
        <f>IMAGE("https://cf.shopee.tw/file/adf8240c7b9aaa317bb5d99b6f222c4e_tn")</f>
        <v/>
      </c>
    </row>
    <row r="5962">
      <c r="A5962" t="inlineStr">
        <is>
          <t>13550666541</t>
        </is>
      </c>
      <c r="B5962" t="inlineStr">
        <is>
          <t>隔日到貨🔥 環保小羊皮 飾品盒 收納包 磁扣 柔軟好質感 防潑水</t>
        </is>
      </c>
      <c r="C5962">
        <f>IMAGE("https://cf.shopee.tw/file/ad6cc6f36350360ce9f2a027e4b9d720_tn")</f>
        <v/>
      </c>
      <c r="D5962" t="inlineStr">
        <is>
          <t>藏藍色</t>
        </is>
      </c>
      <c r="E5962" t="inlineStr"/>
      <c r="F5962">
        <f>IMAGE("https://cf.shopee.tw/file/2e2b6253f3702185e2350fb9a547e5e7_tn")</f>
        <v/>
      </c>
    </row>
    <row r="5963">
      <c r="A5963" t="inlineStr">
        <is>
          <t>3463388595</t>
        </is>
      </c>
      <c r="B5963" t="inlineStr">
        <is>
          <t>🔥台灣現貨秒發🔥 隔日到貨🔥 吸管</t>
        </is>
      </c>
      <c r="C5963">
        <f>IMAGE("https://cf.shopee.tw/file/89b64318574c28f1ff5335ce0bb29960_tn")</f>
        <v/>
      </c>
      <c r="D5963" t="inlineStr"/>
      <c r="E5963" t="inlineStr"/>
      <c r="F5963" t="inlineStr"/>
    </row>
    <row r="5964">
      <c r="A5964" t="inlineStr">
        <is>
          <t>5737193287</t>
        </is>
      </c>
      <c r="B5964" t="inlineStr">
        <is>
          <t>隔日到貨🔥 素色 後背包 多夾層 雙肩包 大容量 學生 背包 百搭 尼龍 手提 簡約 防潑水 ins 後背</t>
        </is>
      </c>
      <c r="C5964">
        <f>IMAGE("https://cf.shopee.tw/file/b782430d09d6f77622afef4287cec87c_tn")</f>
        <v/>
      </c>
      <c r="D5964" t="inlineStr">
        <is>
          <t>1.綠色</t>
        </is>
      </c>
      <c r="E5964" t="inlineStr"/>
      <c r="F5964">
        <f>IMAGE("https://cf.shopee.tw/file/474409717054616bf397342a43fc45ab_tn")</f>
        <v/>
      </c>
    </row>
    <row r="5965">
      <c r="A5965" t="inlineStr">
        <is>
          <t>5737193287</t>
        </is>
      </c>
      <c r="B5965" t="inlineStr">
        <is>
          <t>隔日到貨🔥 素色 後背包 多夾層 雙肩包 大容量 學生 背包 百搭 尼龍 手提 簡約 防潑水 ins 後背</t>
        </is>
      </c>
      <c r="C5965">
        <f>IMAGE("https://cf.shopee.tw/file/b782430d09d6f77622afef4287cec87c_tn")</f>
        <v/>
      </c>
      <c r="D5965" t="inlineStr">
        <is>
          <t>2.粉紅色</t>
        </is>
      </c>
      <c r="E5965" t="inlineStr"/>
      <c r="F5965">
        <f>IMAGE("https://cf.shopee.tw/file/61d4e596fece4ed67f25ee6bb0703b5a_tn")</f>
        <v/>
      </c>
    </row>
    <row r="5966">
      <c r="A5966" t="inlineStr">
        <is>
          <t>5737193287</t>
        </is>
      </c>
      <c r="B5966" t="inlineStr">
        <is>
          <t>隔日到貨🔥 素色 後背包 多夾層 雙肩包 大容量 學生 背包 百搭 尼龍 手提 簡約 防潑水 ins 後背</t>
        </is>
      </c>
      <c r="C5966">
        <f>IMAGE("https://cf.shopee.tw/file/b782430d09d6f77622afef4287cec87c_tn")</f>
        <v/>
      </c>
      <c r="D5966" t="inlineStr">
        <is>
          <t>3.紅色</t>
        </is>
      </c>
      <c r="E5966" t="inlineStr"/>
      <c r="F5966">
        <f>IMAGE("https://cf.shopee.tw/file/340b5ad6eb436e884c49d0e406ce0514_tn")</f>
        <v/>
      </c>
    </row>
    <row r="5967">
      <c r="A5967" t="inlineStr">
        <is>
          <t>5737193287</t>
        </is>
      </c>
      <c r="B5967" t="inlineStr">
        <is>
          <t>隔日到貨🔥 素色 後背包 多夾層 雙肩包 大容量 學生 背包 百搭 尼龍 手提 簡約 防潑水 ins 後背</t>
        </is>
      </c>
      <c r="C5967">
        <f>IMAGE("https://cf.shopee.tw/file/b782430d09d6f77622afef4287cec87c_tn")</f>
        <v/>
      </c>
      <c r="D5967" t="inlineStr">
        <is>
          <t>4.黑色</t>
        </is>
      </c>
      <c r="E5967" t="inlineStr"/>
      <c r="F5967">
        <f>IMAGE("https://cf.shopee.tw/file/2337fe655e61392e936c92e360dcdb8d_tn")</f>
        <v/>
      </c>
    </row>
    <row r="5968">
      <c r="A5968" t="inlineStr">
        <is>
          <t>8368058998</t>
        </is>
      </c>
      <c r="B5968" t="inlineStr">
        <is>
          <t>隔日到貨🔥 可拆式防疫帽 可拆卸 防護帽 防疫 隔離帽 防飛沫 防病毒 擋風帽 防唾液 漁夫帽 抗武漢肺炎神器</t>
        </is>
      </c>
      <c r="C5968">
        <f>IMAGE("https://cf.shopee.tw/file/054284e0dcd30a440b7b1390cda71974_tn")</f>
        <v/>
      </c>
      <c r="D5968" t="inlineStr">
        <is>
          <t>成人款 黑色漁夫帽 56-58cm</t>
        </is>
      </c>
      <c r="E5968" t="inlineStr"/>
      <c r="F5968">
        <f>IMAGE("https://cf.shopee.tw/file/c085516c6c6d04b7c0dac1e54b272803_tn")</f>
        <v/>
      </c>
    </row>
    <row r="5969">
      <c r="A5969" t="inlineStr">
        <is>
          <t>8368058998</t>
        </is>
      </c>
      <c r="B5969" t="inlineStr">
        <is>
          <t>隔日到貨🔥 可拆式防疫帽 可拆卸 防護帽 防疫 隔離帽 防飛沫 防病毒 擋風帽 防唾液 漁夫帽 抗武漢肺炎神器</t>
        </is>
      </c>
      <c r="C5969">
        <f>IMAGE("https://cf.shopee.tw/file/054284e0dcd30a440b7b1390cda71974_tn")</f>
        <v/>
      </c>
      <c r="D5969" t="inlineStr">
        <is>
          <t>小兒童款 黑色漁夫帽 48-52cm</t>
        </is>
      </c>
      <c r="E5969" t="inlineStr"/>
      <c r="F5969">
        <f>IMAGE("https://cf.shopee.tw/file/bb482d8d4520dc94bd30bc738f8a68f8_tn")</f>
        <v/>
      </c>
    </row>
    <row r="5970">
      <c r="A5970" t="inlineStr">
        <is>
          <t>8368058998</t>
        </is>
      </c>
      <c r="B5970" t="inlineStr">
        <is>
          <t>隔日到貨🔥 可拆式防疫帽 可拆卸 防護帽 防疫 隔離帽 防飛沫 防病毒 擋風帽 防唾液 漁夫帽 抗武漢肺炎神器</t>
        </is>
      </c>
      <c r="C5970">
        <f>IMAGE("https://cf.shopee.tw/file/054284e0dcd30a440b7b1390cda71974_tn")</f>
        <v/>
      </c>
      <c r="D5970" t="inlineStr">
        <is>
          <t>小兒童款 淺藍漁夫帽 48-52cm</t>
        </is>
      </c>
      <c r="E5970" t="inlineStr"/>
      <c r="F5970">
        <f>IMAGE("https://cf.shopee.tw/file/dd72944c2a92116797366b0f19c3e4ed_tn")</f>
        <v/>
      </c>
    </row>
    <row r="5971">
      <c r="A5971" t="inlineStr">
        <is>
          <t>8368058998</t>
        </is>
      </c>
      <c r="B5971" t="inlineStr">
        <is>
          <t>隔日到貨🔥 可拆式防疫帽 可拆卸 防護帽 防疫 隔離帽 防飛沫 防病毒 擋風帽 防唾液 漁夫帽 抗武漢肺炎神器</t>
        </is>
      </c>
      <c r="C5971">
        <f>IMAGE("https://cf.shopee.tw/file/054284e0dcd30a440b7b1390cda71974_tn")</f>
        <v/>
      </c>
      <c r="D5971" t="inlineStr">
        <is>
          <t>成人款 黑色棒球帽 56-58cm</t>
        </is>
      </c>
      <c r="E5971" t="inlineStr"/>
      <c r="F5971">
        <f>IMAGE("https://cf.shopee.tw/file/674ae919ccb9a8392532a458e8fb2a28_tn")</f>
        <v/>
      </c>
    </row>
    <row r="5972">
      <c r="A5972" t="inlineStr">
        <is>
          <t>8368058998</t>
        </is>
      </c>
      <c r="B5972" t="inlineStr">
        <is>
          <t>隔日到貨🔥 可拆式防疫帽 可拆卸 防護帽 防疫 隔離帽 防飛沫 防病毒 擋風帽 防唾液 漁夫帽 抗武漢肺炎神器</t>
        </is>
      </c>
      <c r="C5972">
        <f>IMAGE("https://cf.shopee.tw/file/054284e0dcd30a440b7b1390cda71974_tn")</f>
        <v/>
      </c>
      <c r="D5972" t="inlineStr">
        <is>
          <t>⚠️成人面罩可以拆卸 兒童款無法</t>
        </is>
      </c>
      <c r="E5972" t="inlineStr"/>
      <c r="F5972">
        <f>IMAGE("https://cf.shopee.tw/file/89997c751e537dc2daccdf30c57894ba_tn")</f>
        <v/>
      </c>
    </row>
    <row r="5973">
      <c r="A5973" t="inlineStr">
        <is>
          <t>8578052833</t>
        </is>
      </c>
      <c r="B5973" t="inlineStr">
        <is>
          <t>隔日到貨🔥 韓國 ins 小熊拖鞋 休閒鞋 鞋子 厚底 居家拖鞋 室外拖鞋 防滑 耐磨 浴室拖鞋 拖鞋</t>
        </is>
      </c>
      <c r="C5973">
        <f>IMAGE("https://cf.shopee.tw/file/846b03fc534029a7bcafbbdf3a3f621b_tn")</f>
        <v/>
      </c>
      <c r="D5973" t="inlineStr">
        <is>
          <t>黑色,38-39（腳長23-24公分）</t>
        </is>
      </c>
      <c r="E5973" t="inlineStr"/>
      <c r="F5973">
        <f>IMAGE("https://cf.shopee.tw/file/adbbe7ead8fe5ef1509795f7009f3b55_tn")</f>
        <v/>
      </c>
    </row>
    <row r="5974">
      <c r="A5974" t="inlineStr">
        <is>
          <t>8578052833</t>
        </is>
      </c>
      <c r="B5974" t="inlineStr">
        <is>
          <t>隔日到貨🔥 韓國 ins 小熊拖鞋 休閒鞋 鞋子 厚底 居家拖鞋 室外拖鞋 防滑 耐磨 浴室拖鞋 拖鞋</t>
        </is>
      </c>
      <c r="C5974">
        <f>IMAGE("https://cf.shopee.tw/file/846b03fc534029a7bcafbbdf3a3f621b_tn")</f>
        <v/>
      </c>
      <c r="D5974" t="inlineStr">
        <is>
          <t>黑色,40-41（腳長24.5-25.5公分）</t>
        </is>
      </c>
      <c r="E5974" t="inlineStr"/>
      <c r="F5974">
        <f>IMAGE("https://cf.shopee.tw/file/adbbe7ead8fe5ef1509795f7009f3b55_tn")</f>
        <v/>
      </c>
    </row>
    <row r="5975">
      <c r="A5975" t="inlineStr">
        <is>
          <t>8578052833</t>
        </is>
      </c>
      <c r="B5975" t="inlineStr">
        <is>
          <t>隔日到貨🔥 韓國 ins 小熊拖鞋 休閒鞋 鞋子 厚底 居家拖鞋 室外拖鞋 防滑 耐磨 浴室拖鞋 拖鞋</t>
        </is>
      </c>
      <c r="C5975">
        <f>IMAGE("https://cf.shopee.tw/file/846b03fc534029a7bcafbbdf3a3f621b_tn")</f>
        <v/>
      </c>
      <c r="D5975" t="inlineStr">
        <is>
          <t>杏色,38-39（腳長23-24公分）</t>
        </is>
      </c>
      <c r="E5975" t="inlineStr"/>
      <c r="F5975">
        <f>IMAGE("https://cf.shopee.tw/file/a2ea6d4d93972f972ce898c8a5918901_tn")</f>
        <v/>
      </c>
    </row>
    <row r="5976">
      <c r="A5976" t="inlineStr">
        <is>
          <t>8578052833</t>
        </is>
      </c>
      <c r="B5976" t="inlineStr">
        <is>
          <t>隔日到貨🔥 韓國 ins 小熊拖鞋 休閒鞋 鞋子 厚底 居家拖鞋 室外拖鞋 防滑 耐磨 浴室拖鞋 拖鞋</t>
        </is>
      </c>
      <c r="C5976">
        <f>IMAGE("https://cf.shopee.tw/file/846b03fc534029a7bcafbbdf3a3f621b_tn")</f>
        <v/>
      </c>
      <c r="D5976" t="inlineStr">
        <is>
          <t>杏色,40-41（腳長24.5-25.5公分）</t>
        </is>
      </c>
      <c r="E5976" t="inlineStr"/>
      <c r="F5976">
        <f>IMAGE("https://cf.shopee.tw/file/a2ea6d4d93972f972ce898c8a5918901_tn")</f>
        <v/>
      </c>
    </row>
    <row r="5977">
      <c r="A5977" t="inlineStr">
        <is>
          <t>9327579042</t>
        </is>
      </c>
      <c r="B5977" t="inlineStr">
        <is>
          <t>隔日到貨🔥 韓版 淺色直筒牛仔褲 直筒褲 牛仔褲 寬褲 高腰牛仔寬褲 長褲 顯瘦 修飾 長腿 休閒</t>
        </is>
      </c>
      <c r="C5977">
        <f>IMAGE("https://cf.shopee.tw/file/eb5f62f642b5e9382ce69965f8bff860_tn")</f>
        <v/>
      </c>
      <c r="D5977" t="inlineStr">
        <is>
          <t>淺藍色,S</t>
        </is>
      </c>
      <c r="E5977" t="inlineStr"/>
      <c r="F5977">
        <f>IMAGE("https://cf.shopee.tw/file/ab5a8ca878ac11390fdd90573af7ac6a_tn")</f>
        <v/>
      </c>
    </row>
    <row r="5978">
      <c r="A5978" t="inlineStr">
        <is>
          <t>9327579042</t>
        </is>
      </c>
      <c r="B5978" t="inlineStr">
        <is>
          <t>隔日到貨🔥 韓版 淺色直筒牛仔褲 直筒褲 牛仔褲 寬褲 高腰牛仔寬褲 長褲 顯瘦 修飾 長腿 休閒</t>
        </is>
      </c>
      <c r="C5978">
        <f>IMAGE("https://cf.shopee.tw/file/eb5f62f642b5e9382ce69965f8bff860_tn")</f>
        <v/>
      </c>
      <c r="D5978" t="inlineStr">
        <is>
          <t>淺藍色,M</t>
        </is>
      </c>
      <c r="E5978" t="inlineStr"/>
      <c r="F5978">
        <f>IMAGE("https://cf.shopee.tw/file/ab5a8ca878ac11390fdd90573af7ac6a_tn")</f>
        <v/>
      </c>
    </row>
    <row r="5979">
      <c r="A5979" t="inlineStr">
        <is>
          <t>9673381192</t>
        </is>
      </c>
      <c r="B5979" t="inlineStr">
        <is>
          <t>隔日到貨🔥 韓妞必備 運動短褲 真理褲 熱褲 居家短褲 短褲 運動褲 夏日必備 睡褲 真理庫 韓版 褲子</t>
        </is>
      </c>
      <c r="C5979">
        <f>IMAGE("https://cf.shopee.tw/file/97ed198f43336f9dc4d515c1ebe2ad2f_tn")</f>
        <v/>
      </c>
      <c r="D5979" t="inlineStr">
        <is>
          <t>黑色,M</t>
        </is>
      </c>
      <c r="E5979" t="inlineStr"/>
      <c r="F5979">
        <f>IMAGE("https://cf.shopee.tw/file/2fc9454d1fe973e8a3a5fa6af8c54b48_tn")</f>
        <v/>
      </c>
    </row>
    <row r="5980">
      <c r="A5980" t="inlineStr">
        <is>
          <t>9673381192</t>
        </is>
      </c>
      <c r="B5980" t="inlineStr">
        <is>
          <t>隔日到貨🔥 韓妞必備 運動短褲 真理褲 熱褲 居家短褲 短褲 運動褲 夏日必備 睡褲 真理庫 韓版 褲子</t>
        </is>
      </c>
      <c r="C5980">
        <f>IMAGE("https://cf.shopee.tw/file/97ed198f43336f9dc4d515c1ebe2ad2f_tn")</f>
        <v/>
      </c>
      <c r="D5980" t="inlineStr">
        <is>
          <t>黑色,L</t>
        </is>
      </c>
      <c r="E5980" t="inlineStr"/>
      <c r="F5980">
        <f>IMAGE("https://cf.shopee.tw/file/2fc9454d1fe973e8a3a5fa6af8c54b48_tn")</f>
        <v/>
      </c>
    </row>
    <row r="5981">
      <c r="A5981" t="inlineStr">
        <is>
          <t>9673381192</t>
        </is>
      </c>
      <c r="B5981" t="inlineStr">
        <is>
          <t>隔日到貨🔥 韓妞必備 運動短褲 真理褲 熱褲 居家短褲 短褲 運動褲 夏日必備 睡褲 真理庫 韓版 褲子</t>
        </is>
      </c>
      <c r="C5981">
        <f>IMAGE("https://cf.shopee.tw/file/97ed198f43336f9dc4d515c1ebe2ad2f_tn")</f>
        <v/>
      </c>
      <c r="D5981" t="inlineStr">
        <is>
          <t>白色,M</t>
        </is>
      </c>
      <c r="E5981" t="inlineStr"/>
      <c r="F5981">
        <f>IMAGE("https://cf.shopee.tw/file/ad0517a7c8ce3c02c99efefa736144b9_tn")</f>
        <v/>
      </c>
    </row>
    <row r="5982">
      <c r="A5982" t="inlineStr">
        <is>
          <t>9673381192</t>
        </is>
      </c>
      <c r="B5982" t="inlineStr">
        <is>
          <t>隔日到貨🔥 韓妞必備 運動短褲 真理褲 熱褲 居家短褲 短褲 運動褲 夏日必備 睡褲 真理庫 韓版 褲子</t>
        </is>
      </c>
      <c r="C5982">
        <f>IMAGE("https://cf.shopee.tw/file/97ed198f43336f9dc4d515c1ebe2ad2f_tn")</f>
        <v/>
      </c>
      <c r="D5982" t="inlineStr">
        <is>
          <t>白色,L</t>
        </is>
      </c>
      <c r="E5982" t="inlineStr"/>
      <c r="F5982">
        <f>IMAGE("https://cf.shopee.tw/file/ad0517a7c8ce3c02c99efefa736144b9_tn")</f>
        <v/>
      </c>
    </row>
    <row r="5983">
      <c r="A5983" t="inlineStr">
        <is>
          <t>9673381192</t>
        </is>
      </c>
      <c r="B5983" t="inlineStr">
        <is>
          <t>隔日到貨🔥 韓妞必備 運動短褲 真理褲 熱褲 居家短褲 短褲 運動褲 夏日必備 睡褲 真理庫 韓版 褲子</t>
        </is>
      </c>
      <c r="C5983">
        <f>IMAGE("https://cf.shopee.tw/file/97ed198f43336f9dc4d515c1ebe2ad2f_tn")</f>
        <v/>
      </c>
      <c r="D5983" t="inlineStr">
        <is>
          <t>橘色,M</t>
        </is>
      </c>
      <c r="E5983" t="inlineStr"/>
      <c r="F5983">
        <f>IMAGE("https://cf.shopee.tw/file/dcbfcc03964f32269b5b563571df3669_tn")</f>
        <v/>
      </c>
    </row>
    <row r="5984">
      <c r="A5984" t="inlineStr">
        <is>
          <t>9673381192</t>
        </is>
      </c>
      <c r="B5984" t="inlineStr">
        <is>
          <t>隔日到貨🔥 韓妞必備 運動短褲 真理褲 熱褲 居家短褲 短褲 運動褲 夏日必備 睡褲 真理庫 韓版 褲子</t>
        </is>
      </c>
      <c r="C5984">
        <f>IMAGE("https://cf.shopee.tw/file/97ed198f43336f9dc4d515c1ebe2ad2f_tn")</f>
        <v/>
      </c>
      <c r="D5984" t="inlineStr">
        <is>
          <t>橘色,L</t>
        </is>
      </c>
      <c r="E5984" t="inlineStr"/>
      <c r="F5984">
        <f>IMAGE("https://cf.shopee.tw/file/dcbfcc03964f32269b5b563571df3669_tn")</f>
        <v/>
      </c>
    </row>
    <row r="5985">
      <c r="A5985" t="inlineStr">
        <is>
          <t>9673381192</t>
        </is>
      </c>
      <c r="B5985" t="inlineStr">
        <is>
          <t>隔日到貨🔥 韓妞必備 運動短褲 真理褲 熱褲 居家短褲 短褲 運動褲 夏日必備 睡褲 真理庫 韓版 褲子</t>
        </is>
      </c>
      <c r="C5985">
        <f>IMAGE("https://cf.shopee.tw/file/97ed198f43336f9dc4d515c1ebe2ad2f_tn")</f>
        <v/>
      </c>
      <c r="D5985" t="inlineStr">
        <is>
          <t>藍色,M</t>
        </is>
      </c>
      <c r="E5985" t="inlineStr"/>
      <c r="F5985">
        <f>IMAGE("https://cf.shopee.tw/file/56e9191858f3de53d1119fc403302dca_tn")</f>
        <v/>
      </c>
    </row>
    <row r="5986">
      <c r="A5986" t="inlineStr">
        <is>
          <t>9673381192</t>
        </is>
      </c>
      <c r="B5986" t="inlineStr">
        <is>
          <t>隔日到貨🔥 韓妞必備 運動短褲 真理褲 熱褲 居家短褲 短褲 運動褲 夏日必備 睡褲 真理庫 韓版 褲子</t>
        </is>
      </c>
      <c r="C5986">
        <f>IMAGE("https://cf.shopee.tw/file/97ed198f43336f9dc4d515c1ebe2ad2f_tn")</f>
        <v/>
      </c>
      <c r="D5986" t="inlineStr">
        <is>
          <t>藍色,L</t>
        </is>
      </c>
      <c r="E5986" t="inlineStr"/>
      <c r="F5986">
        <f>IMAGE("https://cf.shopee.tw/file/56e9191858f3de53d1119fc403302dca_tn")</f>
        <v/>
      </c>
    </row>
    <row r="5987">
      <c r="A5987" t="inlineStr">
        <is>
          <t>9673381192</t>
        </is>
      </c>
      <c r="B5987" t="inlineStr">
        <is>
          <t>隔日到貨🔥 韓妞必備 運動短褲 真理褲 熱褲 居家短褲 短褲 運動褲 夏日必備 睡褲 真理庫 韓版 褲子</t>
        </is>
      </c>
      <c r="C5987">
        <f>IMAGE("https://cf.shopee.tw/file/97ed198f43336f9dc4d515c1ebe2ad2f_tn")</f>
        <v/>
      </c>
      <c r="D5987" t="inlineStr">
        <is>
          <t>綠色,M</t>
        </is>
      </c>
      <c r="E5987" t="inlineStr"/>
      <c r="F5987">
        <f>IMAGE("https://cf.shopee.tw/file/a79b653ac12712231e0870c40bf0fa62_tn")</f>
        <v/>
      </c>
    </row>
    <row r="5988">
      <c r="A5988" t="inlineStr">
        <is>
          <t>9673381192</t>
        </is>
      </c>
      <c r="B5988" t="inlineStr">
        <is>
          <t>隔日到貨🔥 韓妞必備 運動短褲 真理褲 熱褲 居家短褲 短褲 運動褲 夏日必備 睡褲 真理庫 韓版 褲子</t>
        </is>
      </c>
      <c r="C5988">
        <f>IMAGE("https://cf.shopee.tw/file/97ed198f43336f9dc4d515c1ebe2ad2f_tn")</f>
        <v/>
      </c>
      <c r="D5988" t="inlineStr">
        <is>
          <t>綠色,L</t>
        </is>
      </c>
      <c r="E5988" t="inlineStr"/>
      <c r="F5988">
        <f>IMAGE("https://cf.shopee.tw/file/a79b653ac12712231e0870c40bf0fa62_tn")</f>
        <v/>
      </c>
    </row>
    <row r="5989">
      <c r="A5989" t="inlineStr">
        <is>
          <t>23612359476</t>
        </is>
      </c>
      <c r="B5989" t="inlineStr">
        <is>
          <t>隔日到貨🔥 韓風 ins爆款 不鏽鋼 熊熊保溫杯 手提雙飲杯 450ML 隨手杯 附吸管 不鏽鋼杯 吸管水壺 水壺</t>
        </is>
      </c>
      <c r="C5989">
        <f>IMAGE("https://cf.shopee.tw/file/tw-11134207-23020-ijoknfaftdnv7a_tn")</f>
        <v/>
      </c>
      <c r="D5989" t="inlineStr">
        <is>
          <t>拼色,450ml (直飲/吸管兩用)</t>
        </is>
      </c>
      <c r="E5989" t="inlineStr"/>
      <c r="F5989">
        <f>IMAGE("https://cf.shopee.tw/file/sg-11134201-22120-ohutrgr950kvd4_tn")</f>
        <v/>
      </c>
    </row>
    <row r="5990">
      <c r="A5990" t="inlineStr">
        <is>
          <t>3304495752</t>
        </is>
      </c>
      <c r="B5990" t="inlineStr">
        <is>
          <t>隔日到貨🔥 貓咪牛仔手提袋 破洞帆布手提袋 內有小口袋 購物袋 逛街必備 可愛貓咪休閒手提包 大容量</t>
        </is>
      </c>
      <c r="C5990">
        <f>IMAGE("https://cf.shopee.tw/file/757e2a0ffb6affb1e36e0ffabf1ea264_tn")</f>
        <v/>
      </c>
      <c r="D5990" t="inlineStr">
        <is>
          <t>1號</t>
        </is>
      </c>
      <c r="E5990" t="inlineStr"/>
      <c r="F5990">
        <f>IMAGE("https://cf.shopee.tw/file/7187e9886c79e140552a959c01017e69_tn")</f>
        <v/>
      </c>
    </row>
    <row r="5991">
      <c r="A5991" t="inlineStr">
        <is>
          <t>3304495752</t>
        </is>
      </c>
      <c r="B5991" t="inlineStr">
        <is>
          <t>隔日到貨🔥 貓咪牛仔手提袋 破洞帆布手提袋 內有小口袋 購物袋 逛街必備 可愛貓咪休閒手提包 大容量</t>
        </is>
      </c>
      <c r="C5991">
        <f>IMAGE("https://cf.shopee.tw/file/757e2a0ffb6affb1e36e0ffabf1ea264_tn")</f>
        <v/>
      </c>
      <c r="D5991" t="inlineStr">
        <is>
          <t>2號</t>
        </is>
      </c>
      <c r="E5991" t="inlineStr"/>
      <c r="F5991">
        <f>IMAGE("https://cf.shopee.tw/file/3ae6d75aad73724fff948055de6bde33_tn")</f>
        <v/>
      </c>
    </row>
    <row r="5992">
      <c r="A5992" t="inlineStr">
        <is>
          <t>3304495752</t>
        </is>
      </c>
      <c r="B5992" t="inlineStr">
        <is>
          <t>隔日到貨🔥 貓咪牛仔手提袋 破洞帆布手提袋 內有小口袋 購物袋 逛街必備 可愛貓咪休閒手提包 大容量</t>
        </is>
      </c>
      <c r="C5992">
        <f>IMAGE("https://cf.shopee.tw/file/757e2a0ffb6affb1e36e0ffabf1ea264_tn")</f>
        <v/>
      </c>
      <c r="D5992" t="inlineStr">
        <is>
          <t>3號</t>
        </is>
      </c>
      <c r="E5992" t="inlineStr"/>
      <c r="F5992">
        <f>IMAGE("https://cf.shopee.tw/file/d20ab436722780989237009790b3eb3f_tn")</f>
        <v/>
      </c>
    </row>
    <row r="5993">
      <c r="A5993" t="inlineStr">
        <is>
          <t>3304495752</t>
        </is>
      </c>
      <c r="B5993" t="inlineStr">
        <is>
          <t>隔日到貨🔥 貓咪牛仔手提袋 破洞帆布手提袋 內有小口袋 購物袋 逛街必備 可愛貓咪休閒手提包 大容量</t>
        </is>
      </c>
      <c r="C5993">
        <f>IMAGE("https://cf.shopee.tw/file/757e2a0ffb6affb1e36e0ffabf1ea264_tn")</f>
        <v/>
      </c>
      <c r="D5993" t="inlineStr">
        <is>
          <t>4號</t>
        </is>
      </c>
      <c r="E5993" t="inlineStr"/>
      <c r="F5993">
        <f>IMAGE("https://cf.shopee.tw/file/38f3d3937376032bbc1f014bac1158cf_tn")</f>
        <v/>
      </c>
    </row>
    <row r="5994">
      <c r="A5994" t="inlineStr">
        <is>
          <t>3304495752</t>
        </is>
      </c>
      <c r="B5994" t="inlineStr">
        <is>
          <t>隔日到貨🔥 貓咪牛仔手提袋 破洞帆布手提袋 內有小口袋 購物袋 逛街必備 可愛貓咪休閒手提包 大容量</t>
        </is>
      </c>
      <c r="C5994">
        <f>IMAGE("https://cf.shopee.tw/file/757e2a0ffb6affb1e36e0ffabf1ea264_tn")</f>
        <v/>
      </c>
      <c r="D5994" t="inlineStr">
        <is>
          <t>5號</t>
        </is>
      </c>
      <c r="E5994" t="inlineStr"/>
      <c r="F5994">
        <f>IMAGE("https://cf.shopee.tw/file/990b62363e1a4b65d0d77e59c460de16_tn")</f>
        <v/>
      </c>
    </row>
    <row r="5995">
      <c r="A5995" t="inlineStr">
        <is>
          <t>3304495752</t>
        </is>
      </c>
      <c r="B5995" t="inlineStr">
        <is>
          <t>隔日到貨🔥 貓咪牛仔手提袋 破洞帆布手提袋 內有小口袋 購物袋 逛街必備 可愛貓咪休閒手提包 大容量</t>
        </is>
      </c>
      <c r="C5995">
        <f>IMAGE("https://cf.shopee.tw/file/757e2a0ffb6affb1e36e0ffabf1ea264_tn")</f>
        <v/>
      </c>
      <c r="D5995" t="inlineStr">
        <is>
          <t>6號</t>
        </is>
      </c>
      <c r="E5995" t="inlineStr"/>
      <c r="F5995">
        <f>IMAGE("https://cf.shopee.tw/file/558fa4277ed759ab97802b8a4f5ff8f9_tn")</f>
        <v/>
      </c>
    </row>
    <row r="5996">
      <c r="A5996" t="inlineStr">
        <is>
          <t>3541023131</t>
        </is>
      </c>
      <c r="B5996" t="inlineStr">
        <is>
          <t>隔日到貨🔥 貝雷帽 畫家帽 八角帽 秋冬帽 復古帽 韓版帽 日系帽 ins 潮流帽 百搭帽 網紅帽</t>
        </is>
      </c>
      <c r="C5996">
        <f>IMAGE("https://cf.shopee.tw/file/fd9572850ac3c93daf6c71465bc109ac_tn")</f>
        <v/>
      </c>
      <c r="D5996" t="inlineStr">
        <is>
          <t>黑色,M (56-58cm)</t>
        </is>
      </c>
      <c r="E5996" t="inlineStr"/>
      <c r="F5996">
        <f>IMAGE("https://cf.shopee.tw/file/04023310f8946661eda665d6d23fc30b_tn")</f>
        <v/>
      </c>
    </row>
    <row r="5997">
      <c r="A5997" t="inlineStr">
        <is>
          <t>3541023131</t>
        </is>
      </c>
      <c r="B5997" t="inlineStr">
        <is>
          <t>隔日到貨🔥 貝雷帽 畫家帽 八角帽 秋冬帽 復古帽 韓版帽 日系帽 ins 潮流帽 百搭帽 網紅帽</t>
        </is>
      </c>
      <c r="C5997">
        <f>IMAGE("https://cf.shopee.tw/file/fd9572850ac3c93daf6c71465bc109ac_tn")</f>
        <v/>
      </c>
      <c r="D5997" t="inlineStr">
        <is>
          <t>卡其色,M (56-58cm)</t>
        </is>
      </c>
      <c r="E5997" t="inlineStr"/>
      <c r="F5997">
        <f>IMAGE("https://cf.shopee.tw/file/a142211dcc5850780fe5db98b913ccbd_tn")</f>
        <v/>
      </c>
    </row>
    <row r="5998">
      <c r="A5998" t="inlineStr">
        <is>
          <t>3541023131</t>
        </is>
      </c>
      <c r="B5998" t="inlineStr">
        <is>
          <t>隔日到貨🔥 貝雷帽 畫家帽 八角帽 秋冬帽 復古帽 韓版帽 日系帽 ins 潮流帽 百搭帽 網紅帽</t>
        </is>
      </c>
      <c r="C5998">
        <f>IMAGE("https://cf.shopee.tw/file/fd9572850ac3c93daf6c71465bc109ac_tn")</f>
        <v/>
      </c>
      <c r="D5998" t="inlineStr">
        <is>
          <t>深灰色,M (56-58cm)</t>
        </is>
      </c>
      <c r="E5998" t="inlineStr"/>
      <c r="F5998">
        <f>IMAGE("https://cf.shopee.tw/file/2cbb84f44a3cb86ab86342f6dc30eb36_tn")</f>
        <v/>
      </c>
    </row>
    <row r="5999">
      <c r="A5999" t="inlineStr">
        <is>
          <t>3541023131</t>
        </is>
      </c>
      <c r="B5999" t="inlineStr">
        <is>
          <t>隔日到貨🔥 貝雷帽 畫家帽 八角帽 秋冬帽 復古帽 韓版帽 日系帽 ins 潮流帽 百搭帽 網紅帽</t>
        </is>
      </c>
      <c r="C5999">
        <f>IMAGE("https://cf.shopee.tw/file/fd9572850ac3c93daf6c71465bc109ac_tn")</f>
        <v/>
      </c>
      <c r="D5999" t="inlineStr">
        <is>
          <t>酒紅色,M (56-58cm)</t>
        </is>
      </c>
      <c r="E5999" t="inlineStr"/>
      <c r="F5999">
        <f>IMAGE("https://cf.shopee.tw/file/26491b0f09f51c1c0058fbf747052a4b_tn")</f>
        <v/>
      </c>
    </row>
    <row r="6000">
      <c r="A6000" t="inlineStr">
        <is>
          <t>3571988102</t>
        </is>
      </c>
      <c r="B6000" t="inlineStr">
        <is>
          <t>隔日到貨🔥 素面小logo針織毛帽 長毛帽 針織毛帽 情侶帽 毛帽 ins 韓系穿搭 棉質毛帽 素面毛帽</t>
        </is>
      </c>
      <c r="C6000">
        <f>IMAGE("https://cf.shopee.tw/file/3b7bd281e3c2d2fdf0de6ee263b8a71d_tn")</f>
        <v/>
      </c>
      <c r="D6000" t="inlineStr">
        <is>
          <t>橘色</t>
        </is>
      </c>
      <c r="E6000" t="inlineStr"/>
      <c r="F6000">
        <f>IMAGE("https://cf.shopee.tw/file/a4726ee2fab87fbf2fea2c8a189a0c3b_tn")</f>
        <v/>
      </c>
    </row>
    <row r="6001">
      <c r="A6001" t="inlineStr">
        <is>
          <t>3571988102</t>
        </is>
      </c>
      <c r="B6001" t="inlineStr">
        <is>
          <t>隔日到貨🔥 素面小logo針織毛帽 長毛帽 針織毛帽 情侶帽 毛帽 ins 韓系穿搭 棉質毛帽 素面毛帽</t>
        </is>
      </c>
      <c r="C6001">
        <f>IMAGE("https://cf.shopee.tw/file/3b7bd281e3c2d2fdf0de6ee263b8a71d_tn")</f>
        <v/>
      </c>
      <c r="D6001" t="inlineStr">
        <is>
          <t>白色</t>
        </is>
      </c>
      <c r="E6001" t="inlineStr"/>
      <c r="F6001">
        <f>IMAGE("https://cf.shopee.tw/file/8a9e39a889191271296c1602fedd5a0b_tn")</f>
        <v/>
      </c>
    </row>
    <row r="6002">
      <c r="A6002" t="inlineStr">
        <is>
          <t>3571988102</t>
        </is>
      </c>
      <c r="B6002" t="inlineStr">
        <is>
          <t>隔日到貨🔥 素面小logo針織毛帽 長毛帽 針織毛帽 情侶帽 毛帽 ins 韓系穿搭 棉質毛帽 素面毛帽</t>
        </is>
      </c>
      <c r="C6002">
        <f>IMAGE("https://cf.shopee.tw/file/3b7bd281e3c2d2fdf0de6ee263b8a71d_tn")</f>
        <v/>
      </c>
      <c r="D6002" t="inlineStr">
        <is>
          <t>綠色</t>
        </is>
      </c>
      <c r="E6002" t="inlineStr"/>
      <c r="F6002">
        <f>IMAGE("https://cf.shopee.tw/file/af1823d2326b226b40eea5474510976a_tn")</f>
        <v/>
      </c>
    </row>
    <row r="6003">
      <c r="A6003" t="inlineStr">
        <is>
          <t>3571988102</t>
        </is>
      </c>
      <c r="B6003" t="inlineStr">
        <is>
          <t>隔日到貨🔥 素面小logo針織毛帽 長毛帽 針織毛帽 情侶帽 毛帽 ins 韓系穿搭 棉質毛帽 素面毛帽</t>
        </is>
      </c>
      <c r="C6003">
        <f>IMAGE("https://cf.shopee.tw/file/3b7bd281e3c2d2fdf0de6ee263b8a71d_tn")</f>
        <v/>
      </c>
      <c r="D6003" t="inlineStr">
        <is>
          <t>黑色</t>
        </is>
      </c>
      <c r="E6003" t="inlineStr"/>
      <c r="F6003">
        <f>IMAGE("https://cf.shopee.tw/file/3af56a67228d46253c2c33093208c808_tn")</f>
        <v/>
      </c>
    </row>
    <row r="6004">
      <c r="A6004" t="inlineStr">
        <is>
          <t>3571988102</t>
        </is>
      </c>
      <c r="B6004" t="inlineStr">
        <is>
          <t>隔日到貨🔥 素面小logo針織毛帽 長毛帽 針織毛帽 情侶帽 毛帽 ins 韓系穿搭 棉質毛帽 素面毛帽</t>
        </is>
      </c>
      <c r="C6004">
        <f>IMAGE("https://cf.shopee.tw/file/3b7bd281e3c2d2fdf0de6ee263b8a71d_tn")</f>
        <v/>
      </c>
      <c r="D6004" t="inlineStr">
        <is>
          <t>藍色</t>
        </is>
      </c>
      <c r="E6004" t="inlineStr"/>
      <c r="F6004">
        <f>IMAGE("https://cf.shopee.tw/file/a24d60d440d0d2f51a056ff2d1b87fde_tn")</f>
        <v/>
      </c>
    </row>
    <row r="6005">
      <c r="A6005" t="inlineStr">
        <is>
          <t>3571988102</t>
        </is>
      </c>
      <c r="B6005" t="inlineStr">
        <is>
          <t>隔日到貨🔥 素面小logo針織毛帽 長毛帽 針織毛帽 情侶帽 毛帽 ins 韓系穿搭 棉質毛帽 素面毛帽</t>
        </is>
      </c>
      <c r="C6005">
        <f>IMAGE("https://cf.shopee.tw/file/3b7bd281e3c2d2fdf0de6ee263b8a71d_tn")</f>
        <v/>
      </c>
      <c r="D6005" t="inlineStr">
        <is>
          <t>紫色</t>
        </is>
      </c>
      <c r="E6005" t="inlineStr"/>
      <c r="F6005">
        <f>IMAGE("https://cf.shopee.tw/file/b7c7ff7e3abfd9a4c8255dea0ec44d85_tn")</f>
        <v/>
      </c>
    </row>
    <row r="6006">
      <c r="A6006" t="inlineStr">
        <is>
          <t>3571988102</t>
        </is>
      </c>
      <c r="B6006" t="inlineStr">
        <is>
          <t>隔日到貨🔥 素面小logo針織毛帽 長毛帽 針織毛帽 情侶帽 毛帽 ins 韓系穿搭 棉質毛帽 素面毛帽</t>
        </is>
      </c>
      <c r="C6006">
        <f>IMAGE("https://cf.shopee.tw/file/3b7bd281e3c2d2fdf0de6ee263b8a71d_tn")</f>
        <v/>
      </c>
      <c r="D6006" t="inlineStr">
        <is>
          <t>黃色</t>
        </is>
      </c>
      <c r="E6006" t="inlineStr"/>
      <c r="F6006">
        <f>IMAGE("https://cf.shopee.tw/file/e6ccc127075f37f5fef35fb1264f6838_tn")</f>
        <v/>
      </c>
    </row>
    <row r="6007">
      <c r="A6007" t="inlineStr">
        <is>
          <t>4161730592</t>
        </is>
      </c>
      <c r="B6007" t="inlineStr">
        <is>
          <t>隔日到貨🔥 韓系長版毛帽 毛帽 長毛帽 針織毛帽 情侶帽 男女毛帽 ins 韓系穿搭 棉質毛帽 素面毛帽</t>
        </is>
      </c>
      <c r="C6007">
        <f>IMAGE("https://cf.shopee.tw/file/1483e73166cdc5b80cf285d945428dd0_tn")</f>
        <v/>
      </c>
      <c r="D6007" t="inlineStr">
        <is>
          <t>深藍色</t>
        </is>
      </c>
      <c r="E6007" t="inlineStr"/>
      <c r="F6007">
        <f>IMAGE("https://cf.shopee.tw/file/99288016283f200920d21f0c63a2e049_tn")</f>
        <v/>
      </c>
    </row>
    <row r="6008">
      <c r="A6008" t="inlineStr">
        <is>
          <t>4161730592</t>
        </is>
      </c>
      <c r="B6008" t="inlineStr">
        <is>
          <t>隔日到貨🔥 韓系長版毛帽 毛帽 長毛帽 針織毛帽 情侶帽 男女毛帽 ins 韓系穿搭 棉質毛帽 素面毛帽</t>
        </is>
      </c>
      <c r="C6008">
        <f>IMAGE("https://cf.shopee.tw/file/1483e73166cdc5b80cf285d945428dd0_tn")</f>
        <v/>
      </c>
      <c r="D6008" t="inlineStr">
        <is>
          <t>黃色</t>
        </is>
      </c>
      <c r="E6008" t="inlineStr"/>
      <c r="F6008">
        <f>IMAGE("https://cf.shopee.tw/file/d914c0d7dc628cdc69281fa44e7b6be5_tn")</f>
        <v/>
      </c>
    </row>
    <row r="6009">
      <c r="A6009" t="inlineStr">
        <is>
          <t>4161730592</t>
        </is>
      </c>
      <c r="B6009" t="inlineStr">
        <is>
          <t>隔日到貨🔥 韓系長版毛帽 毛帽 長毛帽 針織毛帽 情侶帽 男女毛帽 ins 韓系穿搭 棉質毛帽 素面毛帽</t>
        </is>
      </c>
      <c r="C6009">
        <f>IMAGE("https://cf.shopee.tw/file/1483e73166cdc5b80cf285d945428dd0_tn")</f>
        <v/>
      </c>
      <c r="D6009" t="inlineStr">
        <is>
          <t>墨綠色</t>
        </is>
      </c>
      <c r="E6009" t="inlineStr"/>
      <c r="F6009">
        <f>IMAGE("https://cf.shopee.tw/file/83042510b7d8832eba96e3e269bb851a_tn")</f>
        <v/>
      </c>
    </row>
    <row r="6010">
      <c r="A6010" t="inlineStr">
        <is>
          <t>4161730592</t>
        </is>
      </c>
      <c r="B6010" t="inlineStr">
        <is>
          <t>隔日到貨🔥 韓系長版毛帽 毛帽 長毛帽 針織毛帽 情侶帽 男女毛帽 ins 韓系穿搭 棉質毛帽 素面毛帽</t>
        </is>
      </c>
      <c r="C6010">
        <f>IMAGE("https://cf.shopee.tw/file/1483e73166cdc5b80cf285d945428dd0_tn")</f>
        <v/>
      </c>
      <c r="D6010" t="inlineStr">
        <is>
          <t>藍色</t>
        </is>
      </c>
      <c r="E6010" t="inlineStr"/>
      <c r="F6010">
        <f>IMAGE("https://cf.shopee.tw/file/7631cbbc502d662bdda2e35758c5fdae_tn")</f>
        <v/>
      </c>
    </row>
    <row r="6011">
      <c r="A6011" t="inlineStr">
        <is>
          <t>4161730592</t>
        </is>
      </c>
      <c r="B6011" t="inlineStr">
        <is>
          <t>隔日到貨🔥 韓系長版毛帽 毛帽 長毛帽 針織毛帽 情侶帽 男女毛帽 ins 韓系穿搭 棉質毛帽 素面毛帽</t>
        </is>
      </c>
      <c r="C6011">
        <f>IMAGE("https://cf.shopee.tw/file/1483e73166cdc5b80cf285d945428dd0_tn")</f>
        <v/>
      </c>
      <c r="D6011" t="inlineStr">
        <is>
          <t>米白色</t>
        </is>
      </c>
      <c r="E6011" t="inlineStr"/>
      <c r="F6011">
        <f>IMAGE("https://cf.shopee.tw/file/08e37f8f970e8c139139b52160f2e7ce_tn")</f>
        <v/>
      </c>
    </row>
    <row r="6012">
      <c r="A6012" t="inlineStr">
        <is>
          <t>4161730592</t>
        </is>
      </c>
      <c r="B6012" t="inlineStr">
        <is>
          <t>隔日到貨🔥 韓系長版毛帽 毛帽 長毛帽 針織毛帽 情侶帽 男女毛帽 ins 韓系穿搭 棉質毛帽 素面毛帽</t>
        </is>
      </c>
      <c r="C6012">
        <f>IMAGE("https://cf.shopee.tw/file/1483e73166cdc5b80cf285d945428dd0_tn")</f>
        <v/>
      </c>
      <c r="D6012" t="inlineStr">
        <is>
          <t>鐵灰</t>
        </is>
      </c>
      <c r="E6012" t="inlineStr"/>
      <c r="F6012">
        <f>IMAGE("https://cf.shopee.tw/file/878ba7cbcd0a0c7449e4d3682c638485_tn")</f>
        <v/>
      </c>
    </row>
    <row r="6013">
      <c r="A6013" t="inlineStr">
        <is>
          <t>4161730592</t>
        </is>
      </c>
      <c r="B6013" t="inlineStr">
        <is>
          <t>隔日到貨🔥 韓系長版毛帽 毛帽 長毛帽 針織毛帽 情侶帽 男女毛帽 ins 韓系穿搭 棉質毛帽 素面毛帽</t>
        </is>
      </c>
      <c r="C6013">
        <f>IMAGE("https://cf.shopee.tw/file/1483e73166cdc5b80cf285d945428dd0_tn")</f>
        <v/>
      </c>
      <c r="D6013" t="inlineStr">
        <is>
          <t>深米色</t>
        </is>
      </c>
      <c r="E6013" t="inlineStr"/>
      <c r="F6013">
        <f>IMAGE("https://cf.shopee.tw/file/8079a2ad770533f0dc9b205b82402487_tn")</f>
        <v/>
      </c>
    </row>
    <row r="6014">
      <c r="A6014" t="inlineStr">
        <is>
          <t>4161730592</t>
        </is>
      </c>
      <c r="B6014" t="inlineStr">
        <is>
          <t>隔日到貨🔥 韓系長版毛帽 毛帽 長毛帽 針織毛帽 情侶帽 男女毛帽 ins 韓系穿搭 棉質毛帽 素面毛帽</t>
        </is>
      </c>
      <c r="C6014">
        <f>IMAGE("https://cf.shopee.tw/file/1483e73166cdc5b80cf285d945428dd0_tn")</f>
        <v/>
      </c>
      <c r="D6014" t="inlineStr">
        <is>
          <t>黑色</t>
        </is>
      </c>
      <c r="E6014" t="inlineStr">
        <is>
          <t>51732304814</t>
        </is>
      </c>
      <c r="F6014">
        <f>IMAGE("https://cf.shopee.tw/file/3cd54d3921138412f83ea3e8aa8ccbb4_tn")</f>
        <v/>
      </c>
    </row>
    <row r="6015">
      <c r="A6015" t="inlineStr">
        <is>
          <t>4161730592</t>
        </is>
      </c>
      <c r="B6015" t="inlineStr">
        <is>
          <t>隔日到貨🔥 韓系長版毛帽 毛帽 長毛帽 針織毛帽 情侶帽 男女毛帽 ins 韓系穿搭 棉質毛帽 素面毛帽</t>
        </is>
      </c>
      <c r="C6015">
        <f>IMAGE("https://cf.shopee.tw/file/1483e73166cdc5b80cf285d945428dd0_tn")</f>
        <v/>
      </c>
      <c r="D6015" t="inlineStr">
        <is>
          <t>酒紅色</t>
        </is>
      </c>
      <c r="E6015" t="inlineStr"/>
      <c r="F6015">
        <f>IMAGE("https://cf.shopee.tw/file/bbed6212ca0c4ea9b606da7e4d50bc51_tn")</f>
        <v/>
      </c>
    </row>
    <row r="6016">
      <c r="A6016" t="inlineStr">
        <is>
          <t>4161730592</t>
        </is>
      </c>
      <c r="B6016" t="inlineStr">
        <is>
          <t>隔日到貨🔥 韓系長版毛帽 毛帽 長毛帽 針織毛帽 情侶帽 男女毛帽 ins 韓系穿搭 棉質毛帽 素面毛帽</t>
        </is>
      </c>
      <c r="C6016">
        <f>IMAGE("https://cf.shopee.tw/file/1483e73166cdc5b80cf285d945428dd0_tn")</f>
        <v/>
      </c>
      <c r="D6016" t="inlineStr">
        <is>
          <t>淺灰色</t>
        </is>
      </c>
      <c r="E6016" t="inlineStr"/>
      <c r="F6016">
        <f>IMAGE("https://cf.shopee.tw/file/febc415520fd271c1760d9e623403dc2_tn")</f>
        <v/>
      </c>
    </row>
    <row r="6017">
      <c r="A6017" t="inlineStr">
        <is>
          <t>4161730592</t>
        </is>
      </c>
      <c r="B6017" t="inlineStr">
        <is>
          <t>隔日到貨🔥 韓系長版毛帽 毛帽 長毛帽 針織毛帽 情侶帽 男女毛帽 ins 韓系穿搭 棉質毛帽 素面毛帽</t>
        </is>
      </c>
      <c r="C6017">
        <f>IMAGE("https://cf.shopee.tw/file/1483e73166cdc5b80cf285d945428dd0_tn")</f>
        <v/>
      </c>
      <c r="D6017" t="inlineStr">
        <is>
          <t>焦糖色</t>
        </is>
      </c>
      <c r="E6017" t="inlineStr"/>
      <c r="F6017">
        <f>IMAGE("https://cf.shopee.tw/file/9006cdefd8287a3cc566443d6abc7c2a_tn")</f>
        <v/>
      </c>
    </row>
    <row r="6018">
      <c r="A6018" t="inlineStr">
        <is>
          <t>4178070798</t>
        </is>
      </c>
      <c r="B6018" t="inlineStr">
        <is>
          <t>隔日到貨🔥 英式 學院風後背包 防潑水 雙肩 學生 背包 百搭 尼龍 手提 簡約 背包 少女 書包 後背包 ins</t>
        </is>
      </c>
      <c r="C6018">
        <f>IMAGE("https://cf.shopee.tw/file/5a70bc82364f82dae4152bcac6eb6d3b_tn")</f>
        <v/>
      </c>
      <c r="D6018" t="inlineStr">
        <is>
          <t>卡其色</t>
        </is>
      </c>
      <c r="E6018" t="inlineStr"/>
      <c r="F6018">
        <f>IMAGE("https://cf.shopee.tw/file/9c4445a0ca1e0816fd210f8273c795aa_tn")</f>
        <v/>
      </c>
    </row>
    <row r="6019">
      <c r="A6019" t="inlineStr">
        <is>
          <t>4178070798</t>
        </is>
      </c>
      <c r="B6019" t="inlineStr">
        <is>
          <t>隔日到貨🔥 英式 學院風後背包 防潑水 雙肩 學生 背包 百搭 尼龍 手提 簡約 背包 少女 書包 後背包 ins</t>
        </is>
      </c>
      <c r="C6019">
        <f>IMAGE("https://cf.shopee.tw/file/5a70bc82364f82dae4152bcac6eb6d3b_tn")</f>
        <v/>
      </c>
      <c r="D6019" t="inlineStr">
        <is>
          <t>粉色</t>
        </is>
      </c>
      <c r="E6019" t="inlineStr"/>
      <c r="F6019">
        <f>IMAGE("https://cf.shopee.tw/file/91c43afabbdb9cfe2b56a02ed68499af_tn")</f>
        <v/>
      </c>
    </row>
    <row r="6020">
      <c r="A6020" t="inlineStr">
        <is>
          <t>4178070798</t>
        </is>
      </c>
      <c r="B6020" t="inlineStr">
        <is>
          <t>隔日到貨🔥 英式 學院風後背包 防潑水 雙肩 學生 背包 百搭 尼龍 手提 簡約 背包 少女 書包 後背包 ins</t>
        </is>
      </c>
      <c r="C6020">
        <f>IMAGE("https://cf.shopee.tw/file/5a70bc82364f82dae4152bcac6eb6d3b_tn")</f>
        <v/>
      </c>
      <c r="D6020" t="inlineStr">
        <is>
          <t>黑色</t>
        </is>
      </c>
      <c r="E6020" t="inlineStr"/>
      <c r="F6020">
        <f>IMAGE("https://cf.shopee.tw/file/07a319248da862eecea7f144bbaddf2f_tn")</f>
        <v/>
      </c>
    </row>
    <row r="6021">
      <c r="A6021" t="inlineStr">
        <is>
          <t>9748074147</t>
        </is>
      </c>
      <c r="B6021" t="inlineStr">
        <is>
          <t>隔日到貨🔥 日系 麂皮絨 漁夫帽 遮陽帽 文藝漁夫帽 韓系 穿搭 服飾 街頭 防曬帽 帽子 配件 防曬 遮臉</t>
        </is>
      </c>
      <c r="C6021">
        <f>IMAGE("https://cf.shopee.tw/file/f62aae672613598750c55e9556d88ffb_tn")</f>
        <v/>
      </c>
      <c r="D6021" t="inlineStr">
        <is>
          <t>1.黑色</t>
        </is>
      </c>
      <c r="E6021" t="inlineStr"/>
      <c r="F6021">
        <f>IMAGE("https://cf.shopee.tw/file/3fd88de52a41471f84a7c611ee2bdf14_tn")</f>
        <v/>
      </c>
    </row>
    <row r="6022">
      <c r="A6022" t="inlineStr">
        <is>
          <t>9748074147</t>
        </is>
      </c>
      <c r="B6022" t="inlineStr">
        <is>
          <t>隔日到貨🔥 日系 麂皮絨 漁夫帽 遮陽帽 文藝漁夫帽 韓系 穿搭 服飾 街頭 防曬帽 帽子 配件 防曬 遮臉</t>
        </is>
      </c>
      <c r="C6022">
        <f>IMAGE("https://cf.shopee.tw/file/f62aae672613598750c55e9556d88ffb_tn")</f>
        <v/>
      </c>
      <c r="D6022" t="inlineStr">
        <is>
          <t>2.軍綠色</t>
        </is>
      </c>
      <c r="E6022" t="inlineStr"/>
      <c r="F6022">
        <f>IMAGE("https://cf.shopee.tw/file/4323b13883ed7d70361406b876d88add_tn")</f>
        <v/>
      </c>
    </row>
    <row r="6023">
      <c r="A6023" t="inlineStr">
        <is>
          <t>9748074147</t>
        </is>
      </c>
      <c r="B6023" t="inlineStr">
        <is>
          <t>隔日到貨🔥 日系 麂皮絨 漁夫帽 遮陽帽 文藝漁夫帽 韓系 穿搭 服飾 街頭 防曬帽 帽子 配件 防曬 遮臉</t>
        </is>
      </c>
      <c r="C6023">
        <f>IMAGE("https://cf.shopee.tw/file/f62aae672613598750c55e9556d88ffb_tn")</f>
        <v/>
      </c>
      <c r="D6023" t="inlineStr">
        <is>
          <t>3.灰色</t>
        </is>
      </c>
      <c r="E6023" t="inlineStr"/>
      <c r="F6023">
        <f>IMAGE("https://cf.shopee.tw/file/a77bfc6595b51782f79ecfd841806edc_tn")</f>
        <v/>
      </c>
    </row>
    <row r="6024">
      <c r="A6024" t="inlineStr">
        <is>
          <t>9748074147</t>
        </is>
      </c>
      <c r="B6024" t="inlineStr">
        <is>
          <t>隔日到貨🔥 日系 麂皮絨 漁夫帽 遮陽帽 文藝漁夫帽 韓系 穿搭 服飾 街頭 防曬帽 帽子 配件 防曬 遮臉</t>
        </is>
      </c>
      <c r="C6024">
        <f>IMAGE("https://cf.shopee.tw/file/f62aae672613598750c55e9556d88ffb_tn")</f>
        <v/>
      </c>
      <c r="D6024" t="inlineStr">
        <is>
          <t>4.駝色</t>
        </is>
      </c>
      <c r="E6024" t="inlineStr"/>
      <c r="F6024">
        <f>IMAGE("https://cf.shopee.tw/file/5258fef0d6fa52a1e854c7242a1205b6_tn")</f>
        <v/>
      </c>
    </row>
    <row r="6025">
      <c r="A6025" t="inlineStr">
        <is>
          <t>11515756521</t>
        </is>
      </c>
      <c r="B6025" t="inlineStr">
        <is>
          <t>隔日到貨🔥 自動感應酒精噴霧器 自動感應手部噴霧消毒機 感應式酒精噴霧器 酒精洗手機 家用消毒液 酒精噴霧機</t>
        </is>
      </c>
      <c r="C6025">
        <f>IMAGE("https://cf.shopee.tw/file/0e65e31ada03c9e7489cef6f33fef61d_tn")</f>
        <v/>
      </c>
      <c r="D6025" t="inlineStr">
        <is>
          <t>電池款</t>
        </is>
      </c>
      <c r="E6025" t="inlineStr"/>
      <c r="F6025">
        <f>IMAGE("https://cf.shopee.tw/file/448343cf188a74fb8686aa140b5b3c89_tn")</f>
        <v/>
      </c>
    </row>
    <row r="6026">
      <c r="A6026" t="inlineStr">
        <is>
          <t>15051614862</t>
        </is>
      </c>
      <c r="B6026" t="inlineStr">
        <is>
          <t>隔日到貨🔥 筆電散熱支架 鋁合金筆電支架 送收納袋 筆電支架 折疊筆電架 電腦架 散熱筆電架 筆電架 平板支架</t>
        </is>
      </c>
      <c r="C6026">
        <f>IMAGE("https://cf.shopee.tw/file/dd0e045233377816cecb821af3f08c29_tn")</f>
        <v/>
      </c>
      <c r="D6026" t="inlineStr">
        <is>
          <t>N3 銀色 6檔 (鋁合金)</t>
        </is>
      </c>
      <c r="E6026" t="inlineStr"/>
      <c r="F6026">
        <f>IMAGE("https://cf.shopee.tw/file/d7ae283cbac3f16f2b0449613f3d0439_tn")</f>
        <v/>
      </c>
    </row>
    <row r="6027">
      <c r="A6027" t="inlineStr">
        <is>
          <t>15051614862</t>
        </is>
      </c>
      <c r="B6027" t="inlineStr">
        <is>
          <t>隔日到貨🔥 筆電散熱支架 鋁合金筆電支架 送收納袋 筆電支架 折疊筆電架 電腦架 散熱筆電架 筆電架 平板支架</t>
        </is>
      </c>
      <c r="C6027">
        <f>IMAGE("https://cf.shopee.tw/file/dd0e045233377816cecb821af3f08c29_tn")</f>
        <v/>
      </c>
      <c r="D6027" t="inlineStr">
        <is>
          <t>N3 黑色 6檔 (鋁合金)</t>
        </is>
      </c>
      <c r="E6027" t="inlineStr"/>
      <c r="F6027">
        <f>IMAGE("https://cf.shopee.tw/file/801f4598d8fec6858d8d82633a16cb0d_tn")</f>
        <v/>
      </c>
    </row>
    <row r="6028">
      <c r="A6028" t="inlineStr">
        <is>
          <t>15051614862</t>
        </is>
      </c>
      <c r="B6028" t="inlineStr">
        <is>
          <t>隔日到貨🔥 筆電散熱支架 鋁合金筆電支架 送收納袋 筆電支架 折疊筆電架 電腦架 散熱筆電架 筆電架 平板支架</t>
        </is>
      </c>
      <c r="C6028">
        <f>IMAGE("https://cf.shopee.tw/file/dd0e045233377816cecb821af3f08c29_tn")</f>
        <v/>
      </c>
      <c r="D6028" t="inlineStr">
        <is>
          <t>N100 銀色 10檔 (ABS材質)</t>
        </is>
      </c>
      <c r="E6028" t="inlineStr"/>
      <c r="F6028">
        <f>IMAGE("https://cf.shopee.tw/file/5b7178dd2c1491298f3e44d377bccaf6_tn")</f>
        <v/>
      </c>
    </row>
    <row r="6029">
      <c r="A6029" t="inlineStr">
        <is>
          <t>15051614862</t>
        </is>
      </c>
      <c r="B6029" t="inlineStr">
        <is>
          <t>隔日到貨🔥 筆電散熱支架 鋁合金筆電支架 送收納袋 筆電支架 折疊筆電架 電腦架 散熱筆電架 筆電架 平板支架</t>
        </is>
      </c>
      <c r="C6029">
        <f>IMAGE("https://cf.shopee.tw/file/dd0e045233377816cecb821af3f08c29_tn")</f>
        <v/>
      </c>
      <c r="D6029" t="inlineStr">
        <is>
          <t>N100 黑色 10檔 (ABS材質)</t>
        </is>
      </c>
      <c r="E6029" t="inlineStr"/>
      <c r="F6029">
        <f>IMAGE("https://cf.shopee.tw/file/4736aff95dff4ee5c9cad72f8f9accc6_tn")</f>
        <v/>
      </c>
    </row>
    <row r="6030">
      <c r="A6030" t="inlineStr">
        <is>
          <t>2638781788</t>
        </is>
      </c>
      <c r="B6030" t="inlineStr">
        <is>
          <t>隔日到貨🔥 各色簡約北歐馬克杯 文藝水杯咖啡杯創意木手柄陶瓷杯牛奶杯訂製</t>
        </is>
      </c>
      <c r="C6030">
        <f>IMAGE("https://cf.shopee.tw/file/14bb413c3af1f96c884830810418b4f2_tn")</f>
        <v/>
      </c>
      <c r="D6030" t="inlineStr">
        <is>
          <t>1.白色（附杓子與蓋子</t>
        </is>
      </c>
      <c r="E6030" t="inlineStr"/>
      <c r="F6030">
        <f>IMAGE("https://deo.shopeemobile.com/shopee/shopee-seller-live-sg/mmf_portal_seller_root_dir/static/modules/product-list/image/default-item-model-image.2601159.png")</f>
        <v/>
      </c>
    </row>
    <row r="6031">
      <c r="A6031" t="inlineStr">
        <is>
          <t>2638781788</t>
        </is>
      </c>
      <c r="B6031" t="inlineStr">
        <is>
          <t>隔日到貨🔥 各色簡約北歐馬克杯 文藝水杯咖啡杯創意木手柄陶瓷杯牛奶杯訂製</t>
        </is>
      </c>
      <c r="C6031">
        <f>IMAGE("https://cf.shopee.tw/file/14bb413c3af1f96c884830810418b4f2_tn")</f>
        <v/>
      </c>
      <c r="D6031" t="inlineStr">
        <is>
          <t>2.黑色（附杓子與蓋子</t>
        </is>
      </c>
      <c r="E6031" t="inlineStr"/>
      <c r="F6031">
        <f>IMAGE("https://deo.shopeemobile.com/shopee/shopee-seller-live-sg/mmf_portal_seller_root_dir/static/modules/product-list/image/default-item-model-image.2601159.png")</f>
        <v/>
      </c>
    </row>
    <row r="6032">
      <c r="A6032" t="inlineStr">
        <is>
          <t>2638781788</t>
        </is>
      </c>
      <c r="B6032" t="inlineStr">
        <is>
          <t>隔日到貨🔥 各色簡約北歐馬克杯 文藝水杯咖啡杯創意木手柄陶瓷杯牛奶杯訂製</t>
        </is>
      </c>
      <c r="C6032">
        <f>IMAGE("https://cf.shopee.tw/file/14bb413c3af1f96c884830810418b4f2_tn")</f>
        <v/>
      </c>
      <c r="D6032" t="inlineStr">
        <is>
          <t>3.綠色（附杓子與蓋子</t>
        </is>
      </c>
      <c r="E6032" t="inlineStr"/>
      <c r="F6032">
        <f>IMAGE("https://deo.shopeemobile.com/shopee/shopee-seller-live-sg/mmf_portal_seller_root_dir/static/modules/product-list/image/default-item-model-image.2601159.png")</f>
        <v/>
      </c>
    </row>
    <row r="6033">
      <c r="A6033" t="inlineStr">
        <is>
          <t>2638781788</t>
        </is>
      </c>
      <c r="B6033" t="inlineStr">
        <is>
          <t>隔日到貨🔥 各色簡約北歐馬克杯 文藝水杯咖啡杯創意木手柄陶瓷杯牛奶杯訂製</t>
        </is>
      </c>
      <c r="C6033">
        <f>IMAGE("https://cf.shopee.tw/file/14bb413c3af1f96c884830810418b4f2_tn")</f>
        <v/>
      </c>
      <c r="D6033" t="inlineStr">
        <is>
          <t>4.橙色</t>
        </is>
      </c>
      <c r="E6033" t="inlineStr"/>
      <c r="F6033">
        <f>IMAGE("https://deo.shopeemobile.com/shopee/shopee-seller-live-sg/mmf_portal_seller_root_dir/static/modules/product-list/image/default-item-model-image.2601159.png")</f>
        <v/>
      </c>
    </row>
    <row r="6034">
      <c r="A6034" t="inlineStr">
        <is>
          <t>2638781788</t>
        </is>
      </c>
      <c r="B6034" t="inlineStr">
        <is>
          <t>隔日到貨🔥 各色簡約北歐馬克杯 文藝水杯咖啡杯創意木手柄陶瓷杯牛奶杯訂製</t>
        </is>
      </c>
      <c r="C6034">
        <f>IMAGE("https://cf.shopee.tw/file/14bb413c3af1f96c884830810418b4f2_tn")</f>
        <v/>
      </c>
      <c r="D6034" t="inlineStr">
        <is>
          <t>5.白色</t>
        </is>
      </c>
      <c r="E6034" t="inlineStr"/>
      <c r="F6034">
        <f>IMAGE("https://deo.shopeemobile.com/shopee/shopee-seller-live-sg/mmf_portal_seller_root_dir/static/modules/product-list/image/default-item-model-image.2601159.png")</f>
        <v/>
      </c>
    </row>
    <row r="6035">
      <c r="A6035" t="inlineStr">
        <is>
          <t>2638781788</t>
        </is>
      </c>
      <c r="B6035" t="inlineStr">
        <is>
          <t>隔日到貨🔥 各色簡約北歐馬克杯 文藝水杯咖啡杯創意木手柄陶瓷杯牛奶杯訂製</t>
        </is>
      </c>
      <c r="C6035">
        <f>IMAGE("https://cf.shopee.tw/file/14bb413c3af1f96c884830810418b4f2_tn")</f>
        <v/>
      </c>
      <c r="D6035" t="inlineStr">
        <is>
          <t>6.黑色</t>
        </is>
      </c>
      <c r="E6035" t="inlineStr"/>
      <c r="F6035">
        <f>IMAGE("https://deo.shopeemobile.com/shopee/shopee-seller-live-sg/mmf_portal_seller_root_dir/static/modules/product-list/image/default-item-model-image.2601159.png")</f>
        <v/>
      </c>
    </row>
    <row r="6036">
      <c r="A6036" t="inlineStr">
        <is>
          <t>2638781788</t>
        </is>
      </c>
      <c r="B6036" t="inlineStr">
        <is>
          <t>隔日到貨🔥 各色簡約北歐馬克杯 文藝水杯咖啡杯創意木手柄陶瓷杯牛奶杯訂製</t>
        </is>
      </c>
      <c r="C6036">
        <f>IMAGE("https://cf.shopee.tw/file/14bb413c3af1f96c884830810418b4f2_tn")</f>
        <v/>
      </c>
      <c r="D6036" t="inlineStr">
        <is>
          <t>7.綠色</t>
        </is>
      </c>
      <c r="E6036" t="inlineStr"/>
      <c r="F6036">
        <f>IMAGE("https://deo.shopeemobile.com/shopee/shopee-seller-live-sg/mmf_portal_seller_root_dir/static/modules/product-list/image/default-item-model-image.2601159.png")</f>
        <v/>
      </c>
    </row>
    <row r="6037">
      <c r="A6037" t="inlineStr">
        <is>
          <t>2638781788</t>
        </is>
      </c>
      <c r="B6037" t="inlineStr">
        <is>
          <t>隔日到貨🔥 各色簡約北歐馬克杯 文藝水杯咖啡杯創意木手柄陶瓷杯牛奶杯訂製</t>
        </is>
      </c>
      <c r="C6037">
        <f>IMAGE("https://cf.shopee.tw/file/14bb413c3af1f96c884830810418b4f2_tn")</f>
        <v/>
      </c>
      <c r="D6037" t="inlineStr">
        <is>
          <t>8.灰色</t>
        </is>
      </c>
      <c r="E6037" t="inlineStr"/>
      <c r="F6037">
        <f>IMAGE("https://deo.shopeemobile.com/shopee/shopee-seller-live-sg/mmf_portal_seller_root_dir/static/modules/product-list/image/default-item-model-image.2601159.png")</f>
        <v/>
      </c>
    </row>
    <row r="6038">
      <c r="A6038" t="inlineStr">
        <is>
          <t>4345613812</t>
        </is>
      </c>
      <c r="B6038" t="inlineStr">
        <is>
          <t>隔日到貨🔥 日系大帽沿漁夫帽 文藝漁夫帽 日系 軟版 韓系 穿搭必備 街頭 防曬帽 帽子 漁夫帽</t>
        </is>
      </c>
      <c r="C6038">
        <f>IMAGE("https://cf.shopee.tw/file/a45cf3e208e7fc3ef273d497eb667e24_tn")</f>
        <v/>
      </c>
      <c r="D6038" t="inlineStr">
        <is>
          <t>黑色</t>
        </is>
      </c>
      <c r="E6038" t="inlineStr"/>
      <c r="F6038">
        <f>IMAGE("https://cf.shopee.tw/file/bc78fa39930dd97fe287c6d3a6aac675_tn")</f>
        <v/>
      </c>
    </row>
    <row r="6039">
      <c r="A6039" t="inlineStr">
        <is>
          <t>4345613812</t>
        </is>
      </c>
      <c r="B6039" t="inlineStr">
        <is>
          <t>隔日到貨🔥 日系大帽沿漁夫帽 文藝漁夫帽 日系 軟版 韓系 穿搭必備 街頭 防曬帽 帽子 漁夫帽</t>
        </is>
      </c>
      <c r="C6039">
        <f>IMAGE("https://cf.shopee.tw/file/a45cf3e208e7fc3ef273d497eb667e24_tn")</f>
        <v/>
      </c>
      <c r="D6039" t="inlineStr">
        <is>
          <t>米白</t>
        </is>
      </c>
      <c r="E6039" t="inlineStr"/>
      <c r="F6039">
        <f>IMAGE("https://cf.shopee.tw/file/db333a1d3686f305a0535431783eaa0c_tn")</f>
        <v/>
      </c>
    </row>
    <row r="6040">
      <c r="A6040" t="inlineStr">
        <is>
          <t>4345613812</t>
        </is>
      </c>
      <c r="B6040" t="inlineStr">
        <is>
          <t>隔日到貨🔥 日系大帽沿漁夫帽 文藝漁夫帽 日系 軟版 韓系 穿搭必備 街頭 防曬帽 帽子 漁夫帽</t>
        </is>
      </c>
      <c r="C6040">
        <f>IMAGE("https://cf.shopee.tw/file/a45cf3e208e7fc3ef273d497eb667e24_tn")</f>
        <v/>
      </c>
      <c r="D6040" t="inlineStr">
        <is>
          <t>黃色</t>
        </is>
      </c>
      <c r="E6040" t="inlineStr"/>
      <c r="F6040">
        <f>IMAGE("https://cf.shopee.tw/file/4a4266cdacf60e4ddcece5a2988aa26d_tn")</f>
        <v/>
      </c>
    </row>
    <row r="6041">
      <c r="A6041" t="inlineStr">
        <is>
          <t>4345613812</t>
        </is>
      </c>
      <c r="B6041" t="inlineStr">
        <is>
          <t>隔日到貨🔥 日系大帽沿漁夫帽 文藝漁夫帽 日系 軟版 韓系 穿搭必備 街頭 防曬帽 帽子 漁夫帽</t>
        </is>
      </c>
      <c r="C6041">
        <f>IMAGE("https://cf.shopee.tw/file/a45cf3e208e7fc3ef273d497eb667e24_tn")</f>
        <v/>
      </c>
      <c r="D6041" t="inlineStr">
        <is>
          <t>卡其</t>
        </is>
      </c>
      <c r="E6041" t="inlineStr"/>
      <c r="F6041">
        <f>IMAGE("https://cf.shopee.tw/file/9c0b58354901ae28b3e540dffd0d5081_tn")</f>
        <v/>
      </c>
    </row>
    <row r="6042">
      <c r="A6042" t="inlineStr">
        <is>
          <t>4544798953</t>
        </is>
      </c>
      <c r="B6042" t="inlineStr">
        <is>
          <t>隔日到貨🔥 韓國 ins 狗狗 拖鞋 休閒鞋 鞋子 厚底 居家拖鞋 室外拖鞋 防滑 耐磨 浴室拖鞋 小狗</t>
        </is>
      </c>
      <c r="C6042">
        <f>IMAGE("https://cf.shopee.tw/file/153ad45d6123eb2e3b939530fd307d07_tn")</f>
        <v/>
      </c>
      <c r="D6042" t="inlineStr">
        <is>
          <t>黑色,38-39（腳長23.5-24.5公分）</t>
        </is>
      </c>
      <c r="E6042" t="inlineStr"/>
      <c r="F6042">
        <f>IMAGE("https://cf.shopee.tw/file/0b89efc9538dce33cf59f3020e1c2c1b_tn")</f>
        <v/>
      </c>
    </row>
    <row r="6043">
      <c r="A6043" t="inlineStr">
        <is>
          <t>4544798953</t>
        </is>
      </c>
      <c r="B6043" t="inlineStr">
        <is>
          <t>隔日到貨🔥 韓國 ins 狗狗 拖鞋 休閒鞋 鞋子 厚底 居家拖鞋 室外拖鞋 防滑 耐磨 浴室拖鞋 小狗</t>
        </is>
      </c>
      <c r="C6043">
        <f>IMAGE("https://cf.shopee.tw/file/153ad45d6123eb2e3b939530fd307d07_tn")</f>
        <v/>
      </c>
      <c r="D6043" t="inlineStr">
        <is>
          <t>白色,40-41（腳長25-26公分）</t>
        </is>
      </c>
      <c r="E6043" t="inlineStr"/>
      <c r="F6043">
        <f>IMAGE("https://cf.shopee.tw/file/2d3507d354aedcde2fbcf2d797e22ae2_tn")</f>
        <v/>
      </c>
    </row>
    <row r="6044">
      <c r="A6044" t="inlineStr">
        <is>
          <t>4544798953</t>
        </is>
      </c>
      <c r="B6044" t="inlineStr">
        <is>
          <t>隔日到貨🔥 韓國 ins 狗狗 拖鞋 休閒鞋 鞋子 厚底 居家拖鞋 室外拖鞋 防滑 耐磨 浴室拖鞋 小狗</t>
        </is>
      </c>
      <c r="C6044">
        <f>IMAGE("https://cf.shopee.tw/file/153ad45d6123eb2e3b939530fd307d07_tn")</f>
        <v/>
      </c>
      <c r="D6044" t="inlineStr">
        <is>
          <t>黑色,40-41（腳長25-26公分）</t>
        </is>
      </c>
      <c r="E6044" t="inlineStr"/>
      <c r="F6044">
        <f>IMAGE("https://cf.shopee.tw/file/0b89efc9538dce33cf59f3020e1c2c1b_tn")</f>
        <v/>
      </c>
    </row>
    <row r="6045">
      <c r="A6045" t="inlineStr">
        <is>
          <t>4544798953</t>
        </is>
      </c>
      <c r="B6045" t="inlineStr">
        <is>
          <t>隔日到貨🔥 韓國 ins 狗狗 拖鞋 休閒鞋 鞋子 厚底 居家拖鞋 室外拖鞋 防滑 耐磨 浴室拖鞋 小狗</t>
        </is>
      </c>
      <c r="C6045">
        <f>IMAGE("https://cf.shopee.tw/file/153ad45d6123eb2e3b939530fd307d07_tn")</f>
        <v/>
      </c>
      <c r="D6045" t="inlineStr">
        <is>
          <t>白色,38-39（腳長23.5-24.5公分）</t>
        </is>
      </c>
      <c r="E6045" t="inlineStr"/>
      <c r="F6045">
        <f>IMAGE("https://cf.shopee.tw/file/2d3507d354aedcde2fbcf2d797e22ae2_tn")</f>
        <v/>
      </c>
    </row>
    <row r="6046">
      <c r="A6046" t="inlineStr">
        <is>
          <t>5219000624</t>
        </is>
      </c>
      <c r="B6046" t="inlineStr">
        <is>
          <t>隔日到貨🔥 304不鏽鋼 350ML 保溫瓶 保溫杯 350CC 手提 保溫杯 咖啡杯 五色 真空設計 水杯</t>
        </is>
      </c>
      <c r="C6046">
        <f>IMAGE("https://cf.shopee.tw/file/1aae83f54731fa735c91df1ec30c1916_tn")</f>
        <v/>
      </c>
      <c r="D6046" t="inlineStr">
        <is>
          <t>1.橘紅</t>
        </is>
      </c>
      <c r="E6046" t="inlineStr"/>
      <c r="F6046">
        <f>IMAGE("https://cf.shopee.tw/file/tw-11134207-7qul5-lfyynrn3utref2_tn")</f>
        <v/>
      </c>
    </row>
    <row r="6047">
      <c r="A6047" t="inlineStr">
        <is>
          <t>5219000624</t>
        </is>
      </c>
      <c r="B6047" t="inlineStr">
        <is>
          <t>隔日到貨🔥 304不鏽鋼 350ML 保溫瓶 保溫杯 350CC 手提 保溫杯 咖啡杯 五色 真空設計 水杯</t>
        </is>
      </c>
      <c r="C6047">
        <f>IMAGE("https://cf.shopee.tw/file/1aae83f54731fa735c91df1ec30c1916_tn")</f>
        <v/>
      </c>
      <c r="D6047" t="inlineStr">
        <is>
          <t>3.軍綠</t>
        </is>
      </c>
      <c r="E6047" t="inlineStr"/>
      <c r="F6047">
        <f>IMAGE("https://cf.shopee.tw/file/tw-11134207-7qukx-lfyynwue8r3eee_tn")</f>
        <v/>
      </c>
    </row>
    <row r="6048">
      <c r="A6048" t="inlineStr">
        <is>
          <t>5219000624</t>
        </is>
      </c>
      <c r="B6048" t="inlineStr">
        <is>
          <t>隔日到貨🔥 304不鏽鋼 350ML 保溫瓶 保溫杯 350CC 手提 保溫杯 咖啡杯 五色 真空設計 水杯</t>
        </is>
      </c>
      <c r="C6048">
        <f>IMAGE("https://cf.shopee.tw/file/1aae83f54731fa735c91df1ec30c1916_tn")</f>
        <v/>
      </c>
      <c r="D6048" t="inlineStr">
        <is>
          <t>4.黑色</t>
        </is>
      </c>
      <c r="E6048" t="inlineStr">
        <is>
          <t>14277816226</t>
        </is>
      </c>
      <c r="F6048">
        <f>IMAGE("https://cf.shopee.tw/file/tw-11134207-7quky-lfyyo1gbhxxd08_tn")</f>
        <v/>
      </c>
    </row>
    <row r="6049">
      <c r="A6049" t="inlineStr">
        <is>
          <t>5219000624</t>
        </is>
      </c>
      <c r="B6049" t="inlineStr">
        <is>
          <t>隔日到貨🔥 304不鏽鋼 350ML 保溫瓶 保溫杯 350CC 手提 保溫杯 咖啡杯 五色 真空設計 水杯</t>
        </is>
      </c>
      <c r="C6049">
        <f>IMAGE("https://cf.shopee.tw/file/1aae83f54731fa735c91df1ec30c1916_tn")</f>
        <v/>
      </c>
      <c r="D6049" t="inlineStr">
        <is>
          <t>2.藍色</t>
        </is>
      </c>
      <c r="E6049" t="inlineStr"/>
      <c r="F6049">
        <f>IMAGE("https://cf.shopee.tw/file/tw-11134207-7qukw-lfyynubdxxka48_tn")</f>
        <v/>
      </c>
    </row>
    <row r="6050">
      <c r="A6050" t="inlineStr">
        <is>
          <t>5219000624</t>
        </is>
      </c>
      <c r="B6050" t="inlineStr">
        <is>
          <t>隔日到貨🔥 304不鏽鋼 350ML 保溫瓶 保溫杯 350CC 手提 保溫杯 咖啡杯 五色 真空設計 水杯</t>
        </is>
      </c>
      <c r="C6050">
        <f>IMAGE("https://cf.shopee.tw/file/1aae83f54731fa735c91df1ec30c1916_tn")</f>
        <v/>
      </c>
      <c r="D6050" t="inlineStr">
        <is>
          <t>5.米色</t>
        </is>
      </c>
      <c r="E6050" t="inlineStr"/>
      <c r="F6050">
        <f>IMAGE("https://cf.shopee.tw/file/tw-11134207-7qul0-lfyyo4afcisqa0_tn")</f>
        <v/>
      </c>
    </row>
    <row r="6051">
      <c r="A6051" t="inlineStr">
        <is>
          <t>6158830208</t>
        </is>
      </c>
      <c r="B6051" t="inlineStr">
        <is>
          <t>隔日到貨🔥 韓風 ins爆款🍒 新款竹子 保溫杯 350ML 500ML 隨手杯 不鏽鋼杯 水壺 禮物 保冷</t>
        </is>
      </c>
      <c r="C6051">
        <f>IMAGE("https://cf.shopee.tw/file/76f6aa25da2a56d93733dc38f44fa3cd_tn")</f>
        <v/>
      </c>
      <c r="D6051" t="inlineStr">
        <is>
          <t>350 ML</t>
        </is>
      </c>
      <c r="E6051" t="inlineStr"/>
      <c r="F6051">
        <f>IMAGE("https://cf.shopee.tw/file/fee7740942c17f3d9170c68e63cce55a_tn")</f>
        <v/>
      </c>
    </row>
    <row r="6052">
      <c r="A6052" t="inlineStr">
        <is>
          <t>6158830208</t>
        </is>
      </c>
      <c r="B6052" t="inlineStr">
        <is>
          <t>隔日到貨🔥 韓風 ins爆款🍒 新款竹子 保溫杯 350ML 500ML 隨手杯 不鏽鋼杯 水壺 禮物 保冷</t>
        </is>
      </c>
      <c r="C6052">
        <f>IMAGE("https://cf.shopee.tw/file/76f6aa25da2a56d93733dc38f44fa3cd_tn")</f>
        <v/>
      </c>
      <c r="D6052" t="inlineStr">
        <is>
          <t>500 ML</t>
        </is>
      </c>
      <c r="E6052" t="inlineStr"/>
      <c r="F6052">
        <f>IMAGE("https://cf.shopee.tw/file/69f03b4d90479c2551123239602be93d_tn")</f>
        <v/>
      </c>
    </row>
    <row r="6053">
      <c r="A6053" t="inlineStr">
        <is>
          <t>6263954781</t>
        </is>
      </c>
      <c r="B6053" t="inlineStr">
        <is>
          <t>隔日到貨🔥 ins風手機折疊支架 多功能指環扣 伸縮折疊支架 適合各手機 手機支架 粘貼式懶人支架 伸縮氣囊</t>
        </is>
      </c>
      <c r="C6053">
        <f>IMAGE("https://cf.shopee.tw/file/a6ece8bd5eaec7c81133b8e267996c69_tn")</f>
        <v/>
      </c>
      <c r="D6053" t="inlineStr">
        <is>
          <t>小雛菊</t>
        </is>
      </c>
      <c r="E6053" t="inlineStr"/>
      <c r="F6053">
        <f>IMAGE("https://cf.shopee.tw/file/32af02be6ac45d527bc61e2c2a7f0d45_tn")</f>
        <v/>
      </c>
    </row>
    <row r="6054">
      <c r="A6054" t="inlineStr">
        <is>
          <t>6263954781</t>
        </is>
      </c>
      <c r="B6054" t="inlineStr">
        <is>
          <t>隔日到貨🔥 ins風手機折疊支架 多功能指環扣 伸縮折疊支架 適合各手機 手機支架 粘貼式懶人支架 伸縮氣囊</t>
        </is>
      </c>
      <c r="C6054">
        <f>IMAGE("https://cf.shopee.tw/file/a6ece8bd5eaec7c81133b8e267996c69_tn")</f>
        <v/>
      </c>
      <c r="D6054" t="inlineStr">
        <is>
          <t>棕色餅乾熊</t>
        </is>
      </c>
      <c r="E6054" t="inlineStr"/>
      <c r="F6054">
        <f>IMAGE("https://cf.shopee.tw/file/5e460a42222d96bf09433fcdac2e7435_tn")</f>
        <v/>
      </c>
    </row>
    <row r="6055">
      <c r="A6055" t="inlineStr">
        <is>
          <t>6263954781</t>
        </is>
      </c>
      <c r="B6055" t="inlineStr">
        <is>
          <t>隔日到貨🔥 ins風手機折疊支架 多功能指環扣 伸縮折疊支架 適合各手機 手機支架 粘貼式懶人支架 伸縮氣囊</t>
        </is>
      </c>
      <c r="C6055">
        <f>IMAGE("https://cf.shopee.tw/file/a6ece8bd5eaec7c81133b8e267996c69_tn")</f>
        <v/>
      </c>
      <c r="D6055" t="inlineStr">
        <is>
          <t>紫色餅乾熊</t>
        </is>
      </c>
      <c r="E6055" t="inlineStr"/>
      <c r="F6055">
        <f>IMAGE("https://cf.shopee.tw/file/c69ebd80a9027b98dafa11762b7c737e_tn")</f>
        <v/>
      </c>
    </row>
    <row r="6056">
      <c r="A6056" t="inlineStr">
        <is>
          <t>6263954781</t>
        </is>
      </c>
      <c r="B6056" t="inlineStr">
        <is>
          <t>隔日到貨🔥 ins風手機折疊支架 多功能指環扣 伸縮折疊支架 適合各手機 手機支架 粘貼式懶人支架 伸縮氣囊</t>
        </is>
      </c>
      <c r="C6056">
        <f>IMAGE("https://cf.shopee.tw/file/a6ece8bd5eaec7c81133b8e267996c69_tn")</f>
        <v/>
      </c>
      <c r="D6056" t="inlineStr">
        <is>
          <t>蘑菇頭男孩</t>
        </is>
      </c>
      <c r="E6056" t="inlineStr"/>
      <c r="F6056">
        <f>IMAGE("https://cf.shopee.tw/file/cbae2fd6531b53cd610ee20c16da8b58_tn")</f>
        <v/>
      </c>
    </row>
    <row r="6057">
      <c r="A6057" t="inlineStr">
        <is>
          <t>6263954781</t>
        </is>
      </c>
      <c r="B6057" t="inlineStr">
        <is>
          <t>隔日到貨🔥 ins風手機折疊支架 多功能指環扣 伸縮折疊支架 適合各手機 手機支架 粘貼式懶人支架 伸縮氣囊</t>
        </is>
      </c>
      <c r="C6057">
        <f>IMAGE("https://cf.shopee.tw/file/a6ece8bd5eaec7c81133b8e267996c69_tn")</f>
        <v/>
      </c>
      <c r="D6057" t="inlineStr">
        <is>
          <t>蘑菇頭女孩</t>
        </is>
      </c>
      <c r="E6057" t="inlineStr"/>
      <c r="F6057">
        <f>IMAGE("https://cf.shopee.tw/file/d04e11c651341bdb06d54682119c43db_tn")</f>
        <v/>
      </c>
    </row>
    <row r="6058">
      <c r="A6058" t="inlineStr">
        <is>
          <t>6263954781</t>
        </is>
      </c>
      <c r="B6058" t="inlineStr">
        <is>
          <t>隔日到貨🔥 ins風手機折疊支架 多功能指環扣 伸縮折疊支架 適合各手機 手機支架 粘貼式懶人支架 伸縮氣囊</t>
        </is>
      </c>
      <c r="C6058">
        <f>IMAGE("https://cf.shopee.tw/file/a6ece8bd5eaec7c81133b8e267996c69_tn")</f>
        <v/>
      </c>
      <c r="D6058" t="inlineStr">
        <is>
          <t>白色O嘴兔</t>
        </is>
      </c>
      <c r="E6058" t="inlineStr"/>
      <c r="F6058">
        <f>IMAGE("https://cf.shopee.tw/file/f22e923bf2726b5b06e5ad0d4196186c_tn")</f>
        <v/>
      </c>
    </row>
    <row r="6059">
      <c r="A6059" t="inlineStr">
        <is>
          <t>6263954781</t>
        </is>
      </c>
      <c r="B6059" t="inlineStr">
        <is>
          <t>隔日到貨🔥 ins風手機折疊支架 多功能指環扣 伸縮折疊支架 適合各手機 手機支架 粘貼式懶人支架 伸縮氣囊</t>
        </is>
      </c>
      <c r="C6059">
        <f>IMAGE("https://cf.shopee.tw/file/a6ece8bd5eaec7c81133b8e267996c69_tn")</f>
        <v/>
      </c>
      <c r="D6059" t="inlineStr">
        <is>
          <t>無奈臉熊貓</t>
        </is>
      </c>
      <c r="E6059" t="inlineStr"/>
      <c r="F6059">
        <f>IMAGE("https://cf.shopee.tw/file/7ee539e775a63a25153c29ed41c9cefd_tn")</f>
        <v/>
      </c>
    </row>
    <row r="6060">
      <c r="A6060" t="inlineStr">
        <is>
          <t>6263954781</t>
        </is>
      </c>
      <c r="B6060" t="inlineStr">
        <is>
          <t>隔日到貨🔥 ins風手機折疊支架 多功能指環扣 伸縮折疊支架 適合各手機 手機支架 粘貼式懶人支架 伸縮氣囊</t>
        </is>
      </c>
      <c r="C6060">
        <f>IMAGE("https://cf.shopee.tw/file/a6ece8bd5eaec7c81133b8e267996c69_tn")</f>
        <v/>
      </c>
      <c r="D6060" t="inlineStr">
        <is>
          <t>紫色O嘴兔</t>
        </is>
      </c>
      <c r="E6060" t="inlineStr">
        <is>
          <t>31895173632</t>
        </is>
      </c>
      <c r="F6060">
        <f>IMAGE("https://cf.shopee.tw/file/31cd23bb10f40f149c795c5969cfd13c_tn")</f>
        <v/>
      </c>
    </row>
    <row r="6061">
      <c r="A6061" t="inlineStr">
        <is>
          <t>6263954781</t>
        </is>
      </c>
      <c r="B6061" t="inlineStr">
        <is>
          <t>隔日到貨🔥 ins風手機折疊支架 多功能指環扣 伸縮折疊支架 適合各手機 手機支架 粘貼式懶人支架 伸縮氣囊</t>
        </is>
      </c>
      <c r="C6061">
        <f>IMAGE("https://cf.shopee.tw/file/a6ece8bd5eaec7c81133b8e267996c69_tn")</f>
        <v/>
      </c>
      <c r="D6061" t="inlineStr">
        <is>
          <t>粉色線條豬</t>
        </is>
      </c>
      <c r="E6061" t="inlineStr">
        <is>
          <t>31895173635</t>
        </is>
      </c>
      <c r="F6061">
        <f>IMAGE("https://cf.shopee.tw/file/291747654c5e0027fb9cddcc287b72ac_tn")</f>
        <v/>
      </c>
    </row>
    <row r="6062">
      <c r="A6062" t="inlineStr">
        <is>
          <t>6263954781</t>
        </is>
      </c>
      <c r="B6062" t="inlineStr">
        <is>
          <t>隔日到貨🔥 ins風手機折疊支架 多功能指環扣 伸縮折疊支架 適合各手機 手機支架 粘貼式懶人支架 伸縮氣囊</t>
        </is>
      </c>
      <c r="C6062">
        <f>IMAGE("https://cf.shopee.tw/file/a6ece8bd5eaec7c81133b8e267996c69_tn")</f>
        <v/>
      </c>
      <c r="D6062" t="inlineStr">
        <is>
          <t>紫色 Kobe 24號球衣</t>
        </is>
      </c>
      <c r="E6062" t="inlineStr"/>
      <c r="F6062">
        <f>IMAGE("https://cf.shopee.tw/file/6f54ca5a44d77241087e4e53482344f8_tn")</f>
        <v/>
      </c>
    </row>
    <row r="6063">
      <c r="A6063" t="inlineStr">
        <is>
          <t>6263954781</t>
        </is>
      </c>
      <c r="B6063" t="inlineStr">
        <is>
          <t>隔日到貨🔥 ins風手機折疊支架 多功能指環扣 伸縮折疊支架 適合各手機 手機支架 粘貼式懶人支架 伸縮氣囊</t>
        </is>
      </c>
      <c r="C6063">
        <f>IMAGE("https://cf.shopee.tw/file/a6ece8bd5eaec7c81133b8e267996c69_tn")</f>
        <v/>
      </c>
      <c r="D6063" t="inlineStr">
        <is>
          <t>黃色 Kobe 24號球衣</t>
        </is>
      </c>
      <c r="E6063" t="inlineStr"/>
      <c r="F6063">
        <f>IMAGE("https://cf.shopee.tw/file/a08d04899f45f3bccf29b56218326267_tn")</f>
        <v/>
      </c>
    </row>
    <row r="6064">
      <c r="A6064" t="inlineStr">
        <is>
          <t>6263954781</t>
        </is>
      </c>
      <c r="B6064" t="inlineStr">
        <is>
          <t>隔日到貨🔥 ins風手機折疊支架 多功能指環扣 伸縮折疊支架 適合各手機 手機支架 粘貼式懶人支架 伸縮氣囊</t>
        </is>
      </c>
      <c r="C6064">
        <f>IMAGE("https://cf.shopee.tw/file/a6ece8bd5eaec7c81133b8e267996c69_tn")</f>
        <v/>
      </c>
      <c r="D6064" t="inlineStr">
        <is>
          <t>粉色泡麵雲</t>
        </is>
      </c>
      <c r="E6064" t="inlineStr"/>
      <c r="F6064">
        <f>IMAGE("https://cf.shopee.tw/file/a39940006581b8942df4abe8f0babe59_tn")</f>
        <v/>
      </c>
    </row>
    <row r="6065">
      <c r="A6065" t="inlineStr">
        <is>
          <t>6793392895</t>
        </is>
      </c>
      <c r="B6065" t="inlineStr">
        <is>
          <t>隔日到貨🔥 韓版 直筒西裝褲 寬鬆九分闊腿褲 直筒褲 牛仔褲 寬褲 高腰牛仔寬褲 長褲 顯瘦 修飾 長腿 九分褲</t>
        </is>
      </c>
      <c r="C6065">
        <f>IMAGE("https://cf.shopee.tw/file/95e496dc6e74f225f3ccd0208f7c0b39_tn")</f>
        <v/>
      </c>
      <c r="D6065" t="inlineStr">
        <is>
          <t>黑色,M</t>
        </is>
      </c>
      <c r="E6065" t="inlineStr"/>
      <c r="F6065">
        <f>IMAGE("https://cf.shopee.tw/file/41dcd74207dc4a204cd8a49d9afe6c5b_tn")</f>
        <v/>
      </c>
    </row>
    <row r="6066">
      <c r="A6066" t="inlineStr">
        <is>
          <t>6793392895</t>
        </is>
      </c>
      <c r="B6066" t="inlineStr">
        <is>
          <t>隔日到貨🔥 韓版 直筒西裝褲 寬鬆九分闊腿褲 直筒褲 牛仔褲 寬褲 高腰牛仔寬褲 長褲 顯瘦 修飾 長腿 九分褲</t>
        </is>
      </c>
      <c r="C6066">
        <f>IMAGE("https://cf.shopee.tw/file/95e496dc6e74f225f3ccd0208f7c0b39_tn")</f>
        <v/>
      </c>
      <c r="D6066" t="inlineStr">
        <is>
          <t>黑色,L</t>
        </is>
      </c>
      <c r="E6066" t="inlineStr"/>
      <c r="F6066">
        <f>IMAGE("https://cf.shopee.tw/file/41dcd74207dc4a204cd8a49d9afe6c5b_tn")</f>
        <v/>
      </c>
    </row>
    <row r="6067">
      <c r="A6067" t="inlineStr">
        <is>
          <t>7718793888</t>
        </is>
      </c>
      <c r="B6067" t="inlineStr">
        <is>
          <t>隔日到貨🔥 刺繡 老帽 可調整 歐美 百搭 鴨舌帽 棒球帽 潮帽 帽子 遮陽帽 好看帽 潮流帽 百搭帽</t>
        </is>
      </c>
      <c r="C6067">
        <f>IMAGE("https://cf.shopee.tw/file/16e5d1a8128af13d2888db66e11280a5_tn")</f>
        <v/>
      </c>
      <c r="D6067" t="inlineStr">
        <is>
          <t>1.綠色</t>
        </is>
      </c>
      <c r="E6067" t="inlineStr"/>
      <c r="F6067">
        <f>IMAGE("https://cf.shopee.tw/file/dbfc0c37d9e2c18b316918b8f96d0eb6_tn")</f>
        <v/>
      </c>
    </row>
    <row r="6068">
      <c r="A6068" t="inlineStr">
        <is>
          <t>7718793888</t>
        </is>
      </c>
      <c r="B6068" t="inlineStr">
        <is>
          <t>隔日到貨🔥 刺繡 老帽 可調整 歐美 百搭 鴨舌帽 棒球帽 潮帽 帽子 遮陽帽 好看帽 潮流帽 百搭帽</t>
        </is>
      </c>
      <c r="C6068">
        <f>IMAGE("https://cf.shopee.tw/file/16e5d1a8128af13d2888db66e11280a5_tn")</f>
        <v/>
      </c>
      <c r="D6068" t="inlineStr">
        <is>
          <t>2.橘色</t>
        </is>
      </c>
      <c r="E6068" t="inlineStr"/>
      <c r="F6068">
        <f>IMAGE("https://cf.shopee.tw/file/6f1d6c8a56b5b313ef6ea61f49e8122a_tn")</f>
        <v/>
      </c>
    </row>
    <row r="6069">
      <c r="A6069" t="inlineStr">
        <is>
          <t>7718793888</t>
        </is>
      </c>
      <c r="B6069" t="inlineStr">
        <is>
          <t>隔日到貨🔥 刺繡 老帽 可調整 歐美 百搭 鴨舌帽 棒球帽 潮帽 帽子 遮陽帽 好看帽 潮流帽 百搭帽</t>
        </is>
      </c>
      <c r="C6069">
        <f>IMAGE("https://cf.shopee.tw/file/16e5d1a8128af13d2888db66e11280a5_tn")</f>
        <v/>
      </c>
      <c r="D6069" t="inlineStr">
        <is>
          <t>3.黑色</t>
        </is>
      </c>
      <c r="E6069" t="inlineStr"/>
      <c r="F6069">
        <f>IMAGE("https://cf.shopee.tw/file/12b8be919be95a27dffc081b01008086_tn")</f>
        <v/>
      </c>
    </row>
    <row r="6070">
      <c r="A6070" t="inlineStr">
        <is>
          <t>7718793888</t>
        </is>
      </c>
      <c r="B6070" t="inlineStr">
        <is>
          <t>隔日到貨🔥 刺繡 老帽 可調整 歐美 百搭 鴨舌帽 棒球帽 潮帽 帽子 遮陽帽 好看帽 潮流帽 百搭帽</t>
        </is>
      </c>
      <c r="C6070">
        <f>IMAGE("https://cf.shopee.tw/file/16e5d1a8128af13d2888db66e11280a5_tn")</f>
        <v/>
      </c>
      <c r="D6070" t="inlineStr">
        <is>
          <t>4.米色</t>
        </is>
      </c>
      <c r="E6070" t="inlineStr"/>
      <c r="F6070">
        <f>IMAGE("https://cf.shopee.tw/file/48f799a03586485c5a7d58a1e25c40dc_tn")</f>
        <v/>
      </c>
    </row>
    <row r="6071">
      <c r="A6071" t="inlineStr">
        <is>
          <t>7718793888</t>
        </is>
      </c>
      <c r="B6071" t="inlineStr">
        <is>
          <t>隔日到貨🔥 刺繡 老帽 可調整 歐美 百搭 鴨舌帽 棒球帽 潮帽 帽子 遮陽帽 好看帽 潮流帽 百搭帽</t>
        </is>
      </c>
      <c r="C6071">
        <f>IMAGE("https://cf.shopee.tw/file/16e5d1a8128af13d2888db66e11280a5_tn")</f>
        <v/>
      </c>
      <c r="D6071" t="inlineStr">
        <is>
          <t>5.灰色</t>
        </is>
      </c>
      <c r="E6071" t="inlineStr"/>
      <c r="F6071">
        <f>IMAGE("https://cf.shopee.tw/file/3918533acf28dd8c47426cbee1408392_tn")</f>
        <v/>
      </c>
    </row>
    <row r="6072">
      <c r="A6072" t="inlineStr">
        <is>
          <t>7718793888</t>
        </is>
      </c>
      <c r="B6072" t="inlineStr">
        <is>
          <t>隔日到貨🔥 刺繡 老帽 可調整 歐美 百搭 鴨舌帽 棒球帽 潮帽 帽子 遮陽帽 好看帽 潮流帽 百搭帽</t>
        </is>
      </c>
      <c r="C6072">
        <f>IMAGE("https://cf.shopee.tw/file/16e5d1a8128af13d2888db66e11280a5_tn")</f>
        <v/>
      </c>
      <c r="D6072" t="inlineStr">
        <is>
          <t>6.白色</t>
        </is>
      </c>
      <c r="E6072" t="inlineStr"/>
      <c r="F6072">
        <f>IMAGE("https://cf.shopee.tw/file/e47cb9d23a3b670e41cee4ba4f75074e_tn")</f>
        <v/>
      </c>
    </row>
    <row r="6073">
      <c r="A6073" t="inlineStr">
        <is>
          <t>7718793888</t>
        </is>
      </c>
      <c r="B6073" t="inlineStr">
        <is>
          <t>隔日到貨🔥 刺繡 老帽 可調整 歐美 百搭 鴨舌帽 棒球帽 潮帽 帽子 遮陽帽 好看帽 潮流帽 百搭帽</t>
        </is>
      </c>
      <c r="C6073">
        <f>IMAGE("https://cf.shopee.tw/file/16e5d1a8128af13d2888db66e11280a5_tn")</f>
        <v/>
      </c>
      <c r="D6073" t="inlineStr">
        <is>
          <t>7.粉色</t>
        </is>
      </c>
      <c r="E6073" t="inlineStr"/>
      <c r="F6073">
        <f>IMAGE("https://cf.shopee.tw/file/02c1e0f620eefea1b4d69fb49afef853_tn")</f>
        <v/>
      </c>
    </row>
    <row r="6074">
      <c r="A6074" t="inlineStr">
        <is>
          <t>4718792621</t>
        </is>
      </c>
      <c r="B6074" t="inlineStr">
        <is>
          <t>隔日到貨🔥 刺繡 老帽 可調整 歐美 百搭 鴨舌帽 棒球帽 潮帽 帽子 遮陽帽 好看帽 百搭帽 潮流帽</t>
        </is>
      </c>
      <c r="C6074">
        <f>IMAGE("https://cf.shopee.tw/file/e5fbf41bbbe888e76218b3e28d7cb3eb_tn")</f>
        <v/>
      </c>
      <c r="D6074" t="inlineStr">
        <is>
          <t>1.墨綠色</t>
        </is>
      </c>
      <c r="E6074" t="inlineStr"/>
      <c r="F6074">
        <f>IMAGE("https://cf.shopee.tw/file/8c3e6057cf9337285f0cafce9b0fa41d_tn")</f>
        <v/>
      </c>
    </row>
    <row r="6075">
      <c r="A6075" t="inlineStr">
        <is>
          <t>4718792621</t>
        </is>
      </c>
      <c r="B6075" t="inlineStr">
        <is>
          <t>隔日到貨🔥 刺繡 老帽 可調整 歐美 百搭 鴨舌帽 棒球帽 潮帽 帽子 遮陽帽 好看帽 百搭帽 潮流帽</t>
        </is>
      </c>
      <c r="C6075">
        <f>IMAGE("https://cf.shopee.tw/file/e5fbf41bbbe888e76218b3e28d7cb3eb_tn")</f>
        <v/>
      </c>
      <c r="D6075" t="inlineStr">
        <is>
          <t>2.卡其色</t>
        </is>
      </c>
      <c r="E6075" t="inlineStr"/>
      <c r="F6075">
        <f>IMAGE("https://cf.shopee.tw/file/de2f99bc0022d9a8b14cf8c6650838f1_tn")</f>
        <v/>
      </c>
    </row>
    <row r="6076">
      <c r="A6076" t="inlineStr">
        <is>
          <t>4718792621</t>
        </is>
      </c>
      <c r="B6076" t="inlineStr">
        <is>
          <t>隔日到貨🔥 刺繡 老帽 可調整 歐美 百搭 鴨舌帽 棒球帽 潮帽 帽子 遮陽帽 好看帽 百搭帽 潮流帽</t>
        </is>
      </c>
      <c r="C6076">
        <f>IMAGE("https://cf.shopee.tw/file/e5fbf41bbbe888e76218b3e28d7cb3eb_tn")</f>
        <v/>
      </c>
      <c r="D6076" t="inlineStr">
        <is>
          <t>3.白色</t>
        </is>
      </c>
      <c r="E6076" t="inlineStr"/>
      <c r="F6076">
        <f>IMAGE("https://cf.shopee.tw/file/1d2391ae139475ac2d840f9804f7ce9e_tn")</f>
        <v/>
      </c>
    </row>
    <row r="6077">
      <c r="A6077" t="inlineStr">
        <is>
          <t>4718792621</t>
        </is>
      </c>
      <c r="B6077" t="inlineStr">
        <is>
          <t>隔日到貨🔥 刺繡 老帽 可調整 歐美 百搭 鴨舌帽 棒球帽 潮帽 帽子 遮陽帽 好看帽 百搭帽 潮流帽</t>
        </is>
      </c>
      <c r="C6077">
        <f>IMAGE("https://cf.shopee.tw/file/e5fbf41bbbe888e76218b3e28d7cb3eb_tn")</f>
        <v/>
      </c>
      <c r="D6077" t="inlineStr">
        <is>
          <t>4.黑色</t>
        </is>
      </c>
      <c r="E6077" t="inlineStr"/>
      <c r="F6077">
        <f>IMAGE("https://cf.shopee.tw/file/92e5aa38189b850606ffdcbd94caf8f7_tn")</f>
        <v/>
      </c>
    </row>
    <row r="6078">
      <c r="A6078" t="inlineStr">
        <is>
          <t>4841553480</t>
        </is>
      </c>
      <c r="B6078" t="inlineStr">
        <is>
          <t>隔日到貨🔥 卡通柴犬/柯基 地墊 門廳腳墊 踏墊 玄關入門踏墊 家用地毯 浴室腳墊 廚房腳墊 地墊 吸水</t>
        </is>
      </c>
      <c r="C6078">
        <f>IMAGE("https://cf.shopee.tw/file/0d3bdbab865441fb4c9e023d555b2ede_tn")</f>
        <v/>
      </c>
      <c r="D6078" t="inlineStr">
        <is>
          <t>柴犬</t>
        </is>
      </c>
      <c r="E6078" t="inlineStr"/>
      <c r="F6078">
        <f>IMAGE("https://cf.shopee.tw/file/1a7208d734e4621a995264db46d9634f_tn")</f>
        <v/>
      </c>
    </row>
    <row r="6079">
      <c r="A6079" t="inlineStr">
        <is>
          <t>4841553480</t>
        </is>
      </c>
      <c r="B6079" t="inlineStr">
        <is>
          <t>隔日到貨🔥 卡通柴犬/柯基 地墊 門廳腳墊 踏墊 玄關入門踏墊 家用地毯 浴室腳墊 廚房腳墊 地墊 吸水</t>
        </is>
      </c>
      <c r="C6079">
        <f>IMAGE("https://cf.shopee.tw/file/0d3bdbab865441fb4c9e023d555b2ede_tn")</f>
        <v/>
      </c>
      <c r="D6079" t="inlineStr">
        <is>
          <t>柯基</t>
        </is>
      </c>
      <c r="E6079" t="inlineStr"/>
      <c r="F6079">
        <f>IMAGE("https://cf.shopee.tw/file/73c455357af76ff889ab8ce018770ac1_tn")</f>
        <v/>
      </c>
    </row>
    <row r="6080">
      <c r="A6080" t="inlineStr">
        <is>
          <t>5941127866</t>
        </is>
      </c>
      <c r="B6080" t="inlineStr">
        <is>
          <t>隔日到貨🔥 多色雙面漁夫帽 兩面漁夫帽 日系 軟版 韓系 兩面 穿搭必備 街頭 防曬帽 帽子 漁夫帽</t>
        </is>
      </c>
      <c r="C6080">
        <f>IMAGE("https://cf.shopee.tw/file/e28fe9e9d1eb9180635fac81d12b5b61_tn")</f>
        <v/>
      </c>
      <c r="D6080" t="inlineStr">
        <is>
          <t>卡其色,M (56-58cm)</t>
        </is>
      </c>
      <c r="E6080" t="inlineStr"/>
      <c r="F6080">
        <f>IMAGE("https://cf.shopee.tw/file/a4279c032716899e15b87bc0c1dad995_tn")</f>
        <v/>
      </c>
    </row>
    <row r="6081">
      <c r="A6081" t="inlineStr">
        <is>
          <t>5941127866</t>
        </is>
      </c>
      <c r="B6081" t="inlineStr">
        <is>
          <t>隔日到貨🔥 多色雙面漁夫帽 兩面漁夫帽 日系 軟版 韓系 兩面 穿搭必備 街頭 防曬帽 帽子 漁夫帽</t>
        </is>
      </c>
      <c r="C6081">
        <f>IMAGE("https://cf.shopee.tw/file/e28fe9e9d1eb9180635fac81d12b5b61_tn")</f>
        <v/>
      </c>
      <c r="D6081" t="inlineStr">
        <is>
          <t>黃色,M (56-58cm)</t>
        </is>
      </c>
      <c r="E6081" t="inlineStr"/>
      <c r="F6081">
        <f>IMAGE("https://cf.shopee.tw/file/85582a616407b081f2362856c49c45bf_tn")</f>
        <v/>
      </c>
    </row>
    <row r="6082">
      <c r="A6082" t="inlineStr">
        <is>
          <t>5941127866</t>
        </is>
      </c>
      <c r="B6082" t="inlineStr">
        <is>
          <t>隔日到貨🔥 多色雙面漁夫帽 兩面漁夫帽 日系 軟版 韓系 兩面 穿搭必備 街頭 防曬帽 帽子 漁夫帽</t>
        </is>
      </c>
      <c r="C6082">
        <f>IMAGE("https://cf.shopee.tw/file/e28fe9e9d1eb9180635fac81d12b5b61_tn")</f>
        <v/>
      </c>
      <c r="D6082" t="inlineStr">
        <is>
          <t>藍色,M (56-58cm)</t>
        </is>
      </c>
      <c r="E6082" t="inlineStr"/>
      <c r="F6082">
        <f>IMAGE("https://cf.shopee.tw/file/934210823bd5362bb05c38350a661cfb_tn")</f>
        <v/>
      </c>
    </row>
    <row r="6083">
      <c r="A6083" t="inlineStr">
        <is>
          <t>5941127866</t>
        </is>
      </c>
      <c r="B6083" t="inlineStr">
        <is>
          <t>隔日到貨🔥 多色雙面漁夫帽 兩面漁夫帽 日系 軟版 韓系 兩面 穿搭必備 街頭 防曬帽 帽子 漁夫帽</t>
        </is>
      </c>
      <c r="C6083">
        <f>IMAGE("https://cf.shopee.tw/file/e28fe9e9d1eb9180635fac81d12b5b61_tn")</f>
        <v/>
      </c>
      <c r="D6083" t="inlineStr">
        <is>
          <t>紫色,M (56-58cm)</t>
        </is>
      </c>
      <c r="E6083" t="inlineStr"/>
      <c r="F6083">
        <f>IMAGE("https://cf.shopee.tw/file/240cb6796e16a2d054fa28b6fb70a998_tn")</f>
        <v/>
      </c>
    </row>
    <row r="6084">
      <c r="A6084" t="inlineStr">
        <is>
          <t>5941127866</t>
        </is>
      </c>
      <c r="B6084" t="inlineStr">
        <is>
          <t>隔日到貨🔥 多色雙面漁夫帽 兩面漁夫帽 日系 軟版 韓系 兩面 穿搭必備 街頭 防曬帽 帽子 漁夫帽</t>
        </is>
      </c>
      <c r="C6084">
        <f>IMAGE("https://cf.shopee.tw/file/e28fe9e9d1eb9180635fac81d12b5b61_tn")</f>
        <v/>
      </c>
      <c r="D6084" t="inlineStr">
        <is>
          <t>粉色,M (56-58cm)</t>
        </is>
      </c>
      <c r="E6084" t="inlineStr"/>
      <c r="F6084">
        <f>IMAGE("https://cf.shopee.tw/file/fd761b4d3a700d763235c3d53231d357_tn")</f>
        <v/>
      </c>
    </row>
    <row r="6085">
      <c r="A6085" t="inlineStr">
        <is>
          <t>5941127866</t>
        </is>
      </c>
      <c r="B6085" t="inlineStr">
        <is>
          <t>隔日到貨🔥 多色雙面漁夫帽 兩面漁夫帽 日系 軟版 韓系 兩面 穿搭必備 街頭 防曬帽 帽子 漁夫帽</t>
        </is>
      </c>
      <c r="C6085">
        <f>IMAGE("https://cf.shopee.tw/file/e28fe9e9d1eb9180635fac81d12b5b61_tn")</f>
        <v/>
      </c>
      <c r="D6085" t="inlineStr">
        <is>
          <t>白色,M (56-58cm)</t>
        </is>
      </c>
      <c r="E6085" t="inlineStr"/>
      <c r="F6085">
        <f>IMAGE("https://cf.shopee.tw/file/d285cfb7fef597559c39df394d18bf7b_tn")</f>
        <v/>
      </c>
    </row>
    <row r="6086">
      <c r="A6086" t="inlineStr">
        <is>
          <t>5941127866</t>
        </is>
      </c>
      <c r="B6086" t="inlineStr">
        <is>
          <t>隔日到貨🔥 多色雙面漁夫帽 兩面漁夫帽 日系 軟版 韓系 兩面 穿搭必備 街頭 防曬帽 帽子 漁夫帽</t>
        </is>
      </c>
      <c r="C6086">
        <f>IMAGE("https://cf.shopee.tw/file/e28fe9e9d1eb9180635fac81d12b5b61_tn")</f>
        <v/>
      </c>
      <c r="D6086" t="inlineStr">
        <is>
          <t>咖啡色,M (56-58cm)</t>
        </is>
      </c>
      <c r="E6086" t="inlineStr"/>
      <c r="F6086">
        <f>IMAGE("https://cf.shopee.tw/file/tw-11134207-7qukz-lhwl0rzzkwpc44_tn")</f>
        <v/>
      </c>
    </row>
    <row r="6087">
      <c r="A6087" t="inlineStr">
        <is>
          <t>5941127866</t>
        </is>
      </c>
      <c r="B6087" t="inlineStr">
        <is>
          <t>隔日到貨🔥 多色雙面漁夫帽 兩面漁夫帽 日系 軟版 韓系 兩面 穿搭必備 街頭 防曬帽 帽子 漁夫帽</t>
        </is>
      </c>
      <c r="C6087">
        <f>IMAGE("https://cf.shopee.tw/file/e28fe9e9d1eb9180635fac81d12b5b61_tn")</f>
        <v/>
      </c>
      <c r="D6087" t="inlineStr">
        <is>
          <t>灰色,M (56-58cm)</t>
        </is>
      </c>
      <c r="E6087" t="inlineStr"/>
      <c r="F6087">
        <f>IMAGE("https://cf.shopee.tw/file/tw-11134207-7qul0-lhwl0rzzmb9s5c_tn")</f>
        <v/>
      </c>
    </row>
    <row r="6088">
      <c r="A6088" t="inlineStr">
        <is>
          <t>5941127866</t>
        </is>
      </c>
      <c r="B6088" t="inlineStr">
        <is>
          <t>隔日到貨🔥 多色雙面漁夫帽 兩面漁夫帽 日系 軟版 韓系 兩面 穿搭必備 街頭 防曬帽 帽子 漁夫帽</t>
        </is>
      </c>
      <c r="C6088">
        <f>IMAGE("https://cf.shopee.tw/file/e28fe9e9d1eb9180635fac81d12b5b61_tn")</f>
        <v/>
      </c>
      <c r="D6088" t="inlineStr">
        <is>
          <t>藏青色,M (56-58cm)</t>
        </is>
      </c>
      <c r="E6088" t="inlineStr"/>
      <c r="F6088">
        <f>IMAGE("https://cf.shopee.tw/file/tw-11134207-7qul6-lhwl0xx2x2mo1d_tn")</f>
        <v/>
      </c>
    </row>
    <row r="6089">
      <c r="A6089" t="inlineStr">
        <is>
          <t>9636118442</t>
        </is>
      </c>
      <c r="B6089" t="inlineStr">
        <is>
          <t>隔日到貨🔥 漸層色 保溫杯 300ML 400ML 隨手杯 不鏽鋼杯 水壺 禮物 保冷 保溫瓶 保溫</t>
        </is>
      </c>
      <c r="C6089">
        <f>IMAGE("https://cf.shopee.tw/file/f82ee89e4d9f91475cea7594b7f64919_tn")</f>
        <v/>
      </c>
      <c r="D6089" t="inlineStr">
        <is>
          <t>漸變藍,300ml</t>
        </is>
      </c>
      <c r="E6089" t="inlineStr"/>
      <c r="F6089">
        <f>IMAGE("https://cf.shopee.tw/file/a4c51e1f92ec72801e269157066bf830_tn")</f>
        <v/>
      </c>
    </row>
    <row r="6090">
      <c r="A6090" t="inlineStr">
        <is>
          <t>9636118442</t>
        </is>
      </c>
      <c r="B6090" t="inlineStr">
        <is>
          <t>隔日到貨🔥 漸層色 保溫杯 300ML 400ML 隨手杯 不鏽鋼杯 水壺 禮物 保冷 保溫瓶 保溫</t>
        </is>
      </c>
      <c r="C6090">
        <f>IMAGE("https://cf.shopee.tw/file/f82ee89e4d9f91475cea7594b7f64919_tn")</f>
        <v/>
      </c>
      <c r="D6090" t="inlineStr">
        <is>
          <t>漸變藍,400ml</t>
        </is>
      </c>
      <c r="E6090" t="inlineStr"/>
      <c r="F6090">
        <f>IMAGE("https://cf.shopee.tw/file/a4c51e1f92ec72801e269157066bf830_tn")</f>
        <v/>
      </c>
    </row>
    <row r="6091">
      <c r="A6091" t="inlineStr">
        <is>
          <t>9636118442</t>
        </is>
      </c>
      <c r="B6091" t="inlineStr">
        <is>
          <t>隔日到貨🔥 漸層色 保溫杯 300ML 400ML 隨手杯 不鏽鋼杯 水壺 禮物 保冷 保溫瓶 保溫</t>
        </is>
      </c>
      <c r="C6091">
        <f>IMAGE("https://cf.shopee.tw/file/f82ee89e4d9f91475cea7594b7f64919_tn")</f>
        <v/>
      </c>
      <c r="D6091" t="inlineStr">
        <is>
          <t>漸變粉,300ml</t>
        </is>
      </c>
      <c r="E6091" t="inlineStr"/>
      <c r="F6091">
        <f>IMAGE("https://cf.shopee.tw/file/e2ac2a9bccf25c690d45780f921cd98b_tn")</f>
        <v/>
      </c>
    </row>
    <row r="6092">
      <c r="A6092" t="inlineStr">
        <is>
          <t>9636118442</t>
        </is>
      </c>
      <c r="B6092" t="inlineStr">
        <is>
          <t>隔日到貨🔥 漸層色 保溫杯 300ML 400ML 隨手杯 不鏽鋼杯 水壺 禮物 保冷 保溫瓶 保溫</t>
        </is>
      </c>
      <c r="C6092">
        <f>IMAGE("https://cf.shopee.tw/file/f82ee89e4d9f91475cea7594b7f64919_tn")</f>
        <v/>
      </c>
      <c r="D6092" t="inlineStr">
        <is>
          <t>漸變粉,400ml</t>
        </is>
      </c>
      <c r="E6092" t="inlineStr"/>
      <c r="F6092">
        <f>IMAGE("https://cf.shopee.tw/file/e2ac2a9bccf25c690d45780f921cd98b_tn")</f>
        <v/>
      </c>
    </row>
    <row r="6093">
      <c r="A6093" t="inlineStr">
        <is>
          <t>9842209874</t>
        </is>
      </c>
      <c r="B6093" t="inlineStr">
        <is>
          <t>隔日到貨🔥 韓版爆款 可愛兔子短夾 三折 皮夾 錢包 女短夾 wallet 多卡位 女生中夾 證件錢包 禮物 短夾</t>
        </is>
      </c>
      <c r="C6093">
        <f>IMAGE("https://cf.shopee.tw/file/8c8d7023a93ad3f7c8e0f1a9adca3c72_tn")</f>
        <v/>
      </c>
      <c r="D6093" t="inlineStr">
        <is>
          <t>抹茶綠</t>
        </is>
      </c>
      <c r="E6093" t="inlineStr"/>
      <c r="F6093">
        <f>IMAGE("https://cf.shopee.tw/file/5a61387fbaf43e079d0eb3a64771c6a7_tn")</f>
        <v/>
      </c>
    </row>
    <row r="6094">
      <c r="A6094" t="inlineStr">
        <is>
          <t>9842209874</t>
        </is>
      </c>
      <c r="B6094" t="inlineStr">
        <is>
          <t>隔日到貨🔥 韓版爆款 可愛兔子短夾 三折 皮夾 錢包 女短夾 wallet 多卡位 女生中夾 證件錢包 禮物 短夾</t>
        </is>
      </c>
      <c r="C6094">
        <f>IMAGE("https://cf.shopee.tw/file/8c8d7023a93ad3f7c8e0f1a9adca3c72_tn")</f>
        <v/>
      </c>
      <c r="D6094" t="inlineStr">
        <is>
          <t>粉色</t>
        </is>
      </c>
      <c r="E6094" t="inlineStr"/>
      <c r="F6094">
        <f>IMAGE("https://cf.shopee.tw/file/3af5d07ab187a81d3f5de44a1f8f9843_tn")</f>
        <v/>
      </c>
    </row>
    <row r="6095">
      <c r="A6095" t="inlineStr">
        <is>
          <t>9842209874</t>
        </is>
      </c>
      <c r="B6095" t="inlineStr">
        <is>
          <t>隔日到貨🔥 韓版爆款 可愛兔子短夾 三折 皮夾 錢包 女短夾 wallet 多卡位 女生中夾 證件錢包 禮物 短夾</t>
        </is>
      </c>
      <c r="C6095">
        <f>IMAGE("https://cf.shopee.tw/file/8c8d7023a93ad3f7c8e0f1a9adca3c72_tn")</f>
        <v/>
      </c>
      <c r="D6095" t="inlineStr">
        <is>
          <t>淺紫</t>
        </is>
      </c>
      <c r="E6095" t="inlineStr"/>
      <c r="F6095">
        <f>IMAGE("https://cf.shopee.tw/file/1615a2819649cef72ed347dfe629b9ef_tn")</f>
        <v/>
      </c>
    </row>
    <row r="6096">
      <c r="A6096" t="inlineStr">
        <is>
          <t>9842209874</t>
        </is>
      </c>
      <c r="B6096" t="inlineStr">
        <is>
          <t>隔日到貨🔥 韓版爆款 可愛兔子短夾 三折 皮夾 錢包 女短夾 wallet 多卡位 女生中夾 證件錢包 禮物 短夾</t>
        </is>
      </c>
      <c r="C6096">
        <f>IMAGE("https://cf.shopee.tw/file/8c8d7023a93ad3f7c8e0f1a9adca3c72_tn")</f>
        <v/>
      </c>
      <c r="D6096" t="inlineStr">
        <is>
          <t>黑色</t>
        </is>
      </c>
      <c r="E6096" t="inlineStr"/>
      <c r="F6096">
        <f>IMAGE("https://cf.shopee.tw/file/994fce02aec211b28bb4e5572322addc_tn")</f>
        <v/>
      </c>
    </row>
    <row r="6097">
      <c r="A6097" t="inlineStr">
        <is>
          <t>9842209874</t>
        </is>
      </c>
      <c r="B6097" t="inlineStr">
        <is>
          <t>隔日到貨🔥 韓版爆款 可愛兔子短夾 三折 皮夾 錢包 女短夾 wallet 多卡位 女生中夾 證件錢包 禮物 短夾</t>
        </is>
      </c>
      <c r="C6097">
        <f>IMAGE("https://cf.shopee.tw/file/8c8d7023a93ad3f7c8e0f1a9adca3c72_tn")</f>
        <v/>
      </c>
      <c r="D6097" t="inlineStr">
        <is>
          <t>咖啡</t>
        </is>
      </c>
      <c r="E6097" t="inlineStr">
        <is>
          <t>64861980528</t>
        </is>
      </c>
      <c r="F6097">
        <f>IMAGE("https://cf.shopee.tw/file/2213d3725f9ab2f01b28d0ce0b3164b7_tn")</f>
        <v/>
      </c>
    </row>
    <row r="6098">
      <c r="A6098" t="inlineStr">
        <is>
          <t>9842209874</t>
        </is>
      </c>
      <c r="B6098" t="inlineStr">
        <is>
          <t>隔日到貨🔥 韓版爆款 可愛兔子短夾 三折 皮夾 錢包 女短夾 wallet 多卡位 女生中夾 證件錢包 禮物 短夾</t>
        </is>
      </c>
      <c r="C6098">
        <f>IMAGE("https://cf.shopee.tw/file/8c8d7023a93ad3f7c8e0f1a9adca3c72_tn")</f>
        <v/>
      </c>
      <c r="D6098" t="inlineStr">
        <is>
          <t>酒紅</t>
        </is>
      </c>
      <c r="E6098" t="inlineStr">
        <is>
          <t>64861980525</t>
        </is>
      </c>
      <c r="F6098">
        <f>IMAGE("https://cf.shopee.tw/file/0469f2844c20aae69eee24434d2814c2_tn")</f>
        <v/>
      </c>
    </row>
    <row r="6099">
      <c r="A6099" t="inlineStr">
        <is>
          <t>10707030431</t>
        </is>
      </c>
      <c r="B6099" t="inlineStr">
        <is>
          <t>隔日到貨🔥 冰絲防曬衣 防疫必備 防曬衣 開車防曬 防疫帽 連帽 防紫外線 輕薄連帽外套 夏季 戶外 女長袖</t>
        </is>
      </c>
      <c r="C6099">
        <f>IMAGE("https://cf.shopee.tw/file/9fe52a7bf02349bb7d66926c6f6aaa47_tn")</f>
        <v/>
      </c>
      <c r="D6099" t="inlineStr">
        <is>
          <t>灰色</t>
        </is>
      </c>
      <c r="E6099" t="inlineStr"/>
      <c r="F6099">
        <f>IMAGE("https://cf.shopee.tw/file/16c360afbb7117edb2554dcde7f16b47_tn")</f>
        <v/>
      </c>
    </row>
    <row r="6100">
      <c r="A6100" t="inlineStr">
        <is>
          <t>10707030431</t>
        </is>
      </c>
      <c r="B6100" t="inlineStr">
        <is>
          <t>隔日到貨🔥 冰絲防曬衣 防疫必備 防曬衣 開車防曬 防疫帽 連帽 防紫外線 輕薄連帽外套 夏季 戶外 女長袖</t>
        </is>
      </c>
      <c r="C6100">
        <f>IMAGE("https://cf.shopee.tw/file/9fe52a7bf02349bb7d66926c6f6aaa47_tn")</f>
        <v/>
      </c>
      <c r="D6100" t="inlineStr">
        <is>
          <t>白色</t>
        </is>
      </c>
      <c r="E6100" t="inlineStr"/>
      <c r="F6100">
        <f>IMAGE("https://cf.shopee.tw/file/2195ebeb0cfa5c2dd7078b44edd1c66d_tn")</f>
        <v/>
      </c>
    </row>
    <row r="6101">
      <c r="A6101" t="inlineStr">
        <is>
          <t>10707030431</t>
        </is>
      </c>
      <c r="B6101" t="inlineStr">
        <is>
          <t>隔日到貨🔥 冰絲防曬衣 防疫必備 防曬衣 開車防曬 防疫帽 連帽 防紫外線 輕薄連帽外套 夏季 戶外 女長袖</t>
        </is>
      </c>
      <c r="C6101">
        <f>IMAGE("https://cf.shopee.tw/file/9fe52a7bf02349bb7d66926c6f6aaa47_tn")</f>
        <v/>
      </c>
      <c r="D6101" t="inlineStr">
        <is>
          <t>湖藍色</t>
        </is>
      </c>
      <c r="E6101" t="inlineStr"/>
      <c r="F6101">
        <f>IMAGE("https://cf.shopee.tw/file/a065f585340c490d4c4215cfb097ba97_tn")</f>
        <v/>
      </c>
    </row>
    <row r="6102">
      <c r="A6102" t="inlineStr">
        <is>
          <t>10707030431</t>
        </is>
      </c>
      <c r="B6102" t="inlineStr">
        <is>
          <t>隔日到貨🔥 冰絲防曬衣 防疫必備 防曬衣 開車防曬 防疫帽 連帽 防紫外線 輕薄連帽外套 夏季 戶外 女長袖</t>
        </is>
      </c>
      <c r="C6102">
        <f>IMAGE("https://cf.shopee.tw/file/9fe52a7bf02349bb7d66926c6f6aaa47_tn")</f>
        <v/>
      </c>
      <c r="D6102" t="inlineStr">
        <is>
          <t>粉色</t>
        </is>
      </c>
      <c r="E6102" t="inlineStr"/>
      <c r="F6102">
        <f>IMAGE("https://cf.shopee.tw/file/680f12d4cfda6e4603b1da33638fb8e2_tn")</f>
        <v/>
      </c>
    </row>
    <row r="6103">
      <c r="A6103" t="inlineStr">
        <is>
          <t>4540919030</t>
        </is>
      </c>
      <c r="B6103" t="inlineStr">
        <is>
          <t>隔日到貨🔥 水兵帽 韓版瓜皮帽 日系圓頂帽 情侶帽 男女帽 貝雷帽 ins 潮流帽 韓系穿搭 水手帽 百搭帽 帽子</t>
        </is>
      </c>
      <c r="C6103">
        <f>IMAGE("https://cf.shopee.tw/file/01286a260df08788ff2657757df4611f_tn")</f>
        <v/>
      </c>
      <c r="D6103" t="inlineStr">
        <is>
          <t>米白色,M (56-58cm)</t>
        </is>
      </c>
      <c r="E6103" t="inlineStr"/>
      <c r="F6103">
        <f>IMAGE("https://cf.shopee.tw/file/c4e9dbb36cb0bd60419a4fdaaf74f21b_tn")</f>
        <v/>
      </c>
    </row>
    <row r="6104">
      <c r="A6104" t="inlineStr">
        <is>
          <t>4540919030</t>
        </is>
      </c>
      <c r="B6104" t="inlineStr">
        <is>
          <t>隔日到貨🔥 水兵帽 韓版瓜皮帽 日系圓頂帽 情侶帽 男女帽 貝雷帽 ins 潮流帽 韓系穿搭 水手帽 百搭帽 帽子</t>
        </is>
      </c>
      <c r="C6104">
        <f>IMAGE("https://cf.shopee.tw/file/01286a260df08788ff2657757df4611f_tn")</f>
        <v/>
      </c>
      <c r="D6104" t="inlineStr">
        <is>
          <t>黑色,M (56-58cm)</t>
        </is>
      </c>
      <c r="E6104" t="inlineStr"/>
      <c r="F6104">
        <f>IMAGE("https://cf.shopee.tw/file/4b70f75b37599ed71c9efa714d67ea6c_tn")</f>
        <v/>
      </c>
    </row>
    <row r="6105">
      <c r="A6105" t="inlineStr">
        <is>
          <t>4540919030</t>
        </is>
      </c>
      <c r="B6105" t="inlineStr">
        <is>
          <t>隔日到貨🔥 水兵帽 韓版瓜皮帽 日系圓頂帽 情侶帽 男女帽 貝雷帽 ins 潮流帽 韓系穿搭 水手帽 百搭帽 帽子</t>
        </is>
      </c>
      <c r="C6105">
        <f>IMAGE("https://cf.shopee.tw/file/01286a260df08788ff2657757df4611f_tn")</f>
        <v/>
      </c>
      <c r="D6105" t="inlineStr">
        <is>
          <t>藏青色,M (56-58cm)</t>
        </is>
      </c>
      <c r="E6105" t="inlineStr"/>
      <c r="F6105">
        <f>IMAGE("https://cf.shopee.tw/file/45dd02bf6309f429b706ef879d1f1ba5_tn")</f>
        <v/>
      </c>
    </row>
    <row r="6106">
      <c r="A6106" t="inlineStr">
        <is>
          <t>4540919030</t>
        </is>
      </c>
      <c r="B6106" t="inlineStr">
        <is>
          <t>隔日到貨🔥 水兵帽 韓版瓜皮帽 日系圓頂帽 情侶帽 男女帽 貝雷帽 ins 潮流帽 韓系穿搭 水手帽 百搭帽 帽子</t>
        </is>
      </c>
      <c r="C6106">
        <f>IMAGE("https://cf.shopee.tw/file/01286a260df08788ff2657757df4611f_tn")</f>
        <v/>
      </c>
      <c r="D6106" t="inlineStr">
        <is>
          <t>卡其色,M (56-58cm)</t>
        </is>
      </c>
      <c r="E6106" t="inlineStr"/>
      <c r="F6106">
        <f>IMAGE("https://cf.shopee.tw/file/1b85dcb768850f41853b1eedc8082c99_tn")</f>
        <v/>
      </c>
    </row>
    <row r="6107">
      <c r="A6107" t="inlineStr">
        <is>
          <t>8627001937</t>
        </is>
      </c>
      <c r="B6107" t="inlineStr">
        <is>
          <t>隔日到貨🔥 夏日必備 真理褲 顯瘦 修飾 長腿 休閒 短褲 運動褲 瑜伽短褲 睡褲 真理庫 小熱褲 韓版 褲子</t>
        </is>
      </c>
      <c r="C6107">
        <f>IMAGE("https://cf.shopee.tw/file/13eb346137e17e8cb95fafb3a9f82795_tn")</f>
        <v/>
      </c>
      <c r="D6107" t="inlineStr">
        <is>
          <t>黑色,S (腰圍 60-86 cm)</t>
        </is>
      </c>
      <c r="E6107" t="inlineStr"/>
      <c r="F6107">
        <f>IMAGE("https://cf.shopee.tw/file/9f163e2d80c43b116c44c672fd1b7d08_tn")</f>
        <v/>
      </c>
    </row>
    <row r="6108">
      <c r="A6108" t="inlineStr">
        <is>
          <t>8627001937</t>
        </is>
      </c>
      <c r="B6108" t="inlineStr">
        <is>
          <t>隔日到貨🔥 夏日必備 真理褲 顯瘦 修飾 長腿 休閒 短褲 運動褲 瑜伽短褲 睡褲 真理庫 小熱褲 韓版 褲子</t>
        </is>
      </c>
      <c r="C6108">
        <f>IMAGE("https://cf.shopee.tw/file/13eb346137e17e8cb95fafb3a9f82795_tn")</f>
        <v/>
      </c>
      <c r="D6108" t="inlineStr">
        <is>
          <t>黑色,M (腰圍 62-88 cm)</t>
        </is>
      </c>
      <c r="E6108" t="inlineStr"/>
      <c r="F6108">
        <f>IMAGE("https://cf.shopee.tw/file/9f163e2d80c43b116c44c672fd1b7d08_tn")</f>
        <v/>
      </c>
    </row>
    <row r="6109">
      <c r="A6109" t="inlineStr">
        <is>
          <t>8627001937</t>
        </is>
      </c>
      <c r="B6109" t="inlineStr">
        <is>
          <t>隔日到貨🔥 夏日必備 真理褲 顯瘦 修飾 長腿 休閒 短褲 運動褲 瑜伽短褲 睡褲 真理庫 小熱褲 韓版 褲子</t>
        </is>
      </c>
      <c r="C6109">
        <f>IMAGE("https://cf.shopee.tw/file/13eb346137e17e8cb95fafb3a9f82795_tn")</f>
        <v/>
      </c>
      <c r="D6109" t="inlineStr">
        <is>
          <t>白色,S (腰圍 60-86 cm)</t>
        </is>
      </c>
      <c r="E6109" t="inlineStr"/>
      <c r="F6109">
        <f>IMAGE("https://cf.shopee.tw/file/b8953af6302a4d459278a24692228c65_tn")</f>
        <v/>
      </c>
    </row>
    <row r="6110">
      <c r="A6110" t="inlineStr">
        <is>
          <t>8627001937</t>
        </is>
      </c>
      <c r="B6110" t="inlineStr">
        <is>
          <t>隔日到貨🔥 夏日必備 真理褲 顯瘦 修飾 長腿 休閒 短褲 運動褲 瑜伽短褲 睡褲 真理庫 小熱褲 韓版 褲子</t>
        </is>
      </c>
      <c r="C6110">
        <f>IMAGE("https://cf.shopee.tw/file/13eb346137e17e8cb95fafb3a9f82795_tn")</f>
        <v/>
      </c>
      <c r="D6110" t="inlineStr">
        <is>
          <t>白色,M (腰圍 62-88 cm)</t>
        </is>
      </c>
      <c r="E6110" t="inlineStr"/>
      <c r="F6110">
        <f>IMAGE("https://cf.shopee.tw/file/b8953af6302a4d459278a24692228c65_tn")</f>
        <v/>
      </c>
    </row>
    <row r="6111">
      <c r="A6111" t="inlineStr">
        <is>
          <t>8627001937</t>
        </is>
      </c>
      <c r="B6111" t="inlineStr">
        <is>
          <t>隔日到貨🔥 夏日必備 真理褲 顯瘦 修飾 長腿 休閒 短褲 運動褲 瑜伽短褲 睡褲 真理庫 小熱褲 韓版 褲子</t>
        </is>
      </c>
      <c r="C6111">
        <f>IMAGE("https://cf.shopee.tw/file/13eb346137e17e8cb95fafb3a9f82795_tn")</f>
        <v/>
      </c>
      <c r="D6111" t="inlineStr">
        <is>
          <t>白色,L號（腰圍64-90cm）</t>
        </is>
      </c>
      <c r="E6111" t="inlineStr"/>
      <c r="F6111">
        <f>IMAGE("https://cf.shopee.tw/file/b8953af6302a4d459278a24692228c65_tn")</f>
        <v/>
      </c>
    </row>
    <row r="6112">
      <c r="A6112" t="inlineStr">
        <is>
          <t>8627001937</t>
        </is>
      </c>
      <c r="B6112" t="inlineStr">
        <is>
          <t>隔日到貨🔥 夏日必備 真理褲 顯瘦 修飾 長腿 休閒 短褲 運動褲 瑜伽短褲 睡褲 真理庫 小熱褲 韓版 褲子</t>
        </is>
      </c>
      <c r="C6112">
        <f>IMAGE("https://cf.shopee.tw/file/13eb346137e17e8cb95fafb3a9f82795_tn")</f>
        <v/>
      </c>
      <c r="D6112" t="inlineStr">
        <is>
          <t>灰色,S (腰圍 60-86 cm)</t>
        </is>
      </c>
      <c r="E6112" t="inlineStr"/>
      <c r="F6112">
        <f>IMAGE("https://cf.shopee.tw/file/4e876478bca146a86c6f570878f0d4eb_tn")</f>
        <v/>
      </c>
    </row>
    <row r="6113">
      <c r="A6113" t="inlineStr">
        <is>
          <t>8627001937</t>
        </is>
      </c>
      <c r="B6113" t="inlineStr">
        <is>
          <t>隔日到貨🔥 夏日必備 真理褲 顯瘦 修飾 長腿 休閒 短褲 運動褲 瑜伽短褲 睡褲 真理庫 小熱褲 韓版 褲子</t>
        </is>
      </c>
      <c r="C6113">
        <f>IMAGE("https://cf.shopee.tw/file/13eb346137e17e8cb95fafb3a9f82795_tn")</f>
        <v/>
      </c>
      <c r="D6113" t="inlineStr">
        <is>
          <t>灰色,M (腰圍 62-88 cm)</t>
        </is>
      </c>
      <c r="E6113" t="inlineStr"/>
      <c r="F6113">
        <f>IMAGE("https://cf.shopee.tw/file/4e876478bca146a86c6f570878f0d4eb_tn")</f>
        <v/>
      </c>
    </row>
    <row r="6114">
      <c r="A6114" t="inlineStr">
        <is>
          <t>8627001937</t>
        </is>
      </c>
      <c r="B6114" t="inlineStr">
        <is>
          <t>隔日到貨🔥 夏日必備 真理褲 顯瘦 修飾 長腿 休閒 短褲 運動褲 瑜伽短褲 睡褲 真理庫 小熱褲 韓版 褲子</t>
        </is>
      </c>
      <c r="C6114">
        <f>IMAGE("https://cf.shopee.tw/file/13eb346137e17e8cb95fafb3a9f82795_tn")</f>
        <v/>
      </c>
      <c r="D6114" t="inlineStr">
        <is>
          <t>灰色,L號（腰圍64-90cm）</t>
        </is>
      </c>
      <c r="E6114" t="inlineStr"/>
      <c r="F6114">
        <f>IMAGE("https://cf.shopee.tw/file/4e876478bca146a86c6f570878f0d4eb_tn")</f>
        <v/>
      </c>
    </row>
    <row r="6115">
      <c r="A6115" t="inlineStr">
        <is>
          <t>8627001937</t>
        </is>
      </c>
      <c r="B6115" t="inlineStr">
        <is>
          <t>隔日到貨🔥 夏日必備 真理褲 顯瘦 修飾 長腿 休閒 短褲 運動褲 瑜伽短褲 睡褲 真理庫 小熱褲 韓版 褲子</t>
        </is>
      </c>
      <c r="C6115">
        <f>IMAGE("https://cf.shopee.tw/file/13eb346137e17e8cb95fafb3a9f82795_tn")</f>
        <v/>
      </c>
      <c r="D6115" t="inlineStr">
        <is>
          <t>黑色,L號（腰圍64-90cm）</t>
        </is>
      </c>
      <c r="E6115" t="inlineStr"/>
      <c r="F6115">
        <f>IMAGE("https://cf.shopee.tw/file/9f163e2d80c43b116c44c672fd1b7d08_tn")</f>
        <v/>
      </c>
    </row>
    <row r="6116">
      <c r="A6116" t="inlineStr">
        <is>
          <t>11926688388</t>
        </is>
      </c>
      <c r="B6116" t="inlineStr">
        <is>
          <t>隔日到貨🔥 ins 潮流工裝後背包 日系 黑色 原宿 B43 雙肩 學生 背包 百搭 書包 後背包 復古風</t>
        </is>
      </c>
      <c r="C6116">
        <f>IMAGE("https://cf.shopee.tw/file/2f3024e8f5e5abd2b3323ef49482898a_tn")</f>
        <v/>
      </c>
      <c r="D6116" t="inlineStr">
        <is>
          <t>黑色</t>
        </is>
      </c>
      <c r="E6116" t="inlineStr"/>
      <c r="F6116">
        <f>IMAGE("https://cf.shopee.tw/file/4f33e906bec153bb60c68a157cbd7dc1_tn")</f>
        <v/>
      </c>
    </row>
    <row r="6117">
      <c r="A6117" t="inlineStr">
        <is>
          <t>11942266926</t>
        </is>
      </c>
      <c r="B6117" t="inlineStr">
        <is>
          <t>隔日到貨🔥 ins風 韓版 透明 化妝包 收納包 大容量 洗漱包 化妝袋 收納袋</t>
        </is>
      </c>
      <c r="C6117">
        <f>IMAGE("https://cf.shopee.tw/file/097eb8f17e33283ce95721d79d1c4071_tn")</f>
        <v/>
      </c>
      <c r="D6117" t="inlineStr">
        <is>
          <t>1.奶黃愛心小熊</t>
        </is>
      </c>
      <c r="E6117" t="inlineStr"/>
      <c r="F6117">
        <f>IMAGE("https://cf.shopee.tw/file/516bb9deef207d7f6c76f6980788e3a0_tn")</f>
        <v/>
      </c>
    </row>
    <row r="6118">
      <c r="A6118" t="inlineStr">
        <is>
          <t>11942266926</t>
        </is>
      </c>
      <c r="B6118" t="inlineStr">
        <is>
          <t>隔日到貨🔥 ins風 韓版 透明 化妝包 收納包 大容量 洗漱包 化妝袋 收納袋</t>
        </is>
      </c>
      <c r="C6118">
        <f>IMAGE("https://cf.shopee.tw/file/097eb8f17e33283ce95721d79d1c4071_tn")</f>
        <v/>
      </c>
      <c r="D6118" t="inlineStr">
        <is>
          <t>2.淺紫小熊</t>
        </is>
      </c>
      <c r="E6118" t="inlineStr"/>
      <c r="F6118">
        <f>IMAGE("https://cf.shopee.tw/file/13779aa727c9b9d4689ad0ffcba8edf3_tn")</f>
        <v/>
      </c>
    </row>
    <row r="6119">
      <c r="A6119" t="inlineStr">
        <is>
          <t>11942266926</t>
        </is>
      </c>
      <c r="B6119" t="inlineStr">
        <is>
          <t>隔日到貨🔥 ins風 韓版 透明 化妝包 收納包 大容量 洗漱包 化妝袋 收納袋</t>
        </is>
      </c>
      <c r="C6119">
        <f>IMAGE("https://cf.shopee.tw/file/097eb8f17e33283ce95721d79d1c4071_tn")</f>
        <v/>
      </c>
      <c r="D6119" t="inlineStr">
        <is>
          <t>3.淺藍小狗</t>
        </is>
      </c>
      <c r="E6119" t="inlineStr"/>
      <c r="F6119">
        <f>IMAGE("https://cf.shopee.tw/file/35170886ed580c3593c6d5985b4863cd_tn")</f>
        <v/>
      </c>
    </row>
    <row r="6120">
      <c r="A6120" t="inlineStr">
        <is>
          <t>13712410921</t>
        </is>
      </c>
      <c r="B6120" t="inlineStr">
        <is>
          <t>隔日到貨🔥 ins風 熱銷款 日系牛油果滑鼠墊 滑鼠墊 治愈系 棉花糖 情侣滑鼠墊 笑臉</t>
        </is>
      </c>
      <c r="C6120">
        <f>IMAGE("https://cf.shopee.tw/file/30d55a298f15fb2fc5c6d6aff549c251_tn")</f>
        <v/>
      </c>
      <c r="D6120" t="inlineStr">
        <is>
          <t>可愛兔(實品為橘色)</t>
        </is>
      </c>
      <c r="E6120" t="inlineStr"/>
      <c r="F6120">
        <f>IMAGE("https://cf.shopee.tw/file/453c112656fdb6635d5f4084ce5d4ce0_tn")</f>
        <v/>
      </c>
    </row>
    <row r="6121">
      <c r="A6121" t="inlineStr">
        <is>
          <t>13712410921</t>
        </is>
      </c>
      <c r="B6121" t="inlineStr">
        <is>
          <t>隔日到貨🔥 ins風 熱銷款 日系牛油果滑鼠墊 滑鼠墊 治愈系 棉花糖 情侣滑鼠墊 笑臉</t>
        </is>
      </c>
      <c r="C6121">
        <f>IMAGE("https://cf.shopee.tw/file/30d55a298f15fb2fc5c6d6aff549c251_tn")</f>
        <v/>
      </c>
      <c r="D6121" t="inlineStr">
        <is>
          <t>牛油果</t>
        </is>
      </c>
      <c r="E6121" t="inlineStr"/>
      <c r="F6121">
        <f>IMAGE("https://cf.shopee.tw/file/30666dd298b4f89bcc151859656e4f8f_tn")</f>
        <v/>
      </c>
    </row>
    <row r="6122">
      <c r="A6122" t="inlineStr">
        <is>
          <t>13712410921</t>
        </is>
      </c>
      <c r="B6122" t="inlineStr">
        <is>
          <t>隔日到貨🔥 ins風 熱銷款 日系牛油果滑鼠墊 滑鼠墊 治愈系 棉花糖 情侣滑鼠墊 笑臉</t>
        </is>
      </c>
      <c r="C6122">
        <f>IMAGE("https://cf.shopee.tw/file/30d55a298f15fb2fc5c6d6aff549c251_tn")</f>
        <v/>
      </c>
      <c r="D6122" t="inlineStr">
        <is>
          <t>貝殼</t>
        </is>
      </c>
      <c r="E6122" t="inlineStr"/>
      <c r="F6122">
        <f>IMAGE("https://cf.shopee.tw/file/c2d72ca03c5227ecdc63a74cb9caef32_tn")</f>
        <v/>
      </c>
    </row>
    <row r="6123">
      <c r="A6123" t="inlineStr">
        <is>
          <t>13712410921</t>
        </is>
      </c>
      <c r="B6123" t="inlineStr">
        <is>
          <t>隔日到貨🔥 ins風 熱銷款 日系牛油果滑鼠墊 滑鼠墊 治愈系 棉花糖 情侣滑鼠墊 笑臉</t>
        </is>
      </c>
      <c r="C6123">
        <f>IMAGE("https://cf.shopee.tw/file/30d55a298f15fb2fc5c6d6aff549c251_tn")</f>
        <v/>
      </c>
      <c r="D6123" t="inlineStr">
        <is>
          <t>笑臉</t>
        </is>
      </c>
      <c r="E6123" t="inlineStr"/>
      <c r="F6123">
        <f>IMAGE("https://cf.shopee.tw/file/0d10b4033c646c0c31f5aa9e15af1612_tn")</f>
        <v/>
      </c>
    </row>
    <row r="6124">
      <c r="A6124" t="inlineStr">
        <is>
          <t>22844394845</t>
        </is>
      </c>
      <c r="B6124" t="inlineStr">
        <is>
          <t>隔日到貨🔥『老帽』S超人老帽 刺繡老帽 經典小標老帽 棒球帽 鴨舌帽 街頭 穿搭 休閒 帽子 韓版帽</t>
        </is>
      </c>
      <c r="C6124">
        <f>IMAGE("https://cf.shopee.tw/file/tw-11134207-7qul0-lhk342r8dfbic6_tn")</f>
        <v/>
      </c>
      <c r="D6124" t="inlineStr">
        <is>
          <t>S字母 白色,S</t>
        </is>
      </c>
      <c r="E6124" t="inlineStr"/>
      <c r="F6124">
        <f>IMAGE("https://cf.shopee.tw/file/tw-11134207-7qul2-lhk342rse0ni79_tn")</f>
        <v/>
      </c>
    </row>
    <row r="6125">
      <c r="A6125" t="inlineStr">
        <is>
          <t>22844394845</t>
        </is>
      </c>
      <c r="B6125" t="inlineStr">
        <is>
          <t>隔日到貨🔥『老帽』S超人老帽 刺繡老帽 經典小標老帽 棒球帽 鴨舌帽 街頭 穿搭 休閒 帽子 韓版帽</t>
        </is>
      </c>
      <c r="C6125">
        <f>IMAGE("https://cf.shopee.tw/file/tw-11134207-7qul0-lhk342r8dfbic6_tn")</f>
        <v/>
      </c>
      <c r="D6125" t="inlineStr">
        <is>
          <t>S字母 黑色,S</t>
        </is>
      </c>
      <c r="E6125" t="inlineStr"/>
      <c r="F6125">
        <f>IMAGE("https://cf.shopee.tw/file/tw-11134207-7qul7-lhk342r8etvy8d_tn")</f>
        <v/>
      </c>
    </row>
    <row r="6126">
      <c r="A6126" t="inlineStr">
        <is>
          <t>22844394845</t>
        </is>
      </c>
      <c r="B6126" t="inlineStr">
        <is>
          <t>隔日到貨🔥『老帽』S超人老帽 刺繡老帽 經典小標老帽 棒球帽 鴨舌帽 街頭 穿搭 休閒 帽子 韓版帽</t>
        </is>
      </c>
      <c r="C6126">
        <f>IMAGE("https://cf.shopee.tw/file/tw-11134207-7qul0-lhk342r8dfbic6_tn")</f>
        <v/>
      </c>
      <c r="D6126" t="inlineStr">
        <is>
          <t>三條槓 米色,S</t>
        </is>
      </c>
      <c r="E6126" t="inlineStr"/>
      <c r="F6126">
        <f>IMAGE("https://cf.shopee.tw/file/tw-11134207-7qul3-lhk342rstgwe5e_tn")</f>
        <v/>
      </c>
    </row>
    <row r="6127">
      <c r="A6127" t="inlineStr">
        <is>
          <t>22844394845</t>
        </is>
      </c>
      <c r="B6127" t="inlineStr">
        <is>
          <t>隔日到貨🔥『老帽』S超人老帽 刺繡老帽 經典小標老帽 棒球帽 鴨舌帽 街頭 穿搭 休閒 帽子 韓版帽</t>
        </is>
      </c>
      <c r="C6127">
        <f>IMAGE("https://cf.shopee.tw/file/tw-11134207-7qul0-lhk342r8dfbic6_tn")</f>
        <v/>
      </c>
      <c r="D6127" t="inlineStr">
        <is>
          <t>三條槓 藏青色,S</t>
        </is>
      </c>
      <c r="E6127" t="inlineStr"/>
      <c r="F6127">
        <f>IMAGE("https://cf.shopee.tw/file/tw-11134207-7qul0-lhk342r99q4w06_tn")</f>
        <v/>
      </c>
    </row>
    <row r="6128">
      <c r="A6128" t="inlineStr">
        <is>
          <t>22844394845</t>
        </is>
      </c>
      <c r="B6128" t="inlineStr">
        <is>
          <t>隔日到貨🔥『老帽』S超人老帽 刺繡老帽 經典小標老帽 棒球帽 鴨舌帽 街頭 穿搭 休閒 帽子 韓版帽</t>
        </is>
      </c>
      <c r="C6128">
        <f>IMAGE("https://cf.shopee.tw/file/tw-11134207-7qul0-lhk342r8dfbic6_tn")</f>
        <v/>
      </c>
      <c r="D6128" t="inlineStr">
        <is>
          <t>三條槓 黑色,S</t>
        </is>
      </c>
      <c r="E6128" t="inlineStr"/>
      <c r="F6128">
        <f>IMAGE("https://cf.shopee.tw/file/tw-11134207-7qukx-lhk342r8u9w076_tn")</f>
        <v/>
      </c>
    </row>
    <row r="6129">
      <c r="A6129" t="inlineStr">
        <is>
          <t>22844394845</t>
        </is>
      </c>
      <c r="B6129" t="inlineStr">
        <is>
          <t>隔日到貨🔥『老帽』S超人老帽 刺繡老帽 經典小標老帽 棒球帽 鴨舌帽 街頭 穿搭 休閒 帽子 韓版帽</t>
        </is>
      </c>
      <c r="C6129">
        <f>IMAGE("https://cf.shopee.tw/file/tw-11134207-7qul0-lhk342r8dfbic6_tn")</f>
        <v/>
      </c>
      <c r="D6129" t="inlineStr">
        <is>
          <t>S字母 米色,S</t>
        </is>
      </c>
      <c r="E6129" t="inlineStr"/>
      <c r="F6129">
        <f>IMAGE("https://cf.shopee.tw/file/tw-11134207-7qul1-lhk342r8etn4f0_tn")</f>
        <v/>
      </c>
    </row>
    <row r="6130">
      <c r="A6130" t="inlineStr">
        <is>
          <t>12312439548</t>
        </is>
      </c>
      <c r="B6130" t="inlineStr">
        <is>
          <t>隔日到貨🔥 韓版ins風 可愛卡通折疊傘 手動傘 雨傘 送同款傘套 遮陽傘 黑膠 折疊傘 熱銷款 情侶傘 可愛</t>
        </is>
      </c>
      <c r="C6130">
        <f>IMAGE("https://cf.shopee.tw/file/sg-11134201-22110-0rqo60zjyckv6d_tn")</f>
        <v/>
      </c>
      <c r="D6130" t="inlineStr">
        <is>
          <t>4.咖啡笑臉</t>
        </is>
      </c>
      <c r="E6130" t="inlineStr"/>
      <c r="F6130">
        <f>IMAGE("https://cf.shopee.tw/file/sg-11134201-22110-qva7xvfiyckv30_tn")</f>
        <v/>
      </c>
    </row>
    <row r="6131">
      <c r="A6131" t="inlineStr">
        <is>
          <t>12312439548</t>
        </is>
      </c>
      <c r="B6131" t="inlineStr">
        <is>
          <t>隔日到貨🔥 韓版ins風 可愛卡通折疊傘 手動傘 雨傘 送同款傘套 遮陽傘 黑膠 折疊傘 熱銷款 情侶傘 可愛</t>
        </is>
      </c>
      <c r="C6131">
        <f>IMAGE("https://cf.shopee.tw/file/sg-11134201-22110-0rqo60zjyckv6d_tn")</f>
        <v/>
      </c>
      <c r="D6131" t="inlineStr">
        <is>
          <t>1.趴趴熊傘</t>
        </is>
      </c>
      <c r="E6131" t="inlineStr"/>
      <c r="F6131">
        <f>IMAGE("https://cf.shopee.tw/file/sg-11134201-22110-q3aqo7z0oujvef_tn")</f>
        <v/>
      </c>
    </row>
    <row r="6132">
      <c r="A6132" t="inlineStr">
        <is>
          <t>12312439548</t>
        </is>
      </c>
      <c r="B6132" t="inlineStr">
        <is>
          <t>隔日到貨🔥 韓版ins風 可愛卡通折疊傘 手動傘 雨傘 送同款傘套 遮陽傘 黑膠 折疊傘 熱銷款 情侶傘 可愛</t>
        </is>
      </c>
      <c r="C6132">
        <f>IMAGE("https://cf.shopee.tw/file/sg-11134201-22110-0rqo60zjyckv6d_tn")</f>
        <v/>
      </c>
      <c r="D6132" t="inlineStr">
        <is>
          <t>2.咖啡狗傘</t>
        </is>
      </c>
      <c r="E6132" t="inlineStr"/>
      <c r="F6132">
        <f>IMAGE("https://cf.shopee.tw/file/sg-11134201-22110-7zsv3sn0oujvaa_tn")</f>
        <v/>
      </c>
    </row>
    <row r="6133">
      <c r="A6133" t="inlineStr">
        <is>
          <t>12312439548</t>
        </is>
      </c>
      <c r="B6133" t="inlineStr">
        <is>
          <t>隔日到貨🔥 韓版ins風 可愛卡通折疊傘 手動傘 雨傘 送同款傘套 遮陽傘 黑膠 折疊傘 熱銷款 情侶傘 可愛</t>
        </is>
      </c>
      <c r="C6133">
        <f>IMAGE("https://cf.shopee.tw/file/sg-11134201-22110-0rqo60zjyckv6d_tn")</f>
        <v/>
      </c>
      <c r="D6133" t="inlineStr">
        <is>
          <t>5.米白狗傘</t>
        </is>
      </c>
      <c r="E6133" t="inlineStr"/>
      <c r="F6133">
        <f>IMAGE("https://cf.shopee.tw/file/sg-11134201-22110-fispmmq0oujv02_tn")</f>
        <v/>
      </c>
    </row>
    <row r="6134">
      <c r="A6134" t="inlineStr">
        <is>
          <t>12312439548</t>
        </is>
      </c>
      <c r="B6134" t="inlineStr">
        <is>
          <t>隔日到貨🔥 韓版ins風 可愛卡通折疊傘 手動傘 雨傘 送同款傘套 遮陽傘 黑膠 折疊傘 熱銷款 情侶傘 可愛</t>
        </is>
      </c>
      <c r="C6134">
        <f>IMAGE("https://cf.shopee.tw/file/sg-11134201-22110-0rqo60zjyckv6d_tn")</f>
        <v/>
      </c>
      <c r="D6134" t="inlineStr">
        <is>
          <t>3.Niceday熊</t>
        </is>
      </c>
      <c r="E6134" t="inlineStr"/>
      <c r="F6134">
        <f>IMAGE("https://cf.shopee.tw/file/sg-11134201-22110-ti82n1fiyckvdb_tn")</f>
        <v/>
      </c>
    </row>
    <row r="6135">
      <c r="A6135" t="inlineStr">
        <is>
          <t>13712401341</t>
        </is>
      </c>
      <c r="B6135" t="inlineStr">
        <is>
          <t>隔日到貨🔥 ins 小熊 卡套 校園卡 公交卡 證件套 掛繩 奶油色系卡 小熊卡套</t>
        </is>
      </c>
      <c r="C6135">
        <f>IMAGE("https://cf.shopee.tw/file/05e3654a294aca92de3a93781fae341c_tn")</f>
        <v/>
      </c>
      <c r="D6135" t="inlineStr">
        <is>
          <t>1.呆萌小熊</t>
        </is>
      </c>
      <c r="E6135" t="inlineStr"/>
      <c r="F6135">
        <f>IMAGE("https://cf.shopee.tw/file/5b21a8d6d9dceed3bbb2fda954de5804_tn")</f>
        <v/>
      </c>
    </row>
    <row r="6136">
      <c r="A6136" t="inlineStr">
        <is>
          <t>13712401341</t>
        </is>
      </c>
      <c r="B6136" t="inlineStr">
        <is>
          <t>隔日到貨🔥 ins 小熊 卡套 校園卡 公交卡 證件套 掛繩 奶油色系卡 小熊卡套</t>
        </is>
      </c>
      <c r="C6136">
        <f>IMAGE("https://cf.shopee.tw/file/05e3654a294aca92de3a93781fae341c_tn")</f>
        <v/>
      </c>
      <c r="D6136" t="inlineStr">
        <is>
          <t>2.英文小狗</t>
        </is>
      </c>
      <c r="E6136" t="inlineStr"/>
      <c r="F6136">
        <f>IMAGE("https://cf.shopee.tw/file/1d9e74b4a03b1282af0d5a20f2d60acd_tn")</f>
        <v/>
      </c>
    </row>
    <row r="6137">
      <c r="A6137" t="inlineStr">
        <is>
          <t>13712401341</t>
        </is>
      </c>
      <c r="B6137" t="inlineStr">
        <is>
          <t>隔日到貨🔥 ins 小熊 卡套 校園卡 公交卡 證件套 掛繩 奶油色系卡 小熊卡套</t>
        </is>
      </c>
      <c r="C6137">
        <f>IMAGE("https://cf.shopee.tw/file/05e3654a294aca92de3a93781fae341c_tn")</f>
        <v/>
      </c>
      <c r="D6137" t="inlineStr">
        <is>
          <t>3.圓點小熊</t>
        </is>
      </c>
      <c r="E6137" t="inlineStr"/>
      <c r="F6137">
        <f>IMAGE("https://cf.shopee.tw/file/0ec55f4eeb5c0bd121eab0a7d64c6dd7_tn")</f>
        <v/>
      </c>
    </row>
    <row r="6138">
      <c r="A6138" t="inlineStr">
        <is>
          <t>22763817270</t>
        </is>
      </c>
      <c r="B6138" t="inlineStr">
        <is>
          <t>隔日到貨🔥 手機充電線保護套 數據線保護套 原廠線保護套 咬線器 線套 防斷裂 充電線防變形 iphone傳輸線保</t>
        </is>
      </c>
      <c r="C6138">
        <f>IMAGE("https://cf.shopee.tw/file/tw-11134207-7r98s-lr9w0orek8p4e4_tn")</f>
        <v/>
      </c>
      <c r="D6138" t="inlineStr">
        <is>
          <t>【單小頭綁帶】 黑色</t>
        </is>
      </c>
      <c r="E6138" t="inlineStr"/>
      <c r="F6138">
        <f>IMAGE("https://cf.shopee.tw/file/tw-11134207-7r98u-lv44h7p1hsmh34_tn")</f>
        <v/>
      </c>
    </row>
    <row r="6139">
      <c r="A6139" t="inlineStr">
        <is>
          <t>22763817270</t>
        </is>
      </c>
      <c r="B6139" t="inlineStr">
        <is>
          <t>隔日到貨🔥 手機充電線保護套 數據線保護套 原廠線保護套 咬線器 線套 防斷裂 充電線防變形 iphone傳輸線保</t>
        </is>
      </c>
      <c r="C6139">
        <f>IMAGE("https://cf.shopee.tw/file/tw-11134207-7r98s-lr9w0orek8p4e4_tn")</f>
        <v/>
      </c>
      <c r="D6139" t="inlineStr">
        <is>
          <t>【單小頭綁帶】 白色</t>
        </is>
      </c>
      <c r="E6139" t="inlineStr"/>
      <c r="F6139">
        <f>IMAGE("https://cf.shopee.tw/file/tw-11134207-7r98u-lv44h7p1j76x7a_tn")</f>
        <v/>
      </c>
    </row>
    <row r="6140">
      <c r="A6140" t="inlineStr">
        <is>
          <t>22763817270</t>
        </is>
      </c>
      <c r="B6140" t="inlineStr">
        <is>
          <t>隔日到貨🔥 手機充電線保護套 數據線保護套 原廠線保護套 咬線器 線套 防斷裂 充電線防變形 iphone傳輸線保</t>
        </is>
      </c>
      <c r="C6140">
        <f>IMAGE("https://cf.shopee.tw/file/tw-11134207-7r98s-lr9w0orek8p4e4_tn")</f>
        <v/>
      </c>
      <c r="D6140" t="inlineStr">
        <is>
          <t>【單小頭綁帶】 灰色</t>
        </is>
      </c>
      <c r="E6140" t="inlineStr"/>
      <c r="F6140">
        <f>IMAGE("https://cf.shopee.tw/file/tw-11134207-7r98p-lv44hzz241t5d3_tn")</f>
        <v/>
      </c>
    </row>
    <row r="6141">
      <c r="A6141" t="inlineStr">
        <is>
          <t>22763817270</t>
        </is>
      </c>
      <c r="B6141" t="inlineStr">
        <is>
          <t>隔日到貨🔥 手機充電線保護套 數據線保護套 原廠線保護套 咬線器 線套 防斷裂 充電線防變形 iphone傳輸線保</t>
        </is>
      </c>
      <c r="C6141">
        <f>IMAGE("https://cf.shopee.tw/file/tw-11134207-7r98s-lr9w0orek8p4e4_tn")</f>
        <v/>
      </c>
      <c r="D6141" t="inlineStr">
        <is>
          <t>【單小頭綁帶】 藍色</t>
        </is>
      </c>
      <c r="E6141" t="inlineStr"/>
      <c r="F6141">
        <f>IMAGE("https://cf.shopee.tw/file/tw-11134207-7r98t-lv44hzz25gdl42_tn")</f>
        <v/>
      </c>
    </row>
    <row r="6142">
      <c r="A6142" t="inlineStr">
        <is>
          <t>22763817270</t>
        </is>
      </c>
      <c r="B6142" t="inlineStr">
        <is>
          <t>隔日到貨🔥 手機充電線保護套 數據線保護套 原廠線保護套 咬線器 線套 防斷裂 充電線防變形 iphone傳輸線保</t>
        </is>
      </c>
      <c r="C6142">
        <f>IMAGE("https://cf.shopee.tw/file/tw-11134207-7r98s-lr9w0orek8p4e4_tn")</f>
        <v/>
      </c>
      <c r="D6142" t="inlineStr">
        <is>
          <t>【單小頭綁帶】 粉色</t>
        </is>
      </c>
      <c r="E6142" t="inlineStr"/>
      <c r="F6142">
        <f>IMAGE("https://cf.shopee.tw/file/tw-11134207-7r98q-lv44i66p0sa1c2_tn")</f>
        <v/>
      </c>
    </row>
    <row r="6143">
      <c r="A6143" t="inlineStr">
        <is>
          <t>22763817270</t>
        </is>
      </c>
      <c r="B6143" t="inlineStr">
        <is>
          <t>隔日到貨🔥 手機充電線保護套 數據線保護套 原廠線保護套 咬線器 線套 防斷裂 充電線防變形 iphone傳輸線保</t>
        </is>
      </c>
      <c r="C6143">
        <f>IMAGE("https://cf.shopee.tw/file/tw-11134207-7r98s-lr9w0orek8p4e4_tn")</f>
        <v/>
      </c>
      <c r="D6143" t="inlineStr">
        <is>
          <t>【單小頭綁帶】 紫色</t>
        </is>
      </c>
      <c r="E6143" t="inlineStr"/>
      <c r="F6143">
        <f>IMAGE("https://cf.shopee.tw/file/tw-11134207-7r98w-lv44i66p26uhff_tn")</f>
        <v/>
      </c>
    </row>
    <row r="6144">
      <c r="A6144" t="inlineStr">
        <is>
          <t>22763817270</t>
        </is>
      </c>
      <c r="B6144" t="inlineStr">
        <is>
          <t>隔日到貨🔥 手機充電線保護套 數據線保護套 原廠線保護套 咬線器 線套 防斷裂 充電線防變形 iphone傳輸線保</t>
        </is>
      </c>
      <c r="C6144">
        <f>IMAGE("https://cf.shopee.tw/file/tw-11134207-7r98s-lr9w0orek8p4e4_tn")</f>
        <v/>
      </c>
      <c r="D6144" t="inlineStr">
        <is>
          <t>【小頭+小頭綁帶】 黑色</t>
        </is>
      </c>
      <c r="E6144" t="inlineStr"/>
      <c r="F6144">
        <f>IMAGE("https://cf.shopee.tw/file/tw-11134207-7r990-lv44inkdl6ax29_tn")</f>
        <v/>
      </c>
    </row>
    <row r="6145">
      <c r="A6145" t="inlineStr">
        <is>
          <t>22763817270</t>
        </is>
      </c>
      <c r="B6145" t="inlineStr">
        <is>
          <t>隔日到貨🔥 手機充電線保護套 數據線保護套 原廠線保護套 咬線器 線套 防斷裂 充電線防變形 iphone傳輸線保</t>
        </is>
      </c>
      <c r="C6145">
        <f>IMAGE("https://cf.shopee.tw/file/tw-11134207-7r98s-lr9w0orek8p4e4_tn")</f>
        <v/>
      </c>
      <c r="D6145" t="inlineStr">
        <is>
          <t>【小頭+小頭綁帶】 白色</t>
        </is>
      </c>
      <c r="E6145" t="inlineStr"/>
      <c r="F6145">
        <f>IMAGE("https://cf.shopee.tw/file/tw-11134207-7r98o-lv44inkdmkvd29_tn")</f>
        <v/>
      </c>
    </row>
    <row r="6146">
      <c r="A6146" t="inlineStr">
        <is>
          <t>22763817270</t>
        </is>
      </c>
      <c r="B6146" t="inlineStr">
        <is>
          <t>隔日到貨🔥 手機充電線保護套 數據線保護套 原廠線保護套 咬線器 線套 防斷裂 充電線防變形 iphone傳輸線保</t>
        </is>
      </c>
      <c r="C6146">
        <f>IMAGE("https://cf.shopee.tw/file/tw-11134207-7r98s-lr9w0orek8p4e4_tn")</f>
        <v/>
      </c>
      <c r="D6146" t="inlineStr">
        <is>
          <t>【小頭+小頭綁帶】 灰色</t>
        </is>
      </c>
      <c r="E6146" t="inlineStr"/>
      <c r="F6146">
        <f>IMAGE("https://cf.shopee.tw/file/tw-11134207-7r98r-lv44iuj7e4a13f_tn")</f>
        <v/>
      </c>
    </row>
    <row r="6147">
      <c r="A6147" t="inlineStr">
        <is>
          <t>22763817270</t>
        </is>
      </c>
      <c r="B6147" t="inlineStr">
        <is>
          <t>隔日到貨🔥 手機充電線保護套 數據線保護套 原廠線保護套 咬線器 線套 防斷裂 充電線防變形 iphone傳輸線保</t>
        </is>
      </c>
      <c r="C6147">
        <f>IMAGE("https://cf.shopee.tw/file/tw-11134207-7r98s-lr9w0orek8p4e4_tn")</f>
        <v/>
      </c>
      <c r="D6147" t="inlineStr">
        <is>
          <t>【小頭+小頭綁帶】 藍色</t>
        </is>
      </c>
      <c r="E6147" t="inlineStr"/>
      <c r="F6147">
        <f>IMAGE("https://cf.shopee.tw/file/tw-11134207-7r98q-lv44iuj7fiuha4_tn")</f>
        <v/>
      </c>
    </row>
    <row r="6148">
      <c r="A6148" t="inlineStr">
        <is>
          <t>22763817270</t>
        </is>
      </c>
      <c r="B6148" t="inlineStr">
        <is>
          <t>隔日到貨🔥 手機充電線保護套 數據線保護套 原廠線保護套 咬線器 線套 防斷裂 充電線防變形 iphone傳輸線保</t>
        </is>
      </c>
      <c r="C6148">
        <f>IMAGE("https://cf.shopee.tw/file/tw-11134207-7r98s-lr9w0orek8p4e4_tn")</f>
        <v/>
      </c>
      <c r="D6148" t="inlineStr">
        <is>
          <t>【小頭+小頭綁帶】 粉色</t>
        </is>
      </c>
      <c r="E6148" t="inlineStr"/>
      <c r="F6148">
        <f>IMAGE("https://cf.shopee.tw/file/tw-11134207-7r98o-lv44j1a9ifjd20_tn")</f>
        <v/>
      </c>
    </row>
    <row r="6149">
      <c r="A6149" t="inlineStr">
        <is>
          <t>22763817270</t>
        </is>
      </c>
      <c r="B6149" t="inlineStr">
        <is>
          <t>隔日到貨🔥 手機充電線保護套 數據線保護套 原廠線保護套 咬線器 線套 防斷裂 充電線防變形 iphone傳輸線保</t>
        </is>
      </c>
      <c r="C6149">
        <f>IMAGE("https://cf.shopee.tw/file/tw-11134207-7r98s-lr9w0orek8p4e4_tn")</f>
        <v/>
      </c>
      <c r="D6149" t="inlineStr">
        <is>
          <t>【小頭+小頭綁帶】 紫色</t>
        </is>
      </c>
      <c r="E6149" t="inlineStr"/>
      <c r="F6149">
        <f>IMAGE("https://cf.shopee.tw/file/tw-11134207-7r98v-lv44j1a9ju3tf5_tn")</f>
        <v/>
      </c>
    </row>
    <row r="6150">
      <c r="A6150" t="inlineStr">
        <is>
          <t>22763817270</t>
        </is>
      </c>
      <c r="B6150" t="inlineStr">
        <is>
          <t>隔日到貨🔥 手機充電線保護套 數據線保護套 原廠線保護套 咬線器 線套 防斷裂 充電線防變形 iphone傳輸線保</t>
        </is>
      </c>
      <c r="C6150">
        <f>IMAGE("https://cf.shopee.tw/file/tw-11134207-7r98s-lr9w0orek8p4e4_tn")</f>
        <v/>
      </c>
      <c r="D6150" t="inlineStr">
        <is>
          <t>【USB頭+小頭綁帶】 黑色</t>
        </is>
      </c>
      <c r="E6150" t="inlineStr"/>
      <c r="F6150">
        <f>IMAGE("https://cf.shopee.tw/file/tw-11134207-7r98y-lv44j7cmmwagc0_tn")</f>
        <v/>
      </c>
    </row>
    <row r="6151">
      <c r="A6151" t="inlineStr">
        <is>
          <t>22763817270</t>
        </is>
      </c>
      <c r="B6151" t="inlineStr">
        <is>
          <t>隔日到貨🔥 手機充電線保護套 數據線保護套 原廠線保護套 咬線器 線套 防斷裂 充電線防變形 iphone傳輸線保</t>
        </is>
      </c>
      <c r="C6151">
        <f>IMAGE("https://cf.shopee.tw/file/tw-11134207-7r98s-lr9w0orek8p4e4_tn")</f>
        <v/>
      </c>
      <c r="D6151" t="inlineStr">
        <is>
          <t>【USB頭+小頭綁帶】 白色</t>
        </is>
      </c>
      <c r="E6151" t="inlineStr"/>
      <c r="F6151">
        <f>IMAGE("https://cf.shopee.tw/file/tw-11134207-7r98r-lv44j7cmoauw58_tn")</f>
        <v/>
      </c>
    </row>
    <row r="6152">
      <c r="A6152" t="inlineStr">
        <is>
          <t>22763817270</t>
        </is>
      </c>
      <c r="B6152" t="inlineStr">
        <is>
          <t>隔日到貨🔥 手機充電線保護套 數據線保護套 原廠線保護套 咬線器 線套 防斷裂 充電線防變形 iphone傳輸線保</t>
        </is>
      </c>
      <c r="C6152">
        <f>IMAGE("https://cf.shopee.tw/file/tw-11134207-7r98s-lr9w0orek8p4e4_tn")</f>
        <v/>
      </c>
      <c r="D6152" t="inlineStr">
        <is>
          <t>【USB頭+小頭綁帶】 灰色</t>
        </is>
      </c>
      <c r="E6152" t="inlineStr"/>
      <c r="F6152">
        <f>IMAGE("https://cf.shopee.tw/file/tw-11134207-7r98o-lv44jd4g6re117_tn")</f>
        <v/>
      </c>
    </row>
    <row r="6153">
      <c r="A6153" t="inlineStr">
        <is>
          <t>22763817270</t>
        </is>
      </c>
      <c r="B6153" t="inlineStr">
        <is>
          <t>隔日到貨🔥 手機充電線保護套 數據線保護套 原廠線保護套 咬線器 線套 防斷裂 充電線防變形 iphone傳輸線保</t>
        </is>
      </c>
      <c r="C6153">
        <f>IMAGE("https://cf.shopee.tw/file/tw-11134207-7r98s-lr9w0orek8p4e4_tn")</f>
        <v/>
      </c>
      <c r="D6153" t="inlineStr">
        <is>
          <t>【USB頭+小頭綁帶】 藍色</t>
        </is>
      </c>
      <c r="E6153" t="inlineStr"/>
      <c r="F6153">
        <f>IMAGE("https://cf.shopee.tw/file/tw-11134207-7r98o-lv44jd4g85yh6a_tn")</f>
        <v/>
      </c>
    </row>
    <row r="6154">
      <c r="A6154" t="inlineStr">
        <is>
          <t>22763817270</t>
        </is>
      </c>
      <c r="B6154" t="inlineStr">
        <is>
          <t>隔日到貨🔥 手機充電線保護套 數據線保護套 原廠線保護套 咬線器 線套 防斷裂 充電線防變形 iphone傳輸線保</t>
        </is>
      </c>
      <c r="C6154">
        <f>IMAGE("https://cf.shopee.tw/file/tw-11134207-7r98s-lr9w0orek8p4e4_tn")</f>
        <v/>
      </c>
      <c r="D6154" t="inlineStr">
        <is>
          <t>【USB頭+小頭綁帶】 粉色</t>
        </is>
      </c>
      <c r="E6154" t="inlineStr"/>
      <c r="F6154">
        <f>IMAGE("https://cf.shopee.tw/file/tw-11134207-7r98t-lv44jitrub5k82_tn")</f>
        <v/>
      </c>
    </row>
    <row r="6155">
      <c r="A6155" t="inlineStr">
        <is>
          <t>22763817270</t>
        </is>
      </c>
      <c r="B6155" t="inlineStr">
        <is>
          <t>隔日到貨🔥 手機充電線保護套 數據線保護套 原廠線保護套 咬線器 線套 防斷裂 充電線防變形 iphone傳輸線保</t>
        </is>
      </c>
      <c r="C6155">
        <f>IMAGE("https://cf.shopee.tw/file/tw-11134207-7r98s-lr9w0orek8p4e4_tn")</f>
        <v/>
      </c>
      <c r="D6155" t="inlineStr">
        <is>
          <t>【USB頭+小頭綁帶】 紫色</t>
        </is>
      </c>
      <c r="E6155" t="inlineStr"/>
      <c r="F6155">
        <f>IMAGE("https://cf.shopee.tw/file/tw-11134207-7r98t-lv44jitrvpq0fe_tn")</f>
        <v/>
      </c>
    </row>
    <row r="6156">
      <c r="A6156" t="inlineStr">
        <is>
          <t>9935896752</t>
        </is>
      </c>
      <c r="B6156" t="inlineStr">
        <is>
          <t>隔日到貨🔥 卡通酪梨短襪 S7 短襪 襪子 中筒襪 水果 卡通 日系 酪梨 牛油果 夏日水果 棉襪 好看襪子</t>
        </is>
      </c>
      <c r="C6156">
        <f>IMAGE("https://cf.shopee.tw/file/ae25e94aa41b2f286fd81f1e663faf3b_tn")</f>
        <v/>
      </c>
      <c r="D6156" t="inlineStr">
        <is>
          <t>綠格子</t>
        </is>
      </c>
      <c r="E6156" t="inlineStr"/>
      <c r="F6156">
        <f>IMAGE("https://cf.shopee.tw/file/a076918e6f1ea1a0d2d0f22c7165a827_tn")</f>
        <v/>
      </c>
    </row>
    <row r="6157">
      <c r="A6157" t="inlineStr">
        <is>
          <t>9935896752</t>
        </is>
      </c>
      <c r="B6157" t="inlineStr">
        <is>
          <t>隔日到貨🔥 卡通酪梨短襪 S7 短襪 襪子 中筒襪 水果 卡通 日系 酪梨 牛油果 夏日水果 棉襪 好看襪子</t>
        </is>
      </c>
      <c r="C6157">
        <f>IMAGE("https://cf.shopee.tw/file/ae25e94aa41b2f286fd81f1e663faf3b_tn")</f>
        <v/>
      </c>
      <c r="D6157" t="inlineStr">
        <is>
          <t>條紋酪梨</t>
        </is>
      </c>
      <c r="E6157" t="inlineStr"/>
      <c r="F6157">
        <f>IMAGE("https://cf.shopee.tw/file/36b0a34bf5858e62930b51337abd73fc_tn")</f>
        <v/>
      </c>
    </row>
    <row r="6158">
      <c r="A6158" t="inlineStr">
        <is>
          <t>9935896752</t>
        </is>
      </c>
      <c r="B6158" t="inlineStr">
        <is>
          <t>隔日到貨🔥 卡通酪梨短襪 S7 短襪 襪子 中筒襪 水果 卡通 日系 酪梨 牛油果 夏日水果 棉襪 好看襪子</t>
        </is>
      </c>
      <c r="C6158">
        <f>IMAGE("https://cf.shopee.tw/file/ae25e94aa41b2f286fd81f1e663faf3b_tn")</f>
        <v/>
      </c>
      <c r="D6158" t="inlineStr">
        <is>
          <t>滿腳酪梨</t>
        </is>
      </c>
      <c r="E6158" t="inlineStr"/>
      <c r="F6158">
        <f>IMAGE("https://cf.shopee.tw/file/028d18c3839aa3e7c832ff6d9ba1fee3_tn")</f>
        <v/>
      </c>
    </row>
    <row r="6159">
      <c r="A6159" t="inlineStr">
        <is>
          <t>15498208327</t>
        </is>
      </c>
      <c r="B6159" t="inlineStr">
        <is>
          <t>隔日到貨🔥 笑臉 雙肩包 大容量 後背包 B40 B20 大學後背包 書包 15.6吋 女生包包 學生 多層 防潑水</t>
        </is>
      </c>
      <c r="C6159">
        <f>IMAGE("https://cf.shopee.tw/file/tw-11134207-7r98p-lncwfib3zdwd17_tn")</f>
        <v/>
      </c>
      <c r="D6159" t="inlineStr">
        <is>
          <t>黑白 （無吊飾）</t>
        </is>
      </c>
      <c r="E6159" t="inlineStr"/>
      <c r="F6159">
        <f>IMAGE("https://cf.shopee.tw/file/tw-11134207-7r98u-lmngzno0agezdf_tn")</f>
        <v/>
      </c>
    </row>
    <row r="6160">
      <c r="A6160" t="inlineStr">
        <is>
          <t>15498208327</t>
        </is>
      </c>
      <c r="B6160" t="inlineStr">
        <is>
          <t>隔日到貨🔥 笑臉 雙肩包 大容量 後背包 B40 B20 大學後背包 書包 15.6吋 女生包包 學生 多層 防潑水</t>
        </is>
      </c>
      <c r="C6160">
        <f>IMAGE("https://cf.shopee.tw/file/tw-11134207-7r98p-lncwfib3zdwd17_tn")</f>
        <v/>
      </c>
      <c r="D6160" t="inlineStr">
        <is>
          <t>紅色 （無吊飾）</t>
        </is>
      </c>
      <c r="E6160" t="inlineStr"/>
      <c r="F6160">
        <f>IMAGE("https://cf.shopee.tw/file/tw-11134207-7r992-lmnggy61vh5n26_tn")</f>
        <v/>
      </c>
    </row>
    <row r="6161">
      <c r="A6161" t="inlineStr">
        <is>
          <t>15498208327</t>
        </is>
      </c>
      <c r="B6161" t="inlineStr">
        <is>
          <t>隔日到貨🔥 笑臉 雙肩包 大容量 後背包 B40 B20 大學後背包 書包 15.6吋 女生包包 學生 多層 防潑水</t>
        </is>
      </c>
      <c r="C6161">
        <f>IMAGE("https://cf.shopee.tw/file/tw-11134207-7r98p-lncwfib3zdwd17_tn")</f>
        <v/>
      </c>
      <c r="D6161" t="inlineStr">
        <is>
          <t>藍色 （無吊飾）</t>
        </is>
      </c>
      <c r="E6161" t="inlineStr"/>
      <c r="F6161">
        <f>IMAGE("https://cf.shopee.tw/file/tw-11134207-7r98w-lmngflf3921nd3_tn")</f>
        <v/>
      </c>
    </row>
    <row r="6162">
      <c r="A6162" t="inlineStr">
        <is>
          <t>15498208327</t>
        </is>
      </c>
      <c r="B6162" t="inlineStr">
        <is>
          <t>隔日到貨🔥 笑臉 雙肩包 大容量 後背包 B40 B20 大學後背包 書包 15.6吋 女生包包 學生 多層 防潑水</t>
        </is>
      </c>
      <c r="C6162">
        <f>IMAGE("https://cf.shopee.tw/file/tw-11134207-7r98p-lncwfib3zdwd17_tn")</f>
        <v/>
      </c>
      <c r="D6162" t="inlineStr">
        <is>
          <t>綠色 （無吊飾）</t>
        </is>
      </c>
      <c r="E6162" t="inlineStr"/>
      <c r="F6162">
        <f>IMAGE("https://cf.shopee.tw/file/tw-11134207-7r98p-lmnggy61wvq34f_tn")</f>
        <v/>
      </c>
    </row>
    <row r="6163">
      <c r="A6163" t="inlineStr">
        <is>
          <t>15498208327</t>
        </is>
      </c>
      <c r="B6163" t="inlineStr">
        <is>
          <t>隔日到貨🔥 笑臉 雙肩包 大容量 後背包 B40 B20 大學後背包 書包 15.6吋 女生包包 學生 多層 防潑水</t>
        </is>
      </c>
      <c r="C6163">
        <f>IMAGE("https://cf.shopee.tw/file/tw-11134207-7r98p-lncwfib3zdwd17_tn")</f>
        <v/>
      </c>
      <c r="D6163" t="inlineStr">
        <is>
          <t>白紅色 （無吊飾）</t>
        </is>
      </c>
      <c r="E6163" t="inlineStr"/>
      <c r="F6163">
        <f>IMAGE("https://cf.shopee.tw/file/tw-11134207-7r98p-lm4s8i7l7amx39_tn")</f>
        <v/>
      </c>
    </row>
    <row r="6164">
      <c r="A6164" t="inlineStr">
        <is>
          <t>15498208327</t>
        </is>
      </c>
      <c r="B6164" t="inlineStr">
        <is>
          <t>隔日到貨🔥 笑臉 雙肩包 大容量 後背包 B40 B20 大學後背包 書包 15.6吋 女生包包 學生 多層 防潑水</t>
        </is>
      </c>
      <c r="C6164">
        <f>IMAGE("https://cf.shopee.tw/file/tw-11134207-7r98p-lncwfib3zdwd17_tn")</f>
        <v/>
      </c>
      <c r="D6164" t="inlineStr">
        <is>
          <t>白藍色 （無吊飾）</t>
        </is>
      </c>
      <c r="E6164" t="inlineStr"/>
      <c r="F6164">
        <f>IMAGE("https://cf.shopee.tw/file/tw-11134207-7r98t-lm4s8i7ltrq1ba_tn")</f>
        <v/>
      </c>
    </row>
    <row r="6165">
      <c r="A6165" t="inlineStr">
        <is>
          <t>15498208327</t>
        </is>
      </c>
      <c r="B6165" t="inlineStr">
        <is>
          <t>隔日到貨🔥 笑臉 雙肩包 大容量 後背包 B40 B20 大學後背包 書包 15.6吋 女生包包 學生 多層 防潑水</t>
        </is>
      </c>
      <c r="C6165">
        <f>IMAGE("https://cf.shopee.tw/file/tw-11134207-7r98p-lncwfib3zdwd17_tn")</f>
        <v/>
      </c>
      <c r="D6165" t="inlineStr">
        <is>
          <t>印花熊 （無吊飾）</t>
        </is>
      </c>
      <c r="E6165" t="inlineStr"/>
      <c r="F6165">
        <f>IMAGE("https://cf.shopee.tw/file/tw-11134207-7r98x-lmngflf37nh7fc_tn")</f>
        <v/>
      </c>
    </row>
    <row r="6166">
      <c r="A6166" t="inlineStr">
        <is>
          <t>15498208327</t>
        </is>
      </c>
      <c r="B6166" t="inlineStr">
        <is>
          <t>隔日到貨🔥 笑臉 雙肩包 大容量 後背包 B40 B20 大學後背包 書包 15.6吋 女生包包 學生 多層 防潑水</t>
        </is>
      </c>
      <c r="C6166">
        <f>IMAGE("https://cf.shopee.tw/file/tw-11134207-7r98p-lncwfib3zdwd17_tn")</f>
        <v/>
      </c>
      <c r="D6166" t="inlineStr">
        <is>
          <t>黑色 （無吊飾）</t>
        </is>
      </c>
      <c r="E6166" t="inlineStr"/>
      <c r="F6166">
        <f>IMAGE("https://cf.shopee.tw/file/tw-11134207-7r98q-lm4s8i7kyv89df_tn")</f>
        <v/>
      </c>
    </row>
    <row r="6167">
      <c r="A6167" t="inlineStr">
        <is>
          <t>6406544005</t>
        </is>
      </c>
      <c r="B6167" t="inlineStr">
        <is>
          <t>隔日到貨🔥 小狗刺繡棉襪 S13 韓風熱銷 女襪 雙面款 長襪 中筒襪 交換禮物 情侶襪 襪子 可愛襪 運動襪 秋冬襪</t>
        </is>
      </c>
      <c r="C6167">
        <f>IMAGE("https://cf.shopee.tw/file/23d5ec86cc5c57f62eab669059baa995_tn")</f>
        <v/>
      </c>
      <c r="D6167" t="inlineStr">
        <is>
          <t>1.薑黃小狗</t>
        </is>
      </c>
      <c r="E6167" t="inlineStr"/>
      <c r="F6167">
        <f>IMAGE("https://cf.shopee.tw/file/f0ecd92acb378a9efba687136cbadc20_tn")</f>
        <v/>
      </c>
    </row>
    <row r="6168">
      <c r="A6168" t="inlineStr">
        <is>
          <t>6406544005</t>
        </is>
      </c>
      <c r="B6168" t="inlineStr">
        <is>
          <t>隔日到貨🔥 小狗刺繡棉襪 S13 韓風熱銷 女襪 雙面款 長襪 中筒襪 交換禮物 情侶襪 襪子 可愛襪 運動襪 秋冬襪</t>
        </is>
      </c>
      <c r="C6168">
        <f>IMAGE("https://cf.shopee.tw/file/23d5ec86cc5c57f62eab669059baa995_tn")</f>
        <v/>
      </c>
      <c r="D6168" t="inlineStr">
        <is>
          <t>2.紅色小狗</t>
        </is>
      </c>
      <c r="E6168" t="inlineStr"/>
      <c r="F6168">
        <f>IMAGE("https://cf.shopee.tw/file/2d8c3c3f977946f188b375beee21c4f7_tn")</f>
        <v/>
      </c>
    </row>
    <row r="6169">
      <c r="A6169" t="inlineStr">
        <is>
          <t>6406544005</t>
        </is>
      </c>
      <c r="B6169" t="inlineStr">
        <is>
          <t>隔日到貨🔥 小狗刺繡棉襪 S13 韓風熱銷 女襪 雙面款 長襪 中筒襪 交換禮物 情侶襪 襪子 可愛襪 運動襪 秋冬襪</t>
        </is>
      </c>
      <c r="C6169">
        <f>IMAGE("https://cf.shopee.tw/file/23d5ec86cc5c57f62eab669059baa995_tn")</f>
        <v/>
      </c>
      <c r="D6169" t="inlineStr">
        <is>
          <t>6.綠色小狗</t>
        </is>
      </c>
      <c r="E6169" t="inlineStr"/>
      <c r="F6169">
        <f>IMAGE("https://cf.shopee.tw/file/374ffb3572653970d0ab42fae930b7a4_tn")</f>
        <v/>
      </c>
    </row>
    <row r="6170">
      <c r="A6170" t="inlineStr">
        <is>
          <t>6406544005</t>
        </is>
      </c>
      <c r="B6170" t="inlineStr">
        <is>
          <t>隔日到貨🔥 小狗刺繡棉襪 S13 韓風熱銷 女襪 雙面款 長襪 中筒襪 交換禮物 情侶襪 襪子 可愛襪 運動襪 秋冬襪</t>
        </is>
      </c>
      <c r="C6170">
        <f>IMAGE("https://cf.shopee.tw/file/23d5ec86cc5c57f62eab669059baa995_tn")</f>
        <v/>
      </c>
      <c r="D6170" t="inlineStr">
        <is>
          <t>7.藍色小狗</t>
        </is>
      </c>
      <c r="E6170" t="inlineStr"/>
      <c r="F6170">
        <f>IMAGE("https://cf.shopee.tw/file/001a36499298d8726a2dedc8a4d725d6_tn")</f>
        <v/>
      </c>
    </row>
    <row r="6171">
      <c r="A6171" t="inlineStr">
        <is>
          <t>6406544005</t>
        </is>
      </c>
      <c r="B6171" t="inlineStr">
        <is>
          <t>隔日到貨🔥 小狗刺繡棉襪 S13 韓風熱銷 女襪 雙面款 長襪 中筒襪 交換禮物 情侶襪 襪子 可愛襪 運動襪 秋冬襪</t>
        </is>
      </c>
      <c r="C6171">
        <f>IMAGE("https://cf.shopee.tw/file/23d5ec86cc5c57f62eab669059baa995_tn")</f>
        <v/>
      </c>
      <c r="D6171" t="inlineStr">
        <is>
          <t>9.深咖小狗</t>
        </is>
      </c>
      <c r="E6171" t="inlineStr"/>
      <c r="F6171">
        <f>IMAGE("https://cf.shopee.tw/file/sg-11134201-23010-231esz4kwxlv5b_tn")</f>
        <v/>
      </c>
    </row>
    <row r="6172">
      <c r="A6172" t="inlineStr">
        <is>
          <t>6406544005</t>
        </is>
      </c>
      <c r="B6172" t="inlineStr">
        <is>
          <t>隔日到貨🔥 小狗刺繡棉襪 S13 韓風熱銷 女襪 雙面款 長襪 中筒襪 交換禮物 情侶襪 襪子 可愛襪 運動襪 秋冬襪</t>
        </is>
      </c>
      <c r="C6172">
        <f>IMAGE("https://cf.shopee.tw/file/23d5ec86cc5c57f62eab669059baa995_tn")</f>
        <v/>
      </c>
      <c r="D6172" t="inlineStr">
        <is>
          <t>10.黑色小狗</t>
        </is>
      </c>
      <c r="E6172" t="inlineStr"/>
      <c r="F6172">
        <f>IMAGE("https://cf.shopee.tw/file/657f28a4d38f9df46ba9ab044c93a985_tn")</f>
        <v/>
      </c>
    </row>
    <row r="6173">
      <c r="A6173" t="inlineStr">
        <is>
          <t>6406544005</t>
        </is>
      </c>
      <c r="B6173" t="inlineStr">
        <is>
          <t>隔日到貨🔥 小狗刺繡棉襪 S13 韓風熱銷 女襪 雙面款 長襪 中筒襪 交換禮物 情侶襪 襪子 可愛襪 運動襪 秋冬襪</t>
        </is>
      </c>
      <c r="C6173">
        <f>IMAGE("https://cf.shopee.tw/file/23d5ec86cc5c57f62eab669059baa995_tn")</f>
        <v/>
      </c>
      <c r="D6173" t="inlineStr">
        <is>
          <t>3.粉色小狗</t>
        </is>
      </c>
      <c r="E6173" t="inlineStr"/>
      <c r="F6173">
        <f>IMAGE("https://cf.shopee.tw/file/3e4ccea481f8d4d1ea0b446741c60454_tn")</f>
        <v/>
      </c>
    </row>
    <row r="6174">
      <c r="A6174" t="inlineStr">
        <is>
          <t>6406544005</t>
        </is>
      </c>
      <c r="B6174" t="inlineStr">
        <is>
          <t>隔日到貨🔥 小狗刺繡棉襪 S13 韓風熱銷 女襪 雙面款 長襪 中筒襪 交換禮物 情侶襪 襪子 可愛襪 運動襪 秋冬襪</t>
        </is>
      </c>
      <c r="C6174">
        <f>IMAGE("https://cf.shopee.tw/file/23d5ec86cc5c57f62eab669059baa995_tn")</f>
        <v/>
      </c>
      <c r="D6174" t="inlineStr">
        <is>
          <t>4.灰色小狗</t>
        </is>
      </c>
      <c r="E6174" t="inlineStr"/>
      <c r="F6174">
        <f>IMAGE("https://cf.shopee.tw/file/sg-11134201-23010-3f20kkwkwxlv61_tn")</f>
        <v/>
      </c>
    </row>
    <row r="6175">
      <c r="A6175" t="inlineStr">
        <is>
          <t>6406544005</t>
        </is>
      </c>
      <c r="B6175" t="inlineStr">
        <is>
          <t>隔日到貨🔥 小狗刺繡棉襪 S13 韓風熱銷 女襪 雙面款 長襪 中筒襪 交換禮物 情侶襪 襪子 可愛襪 運動襪 秋冬襪</t>
        </is>
      </c>
      <c r="C6175">
        <f>IMAGE("https://cf.shopee.tw/file/23d5ec86cc5c57f62eab669059baa995_tn")</f>
        <v/>
      </c>
      <c r="D6175" t="inlineStr">
        <is>
          <t>5.米白小狗</t>
        </is>
      </c>
      <c r="E6175" t="inlineStr"/>
      <c r="F6175">
        <f>IMAGE("https://cf.shopee.tw/file/5c9b63942eb0919a7cbf247d68901ac4_tn")</f>
        <v/>
      </c>
    </row>
    <row r="6176">
      <c r="A6176" t="inlineStr">
        <is>
          <t>6406544005</t>
        </is>
      </c>
      <c r="B6176" t="inlineStr">
        <is>
          <t>隔日到貨🔥 小狗刺繡棉襪 S13 韓風熱銷 女襪 雙面款 長襪 中筒襪 交換禮物 情侶襪 襪子 可愛襪 運動襪 秋冬襪</t>
        </is>
      </c>
      <c r="C6176">
        <f>IMAGE("https://cf.shopee.tw/file/23d5ec86cc5c57f62eab669059baa995_tn")</f>
        <v/>
      </c>
      <c r="D6176" t="inlineStr">
        <is>
          <t>8.咖啡小狗</t>
        </is>
      </c>
      <c r="E6176" t="inlineStr"/>
      <c r="F6176">
        <f>IMAGE("https://cf.shopee.tw/file/0afa18d80528dfc952b7ec49c3d73734_tn")</f>
        <v/>
      </c>
    </row>
    <row r="6177">
      <c r="A6177" t="inlineStr">
        <is>
          <t>8335887688</t>
        </is>
      </c>
      <c r="B6177" t="inlineStr">
        <is>
          <t>隔日到貨🔥 韓風 熱銷款 ins考拉滑鼠墊 無尾熊 滑鼠墊 治愈系 棉花糖 情侣滑鼠墊</t>
        </is>
      </c>
      <c r="C6177">
        <f>IMAGE("https://cf.shopee.tw/file/aeeb03c63e99b70767f75cb81709ad9f_tn")</f>
        <v/>
      </c>
      <c r="D6177" t="inlineStr">
        <is>
          <t>考拉</t>
        </is>
      </c>
      <c r="E6177" t="inlineStr"/>
      <c r="F6177">
        <f>IMAGE("https://cf.shopee.tw/file/08f97f4486a5d47a6fc81f1b8b06e0d5_tn")</f>
        <v/>
      </c>
    </row>
    <row r="6178">
      <c r="A6178" t="inlineStr">
        <is>
          <t>8335887688</t>
        </is>
      </c>
      <c r="B6178" t="inlineStr">
        <is>
          <t>隔日到貨🔥 韓風 熱銷款 ins考拉滑鼠墊 無尾熊 滑鼠墊 治愈系 棉花糖 情侣滑鼠墊</t>
        </is>
      </c>
      <c r="C6178">
        <f>IMAGE("https://cf.shopee.tw/file/aeeb03c63e99b70767f75cb81709ad9f_tn")</f>
        <v/>
      </c>
      <c r="D6178" t="inlineStr">
        <is>
          <t>宇航員考拉</t>
        </is>
      </c>
      <c r="E6178" t="inlineStr"/>
      <c r="F6178">
        <f>IMAGE("https://cf.shopee.tw/file/a6192816aace302f17d762e686f781e6_tn")</f>
        <v/>
      </c>
    </row>
    <row r="6179">
      <c r="A6179" t="inlineStr">
        <is>
          <t>8335887688</t>
        </is>
      </c>
      <c r="B6179" t="inlineStr">
        <is>
          <t>隔日到貨🔥 韓風 熱銷款 ins考拉滑鼠墊 無尾熊 滑鼠墊 治愈系 棉花糖 情侣滑鼠墊</t>
        </is>
      </c>
      <c r="C6179">
        <f>IMAGE("https://cf.shopee.tw/file/aeeb03c63e99b70767f75cb81709ad9f_tn")</f>
        <v/>
      </c>
      <c r="D6179" t="inlineStr">
        <is>
          <t>笑臉棉花糖</t>
        </is>
      </c>
      <c r="E6179" t="inlineStr"/>
      <c r="F6179">
        <f>IMAGE("https://cf.shopee.tw/file/cc3cf5fbf9bc514d5291e4e3958c5640_tn")</f>
        <v/>
      </c>
    </row>
    <row r="6180">
      <c r="A6180" t="inlineStr">
        <is>
          <t>13829828335</t>
        </is>
      </c>
      <c r="B6180" t="inlineStr">
        <is>
          <t>隔日到貨🔥 ins風 韓版 化妝包 收納包 大容量 刺繡 文具袋 化妝袋 收納袋 手拿包 便攜</t>
        </is>
      </c>
      <c r="C6180">
        <f>IMAGE("https://cf.shopee.tw/file/ba0393fb81b79ef217b4921d02fcb0f0_tn")</f>
        <v/>
      </c>
      <c r="D6180" t="inlineStr">
        <is>
          <t>1.藍色小熊</t>
        </is>
      </c>
      <c r="E6180" t="inlineStr"/>
      <c r="F6180">
        <f>IMAGE("https://cf.shopee.tw/file/f5f18a334972f7a27b43fab79db3769d_tn")</f>
        <v/>
      </c>
    </row>
    <row r="6181">
      <c r="A6181" t="inlineStr">
        <is>
          <t>13829828335</t>
        </is>
      </c>
      <c r="B6181" t="inlineStr">
        <is>
          <t>隔日到貨🔥 ins風 韓版 化妝包 收納包 大容量 刺繡 文具袋 化妝袋 收納袋 手拿包 便攜</t>
        </is>
      </c>
      <c r="C6181">
        <f>IMAGE("https://cf.shopee.tw/file/ba0393fb81b79ef217b4921d02fcb0f0_tn")</f>
        <v/>
      </c>
      <c r="D6181" t="inlineStr">
        <is>
          <t>2.綠色小熊</t>
        </is>
      </c>
      <c r="E6181" t="inlineStr"/>
      <c r="F6181">
        <f>IMAGE("https://cf.shopee.tw/file/2ac2959d4eca14d9748703f94f5f73b9_tn")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2026-03-29T10:11:33Z</dcterms:created>
  <dcterms:modified xmlns:dcterms="http://purl.org/dc/terms/" xmlns:xsi="http://www.w3.org/2001/XMLSchema-instance" xsi:type="dcterms:W3CDTF">2026-03-29T10:11:34Z</dcterms:modified>
</cp:coreProperties>
</file>